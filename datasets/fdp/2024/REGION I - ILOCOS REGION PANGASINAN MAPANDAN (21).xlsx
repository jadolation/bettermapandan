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orm 7 - DFU" sheetId="1" r:id="rId4"/>
    <sheet name="FDPP LICENSE" sheetId="2" state="veryHidden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<sst xmlns="http://schemas.openxmlformats.org/spreadsheetml/2006/main" uniqueCount="50">
  <si>
    <t>FDP Form 7 - 20% Development Fund Utilization</t>
  </si>
  <si>
    <t>UTILIZATION OF THE 20%  OF THE NATIONAL TAX ALLOTMENT</t>
  </si>
  <si>
    <t>REGION: I</t>
  </si>
  <si>
    <t>CALENDAR YEAR:</t>
  </si>
  <si>
    <t>PROVINCE: PANGASINAN</t>
  </si>
  <si>
    <t>QUARTER:</t>
  </si>
  <si>
    <t>CITY/MUNICIPALITY: MUNICIPALITY OF MAPANDAN</t>
  </si>
  <si>
    <t>Program or
Project</t>
  </si>
  <si>
    <t>Location</t>
  </si>
  <si>
    <t>Total Cost</t>
  </si>
  <si>
    <t>Date Started</t>
  </si>
  <si>
    <t>Target
Completion
Date</t>
  </si>
  <si>
    <t>Project Status</t>
  </si>
  <si>
    <t>No. of
Extensions, if
any</t>
  </si>
  <si>
    <t>Remarks</t>
  </si>
  <si>
    <t>% of
Completion</t>
  </si>
  <si>
    <t>Total Cost Incurred
to Date</t>
  </si>
  <si>
    <t xml:space="preserve">Social Development
</t>
  </si>
  <si>
    <t xml:space="preserve">Econimic Development
</t>
  </si>
  <si>
    <t>Construction of Perimeter Fence, Backfilling and Concreting of Super Rural Health Unit's Ground</t>
  </si>
  <si>
    <t>Brgy. Torres, Mapandan</t>
  </si>
  <si>
    <t>Not yet Implemented</t>
  </si>
  <si>
    <t>Construction of Cross/Drainage Canal along Gondol Street , Primicias</t>
  </si>
  <si>
    <t>Brgy. Primicias, Mapandan</t>
  </si>
  <si>
    <t>Improvement/Extension of Office for MDRRM Command Center at Brgy. Poblacion</t>
  </si>
  <si>
    <t>Brgy. Poblacion, Mapandan</t>
  </si>
  <si>
    <t>Improvement/Re-painting of Roof of the Mapandan Municipal Hall</t>
  </si>
  <si>
    <t>Re-conctruction of Drainage Canal along Pico Avenue at Brgy. Coral</t>
  </si>
  <si>
    <t>Brgy. Coral, Mapandan</t>
  </si>
  <si>
    <t>Construction of Covered Drainage Canal along Lawin Avenue at Brgy. Poblacion</t>
  </si>
  <si>
    <t>Procurement and Installation of Industrial Fan at Tulagan Multi-Purpose Gym</t>
  </si>
  <si>
    <t>Construction of Drainage Canal along Papaya Avenue, Apaya Phase 2</t>
  </si>
  <si>
    <t>Brgy. Apaya, Mapandan</t>
  </si>
  <si>
    <t>Impro. Brgy Road/Drianage-Orchid St. Nilombot Phase 3</t>
  </si>
  <si>
    <t>Brgy.Nilombot, Mapandan</t>
  </si>
  <si>
    <t>LGU payment of Loan</t>
  </si>
  <si>
    <t>Mapandan, Pangasinan</t>
  </si>
  <si>
    <t>On going</t>
  </si>
  <si>
    <t>Additional Illumination of Mapandan Town Plaza Phase 2</t>
  </si>
  <si>
    <t>Environmental Management</t>
  </si>
  <si>
    <t>TOTAL</t>
  </si>
  <si>
    <t>We hereby certify that we have reviewed the contents and hereby attest to the veracity and correctness of tha data or information contained in this document.</t>
  </si>
  <si>
    <t xml:space="preserve">                         Local Budget Officer</t>
  </si>
  <si>
    <t xml:space="preserve">                       Municipal Accountant</t>
  </si>
  <si>
    <t>Local Chief Executive</t>
  </si>
  <si>
    <t>CAUTION:</t>
  </si>
  <si>
    <t>TO REDUCE THE RISK OF UPLOADING WRONG TEMPLATE FOR THIS DOCUMENT, DO NOT EDIT/DELETE THIS SHEET.</t>
  </si>
  <si>
    <t>FROM:</t>
  </si>
  <si>
    <t>FDPP TEAM</t>
  </si>
  <si>
    <t>v1</t>
  </si>
</sst>
</file>

<file path=xl/styles.xml><?xml version="1.0" encoding="utf-8"?>
<styleSheet xmlns="http://schemas.openxmlformats.org/spreadsheetml/2006/main" xml:space="preserve">
  <numFmts count="2">
    <numFmt numFmtId="164" formatCode="_(* #,##0.00_);_(* \(#,##0.00\);_(* &quot;-&quot;??_);_(@_)"/>
    <numFmt numFmtId="165" formatCode="[$-409]mmmm\ d\,\ yyyy;@"/>
  </numFmts>
  <fonts count="8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FF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0"/>
      <i val="0"/>
      <strike val="0"/>
      <u val="none"/>
      <sz val="14"/>
      <color rgb="FF000000"/>
      <name val="Calibri"/>
    </font>
    <font>
      <b val="1"/>
      <i val="0"/>
      <strike val="0"/>
      <u val="none"/>
      <sz val="16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6">
    <border/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numFmtId="0" fontId="0" fillId="0" borderId="0"/>
  </cellStyleXfs>
  <cellXfs count="60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3" numFmtId="0" fillId="2" borderId="0" applyFont="1" applyNumberFormat="0" applyFill="0" applyBorder="0" applyAlignment="1">
      <alignment horizontal="general" vertical="center" textRotation="0" wrapText="false" shrinkToFit="false"/>
    </xf>
    <xf xfId="0" fontId="3" numFmtId="0" fillId="2" borderId="0" applyFont="1" applyNumberFormat="0" applyFill="0" applyBorder="0" applyAlignment="1" applyProtection="true">
      <alignment horizontal="general" vertical="center" textRotation="0" wrapText="true" shrinkToFit="false"/>
      <protection locked="false"/>
    </xf>
    <xf xfId="0" fontId="3" numFmtId="0" fillId="2" borderId="0" applyFont="1" applyNumberFormat="0" applyFill="0" applyBorder="0" applyAlignment="0" applyProtection="true">
      <alignment horizontal="general" vertical="bottom" textRotation="0" wrapText="false" shrinkToFit="false"/>
      <protection locked="false"/>
    </xf>
    <xf xfId="0" fontId="3" numFmtId="0" fillId="2" borderId="0" applyFont="1" applyNumberFormat="0" applyFill="0" applyBorder="0" applyAlignment="0">
      <alignment horizontal="general" vertical="bottom" textRotation="0" wrapText="false" shrinkToFit="false"/>
    </xf>
    <xf xfId="0" fontId="3" numFmtId="0" fillId="2" borderId="0" applyFont="1" applyNumberFormat="0" applyFill="0" applyBorder="0" applyAlignment="1" applyProtection="true">
      <alignment horizontal="general" vertical="top" textRotation="0" wrapText="true" shrinkToFit="false"/>
      <protection locked="false"/>
    </xf>
    <xf xfId="0" fontId="4" numFmtId="0" fillId="2" borderId="0" applyFont="1" applyNumberFormat="0" applyFill="0" applyBorder="0" applyAlignment="0" applyProtection="true">
      <alignment horizontal="general" vertical="bottom" textRotation="0" wrapText="false" shrinkToFit="false"/>
      <protection locked="false"/>
    </xf>
    <xf xfId="0" fontId="4" numFmtId="0" fillId="2" borderId="0" applyFont="1" applyNumberFormat="0" applyFill="0" applyBorder="0" applyAlignment="1">
      <alignment horizontal="general" vertical="center" textRotation="0" wrapText="false" shrinkToFit="false"/>
    </xf>
    <xf xfId="0" fontId="4" numFmtId="0" fillId="2" borderId="0" applyFont="1" applyNumberFormat="0" applyFill="0" applyBorder="0" applyAlignment="1" applyProtection="true">
      <alignment horizontal="general" vertical="center" textRotation="0" wrapText="false" shrinkToFit="false"/>
      <protection locked="false"/>
    </xf>
    <xf xfId="0" fontId="3" numFmtId="0" fillId="2" borderId="0" applyFont="1" applyNumberFormat="0" applyFill="0" applyBorder="0" applyAlignment="1">
      <alignment horizontal="general" vertical="bottom" textRotation="0" wrapText="true" shrinkToFit="false"/>
    </xf>
    <xf xfId="0" fontId="3" numFmtId="0" fillId="2" borderId="0" applyFont="1" applyNumberFormat="0" applyFill="0" applyBorder="0" applyAlignment="1" applyProtection="true">
      <alignment horizontal="general" vertical="bottom" textRotation="0" wrapText="true" shrinkToFit="false"/>
      <protection locked="false"/>
    </xf>
    <xf xfId="0" fontId="4" numFmtId="0" fillId="2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0" applyBorder="0" applyAlignment="1" applyProtection="true">
      <alignment horizontal="left" vertical="center" textRotation="0" wrapText="false" shrinkToFit="false"/>
      <protection locked="false"/>
    </xf>
    <xf xfId="0" fontId="4" numFmtId="0" fillId="2" borderId="0" applyFont="1" applyNumberFormat="0" applyFill="0" applyBorder="0" applyAlignment="1" applyProtection="true">
      <alignment horizontal="left" vertical="bottom" textRotation="0" wrapText="true" shrinkToFit="false"/>
      <protection locked="false"/>
    </xf>
    <xf xfId="0" fontId="3" numFmtId="0" fillId="2" borderId="0" applyFont="1" applyNumberFormat="0" applyFill="0" applyBorder="0" applyAlignment="1" applyProtection="true">
      <alignment horizontal="left" vertical="bottom" textRotation="0" wrapText="false" shrinkToFit="false"/>
      <protection locked="false"/>
    </xf>
    <xf xfId="0" fontId="4" numFmtId="0" fillId="2" borderId="0" applyFont="1" applyNumberFormat="0" applyFill="0" applyBorder="0" applyAlignment="1">
      <alignment horizontal="general" vertical="bottom" textRotation="0" wrapText="true" shrinkToFit="false"/>
    </xf>
    <xf xfId="0" fontId="4" numFmtId="0" fillId="2" borderId="1" applyFont="1" applyNumberFormat="0" applyFill="0" applyBorder="1" applyAlignment="1">
      <alignment horizontal="center" vertical="center" textRotation="0" wrapText="false" shrinkToFit="false"/>
    </xf>
    <xf xfId="0" fontId="4" numFmtId="0" fillId="2" borderId="1" applyFont="1" applyNumberFormat="0" applyFill="0" applyBorder="1" applyAlignment="1">
      <alignment horizontal="center" vertical="center" textRotation="0" wrapText="true" shrinkToFit="false"/>
    </xf>
    <xf xfId="0" fontId="3" numFmtId="0" fillId="2" borderId="2" applyFont="1" applyNumberFormat="0" applyFill="0" applyBorder="1" applyAlignment="1" applyProtection="true">
      <alignment horizontal="left" vertical="bottom" textRotation="0" wrapText="false" shrinkToFit="false"/>
      <protection locked="false"/>
    </xf>
    <xf xfId="0" fontId="3" numFmtId="164" fillId="2" borderId="2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3" numFmtId="17" fillId="2" borderId="2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3" numFmtId="165" fillId="2" borderId="2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3" numFmtId="10" fillId="2" borderId="2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3" numFmtId="164" fillId="2" borderId="2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3" numFmtId="0" fillId="2" borderId="2" applyFont="1" applyNumberFormat="0" applyFill="0" applyBorder="1" applyAlignment="1" applyProtection="true">
      <alignment horizontal="center" vertical="bottom" textRotation="0" wrapText="false" shrinkToFit="false"/>
      <protection locked="false"/>
    </xf>
    <xf xfId="0" fontId="3" numFmtId="0" fillId="2" borderId="2" applyFont="1" applyNumberFormat="0" applyFill="0" applyBorder="1" applyAlignment="1">
      <alignment horizontal="left" vertical="bottom" textRotation="0" wrapText="false" shrinkToFit="false"/>
    </xf>
    <xf xfId="0" fontId="3" numFmtId="9" fillId="2" borderId="2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3" numFmtId="164" fillId="2" borderId="2" applyFont="1" applyNumberFormat="1" applyFill="0" applyBorder="1" applyAlignment="0" applyProtection="true">
      <alignment horizontal="general" vertical="bottom" textRotation="0" wrapText="false" shrinkToFit="false"/>
      <protection locked="false"/>
    </xf>
    <xf xfId="0" fontId="3" numFmtId="0" fillId="2" borderId="2" applyFont="1" applyNumberFormat="0" applyFill="0" applyBorder="1" applyAlignment="0" applyProtection="true">
      <alignment horizontal="general" vertical="bottom" textRotation="0" wrapText="false" shrinkToFit="false"/>
      <protection locked="false"/>
    </xf>
    <xf xfId="0" fontId="4" numFmtId="0" fillId="2" borderId="3" applyFont="1" applyNumberFormat="0" applyFill="0" applyBorder="1" applyAlignment="1">
      <alignment horizontal="center" vertical="center" textRotation="0" wrapText="true" shrinkToFit="false"/>
    </xf>
    <xf xfId="0" fontId="4" numFmtId="0" fillId="2" borderId="4" applyFont="1" applyNumberFormat="0" applyFill="0" applyBorder="1" applyAlignment="1">
      <alignment horizontal="center" vertical="center" textRotation="0" wrapText="false" shrinkToFit="false"/>
    </xf>
    <xf xfId="0" fontId="4" numFmtId="0" fillId="2" borderId="4" applyFont="1" applyNumberFormat="0" applyFill="0" applyBorder="1" applyAlignment="1">
      <alignment horizontal="center" vertical="center" textRotation="0" wrapText="true" shrinkToFit="false"/>
    </xf>
    <xf xfId="0" fontId="4" numFmtId="0" fillId="2" borderId="5" applyFont="1" applyNumberFormat="0" applyFill="0" applyBorder="1" applyAlignment="1">
      <alignment horizontal="center" vertical="center" textRotation="0" wrapText="false" shrinkToFit="false"/>
    </xf>
    <xf xfId="0" fontId="4" numFmtId="0" fillId="2" borderId="6" applyFont="1" applyNumberFormat="0" applyFill="0" applyBorder="1" applyAlignment="1">
      <alignment horizontal="center" vertical="center" textRotation="0" wrapText="true" shrinkToFit="false"/>
    </xf>
    <xf xfId="0" fontId="4" numFmtId="0" fillId="2" borderId="7" applyFont="1" applyNumberFormat="0" applyFill="0" applyBorder="1" applyAlignment="1">
      <alignment horizontal="center" vertical="center" textRotation="0" wrapText="false" shrinkToFit="false"/>
    </xf>
    <xf xfId="0" fontId="4" numFmtId="0" fillId="2" borderId="8" applyFont="1" applyNumberFormat="0" applyFill="0" applyBorder="1" applyAlignment="1" applyProtection="true">
      <alignment horizontal="general" vertical="top" textRotation="0" wrapText="false" shrinkToFit="false"/>
      <protection locked="false"/>
    </xf>
    <xf xfId="0" fontId="3" numFmtId="0" fillId="2" borderId="9" applyFont="1" applyNumberFormat="0" applyFill="0" applyBorder="1" applyAlignment="1" applyProtection="true">
      <alignment horizontal="center" vertical="bottom" textRotation="0" wrapText="false" shrinkToFit="false"/>
      <protection locked="false"/>
    </xf>
    <xf xfId="0" fontId="3" numFmtId="0" fillId="2" borderId="8" applyFont="1" applyNumberFormat="0" applyFill="0" applyBorder="1" applyAlignment="1" applyProtection="true">
      <alignment horizontal="general" vertical="bottom" textRotation="0" wrapText="true" shrinkToFit="false"/>
      <protection locked="false"/>
    </xf>
    <xf xfId="0" fontId="3" numFmtId="0" fillId="2" borderId="9" applyFont="1" applyNumberFormat="0" applyFill="0" applyBorder="1" applyAlignment="1" applyProtection="true">
      <alignment horizontal="center" vertical="bottom" textRotation="0" wrapText="true" shrinkToFit="false"/>
      <protection locked="false"/>
    </xf>
    <xf xfId="0" fontId="3" numFmtId="0" fillId="2" borderId="8" applyFont="1" applyNumberFormat="0" applyFill="0" applyBorder="1" applyAlignment="0" applyProtection="true">
      <alignment horizontal="general" vertical="bottom" textRotation="0" wrapText="false" shrinkToFit="false"/>
      <protection locked="false"/>
    </xf>
    <xf xfId="0" fontId="3" numFmtId="0" fillId="2" borderId="8" applyFont="1" applyNumberFormat="0" applyFill="0" applyBorder="1" applyAlignment="1" applyProtection="true">
      <alignment horizontal="left" vertical="bottom" textRotation="0" wrapText="false" shrinkToFit="false"/>
      <protection locked="false"/>
    </xf>
    <xf xfId="0" fontId="3" numFmtId="0" fillId="2" borderId="8" applyFont="1" applyNumberFormat="0" applyFill="0" applyBorder="1" applyAlignment="1" applyProtection="true">
      <alignment horizontal="general" vertical="top" textRotation="0" wrapText="false" shrinkToFit="false"/>
      <protection locked="false"/>
    </xf>
    <xf xfId="0" fontId="3" numFmtId="0" fillId="2" borderId="9" applyFont="1" applyNumberFormat="0" applyFill="0" applyBorder="1" applyAlignment="1" applyProtection="true">
      <alignment horizontal="left" vertical="bottom" textRotation="0" wrapText="false" shrinkToFit="false"/>
      <protection locked="false"/>
    </xf>
    <xf xfId="0" fontId="3" numFmtId="0" fillId="2" borderId="8" applyFont="1" applyNumberFormat="0" applyFill="0" applyBorder="1" applyAlignment="1" applyProtection="true">
      <alignment horizontal="general" vertical="top" textRotation="0" wrapText="true" shrinkToFit="false"/>
      <protection locked="false"/>
    </xf>
    <xf xfId="0" fontId="4" numFmtId="0" fillId="2" borderId="10" applyFont="1" applyNumberFormat="0" applyFill="0" applyBorder="1" applyAlignment="1" applyProtection="true">
      <alignment horizontal="general" vertical="top" textRotation="0" wrapText="false" shrinkToFit="false"/>
      <protection locked="false"/>
    </xf>
    <xf xfId="0" fontId="3" numFmtId="0" fillId="2" borderId="11" applyFont="1" applyNumberFormat="0" applyFill="0" applyBorder="1" applyAlignment="1">
      <alignment horizontal="center" vertical="bottom" textRotation="0" wrapText="false" shrinkToFit="false"/>
    </xf>
    <xf xfId="0" fontId="3" numFmtId="164" fillId="2" borderId="11" applyFont="1" applyNumberFormat="1" applyFill="0" applyBorder="1" applyAlignment="0" applyProtection="true">
      <alignment horizontal="general" vertical="bottom" textRotation="0" wrapText="false" shrinkToFit="false"/>
      <protection locked="false"/>
    </xf>
    <xf xfId="0" fontId="3" numFmtId="0" fillId="2" borderId="11" applyFont="1" applyNumberFormat="0" applyFill="0" applyBorder="1" applyAlignment="0" applyProtection="true">
      <alignment horizontal="general" vertical="bottom" textRotation="0" wrapText="false" shrinkToFit="false"/>
      <protection locked="false"/>
    </xf>
    <xf xfId="0" fontId="3" numFmtId="165" fillId="2" borderId="11" applyFont="1" applyNumberFormat="1" applyFill="0" applyBorder="1" applyAlignment="0" applyProtection="true">
      <alignment horizontal="general" vertical="bottom" textRotation="0" wrapText="false" shrinkToFit="false"/>
      <protection locked="false"/>
    </xf>
    <xf xfId="0" fontId="3" numFmtId="0" fillId="2" borderId="12" applyFont="1" applyNumberFormat="0" applyFill="0" applyBorder="1" applyAlignment="0" applyProtection="true">
      <alignment horizontal="general" vertical="bottom" textRotation="0" wrapText="false" shrinkToFit="false"/>
      <protection locked="false"/>
    </xf>
    <xf xfId="0" fontId="5" numFmtId="0" fillId="2" borderId="13" applyFont="1" applyNumberFormat="0" applyFill="0" applyBorder="1" applyAlignment="0" applyProtection="true">
      <alignment horizontal="general" vertical="bottom" textRotation="0" wrapText="false" shrinkToFit="false"/>
      <protection locked="false"/>
    </xf>
    <xf xfId="0" fontId="5" numFmtId="0" fillId="2" borderId="14" applyFont="1" applyNumberFormat="0" applyFill="0" applyBorder="1" applyAlignment="0" applyProtection="true">
      <alignment horizontal="general" vertical="bottom" textRotation="0" wrapText="false" shrinkToFit="false"/>
      <protection locked="false"/>
    </xf>
    <xf xfId="0" fontId="5" numFmtId="164" fillId="2" borderId="14" applyFont="1" applyNumberFormat="1" applyFill="0" applyBorder="1" applyAlignment="0" applyProtection="true">
      <alignment horizontal="general" vertical="bottom" textRotation="0" wrapText="false" shrinkToFit="false"/>
      <protection locked="false"/>
    </xf>
    <xf xfId="0" fontId="5" numFmtId="9" fillId="2" borderId="14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5" numFmtId="0" fillId="2" borderId="15" applyFont="1" applyNumberFormat="0" applyFill="0" applyBorder="1" applyAlignment="0" applyProtection="true">
      <alignment horizontal="general" vertical="bottom" textRotation="0" wrapText="false" shrinkToFit="false"/>
      <protection locked="false"/>
    </xf>
    <xf xfId="0" fontId="6" numFmtId="0" fillId="2" borderId="0" applyFont="1" applyNumberFormat="0" applyFill="0" applyBorder="0" applyAlignment="0" applyProtection="true">
      <alignment horizontal="general" vertical="bottom" textRotation="0" wrapText="false" shrinkToFit="false"/>
      <protection locked="false"/>
    </xf>
    <xf xfId="0" fontId="6" numFmtId="0" fillId="2" borderId="0" applyFont="1" applyNumberFormat="0" applyFill="0" applyBorder="0" applyAlignment="0">
      <alignment horizontal="general" vertical="bottom" textRotation="0" wrapText="false" shrinkToFit="false"/>
    </xf>
    <xf xfId="0" fontId="7" numFmtId="0" fillId="2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358589</xdr:colOff>
      <xdr:row>33</xdr:row>
      <xdr:rowOff>7471</xdr:rowOff>
    </xdr:from>
    <xdr:to>
      <xdr:col>0</xdr:col>
      <xdr:colOff>2935942</xdr:colOff>
      <xdr:row>33</xdr:row>
      <xdr:rowOff>7471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CF6FF514-B960-4AFB-A0F8-BA3FABB6480A}"/>
            </a:ext>
          </a:extLst>
        </xdr:cNvPr>
        <xdr:cNvCxnSpPr/>
      </xdr:nvCxnSpPr>
      <xdr:spPr>
        <a:xfrm>
          <a:off x="358589" y="7246471"/>
          <a:ext cx="2577353" cy="0"/>
        </a:xfrm>
        <a:prstGeom prst="line">
          <a:avLst/>
        </a:prstGeom>
        <a:ln w="952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613335</xdr:colOff>
      <xdr:row>33</xdr:row>
      <xdr:rowOff>6349</xdr:rowOff>
    </xdr:from>
    <xdr:to>
      <xdr:col>7</xdr:col>
      <xdr:colOff>38660</xdr:colOff>
      <xdr:row>33</xdr:row>
      <xdr:rowOff>6349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328ECA3F-7F86-4591-9351-329C4E42D68C}"/>
            </a:ext>
          </a:extLst>
        </xdr:cNvPr>
        <xdr:cNvCxnSpPr/>
      </xdr:nvCxnSpPr>
      <xdr:spPr>
        <a:xfrm>
          <a:off x="8076453" y="7290173"/>
          <a:ext cx="2585383" cy="0"/>
        </a:xfrm>
        <a:prstGeom prst="line">
          <a:avLst/>
        </a:prstGeom>
        <a:ln w="952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481854</xdr:colOff>
      <xdr:row>31</xdr:row>
      <xdr:rowOff>108323</xdr:rowOff>
    </xdr:from>
    <xdr:to>
      <xdr:col>0</xdr:col>
      <xdr:colOff>2767854</xdr:colOff>
      <xdr:row>32</xdr:row>
      <xdr:rowOff>164353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7F985F1E-375F-08F0-4D74-52832DACA5DE}"/>
            </a:ext>
          </a:extLst>
        </xdr:cNvPr>
        <xdr:cNvSpPr txBox="1"/>
      </xdr:nvSpPr>
      <xdr:spPr>
        <a:xfrm>
          <a:off x="481854" y="6958852"/>
          <a:ext cx="2286000" cy="25026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/>
            <a:t>ANA MARICRIS B. NATAVIO</a:t>
          </a:r>
        </a:p>
      </xdr:txBody>
    </xdr:sp>
    <xdr:clientData/>
  </xdr:twoCellAnchor>
  <xdr:twoCellAnchor>
    <xdr:from>
      <xdr:col>4</xdr:col>
      <xdr:colOff>877793</xdr:colOff>
      <xdr:row>31</xdr:row>
      <xdr:rowOff>74706</xdr:rowOff>
    </xdr:from>
    <xdr:to>
      <xdr:col>6</xdr:col>
      <xdr:colOff>1008530</xdr:colOff>
      <xdr:row>32</xdr:row>
      <xdr:rowOff>171823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6E256730-2322-A539-B25D-A541B1B6185D}"/>
            </a:ext>
          </a:extLst>
        </xdr:cNvPr>
        <xdr:cNvSpPr txBox="1"/>
      </xdr:nvSpPr>
      <xdr:spPr>
        <a:xfrm>
          <a:off x="8669617" y="6925235"/>
          <a:ext cx="2334560" cy="29135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/>
            <a:t>HON. KARL CHRISTIAN F. VEGA</a:t>
          </a:r>
        </a:p>
      </xdr:txBody>
    </xdr:sp>
    <xdr:clientData/>
  </xdr:twoCellAnchor>
  <xdr:twoCellAnchor>
    <xdr:from>
      <xdr:col>1</xdr:col>
      <xdr:colOff>948765</xdr:colOff>
      <xdr:row>31</xdr:row>
      <xdr:rowOff>82178</xdr:rowOff>
    </xdr:from>
    <xdr:to>
      <xdr:col>2</xdr:col>
      <xdr:colOff>470647</xdr:colOff>
      <xdr:row>32</xdr:row>
      <xdr:rowOff>171824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C2B9642-8847-42BB-961F-B57FB9155A4C}"/>
            </a:ext>
          </a:extLst>
        </xdr:cNvPr>
        <xdr:cNvSpPr txBox="1"/>
      </xdr:nvSpPr>
      <xdr:spPr>
        <a:xfrm>
          <a:off x="4635500" y="6772090"/>
          <a:ext cx="1270000" cy="29135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/>
            <a:t>RUTH</a:t>
          </a:r>
          <a:r>
            <a:rPr lang="en-US" sz="1200" b="1" baseline="0"/>
            <a:t> B. SOTTO</a:t>
          </a:r>
          <a:endParaRPr lang="en-US" sz="1200" b="1"/>
        </a:p>
      </xdr:txBody>
    </xdr:sp>
    <xdr:clientData/>
  </xdr:twoCellAnchor>
  <xdr:twoCellAnchor>
    <xdr:from>
      <xdr:col>1</xdr:col>
      <xdr:colOff>276412</xdr:colOff>
      <xdr:row>33</xdr:row>
      <xdr:rowOff>1</xdr:rowOff>
    </xdr:from>
    <xdr:to>
      <xdr:col>2</xdr:col>
      <xdr:colOff>1016001</xdr:colOff>
      <xdr:row>33</xdr:row>
      <xdr:rowOff>1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43B9F82F-F916-4D30-B92B-1685B250D37B}"/>
            </a:ext>
          </a:extLst>
        </xdr:cNvPr>
        <xdr:cNvCxnSpPr/>
      </xdr:nvCxnSpPr>
      <xdr:spPr>
        <a:xfrm>
          <a:off x="5356412" y="8068236"/>
          <a:ext cx="2517589" cy="0"/>
        </a:xfrm>
        <a:prstGeom prst="line">
          <a:avLst/>
        </a:prstGeom>
        <a:ln w="952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L34"/>
  <sheetViews>
    <sheetView tabSelected="1" workbookViewId="0" zoomScale="85" zoomScaleNormal="85" showGridLines="true" showRowColHeaders="1">
      <selection activeCell="A22" sqref="A22"/>
    </sheetView>
  </sheetViews>
  <sheetFormatPr defaultRowHeight="14.4" defaultColWidth="9.1796875" outlineLevelRow="0" outlineLevelCol="0"/>
  <cols>
    <col min="1" max="1" width="72.7265625" customWidth="true" style="5"/>
    <col min="2" max="2" width="25.453125" customWidth="true" style="5"/>
    <col min="3" max="3" width="18.08984375" customWidth="true" style="5"/>
    <col min="4" max="4" width="15.90625" customWidth="true" style="5"/>
    <col min="5" max="5" width="19.7265625" customWidth="true" style="5"/>
    <col min="6" max="6" width="12.81640625" customWidth="true" style="5"/>
    <col min="7" max="7" width="16.26953125" customWidth="true" style="5"/>
    <col min="8" max="8" width="7" customWidth="true" style="5"/>
    <col min="9" max="9" width="20.1796875" customWidth="true" style="5"/>
    <col min="10" max="10" width="15.7265625" customWidth="true" style="5"/>
    <col min="11" max="11" width="8.81640625" customWidth="true" style="5"/>
    <col min="12" max="12" width="9.1796875" style="6"/>
  </cols>
  <sheetData>
    <row r="1" spans="1:12">
      <c r="A1" s="3" t="s">
        <v>0</v>
      </c>
      <c r="B1" s="4"/>
      <c r="C1" s="4"/>
      <c r="D1" s="4"/>
      <c r="E1" s="4"/>
    </row>
    <row r="2" spans="1:12">
      <c r="A2" s="7"/>
      <c r="B2" s="7"/>
      <c r="C2" s="7"/>
      <c r="D2" s="7"/>
      <c r="E2" s="7"/>
    </row>
    <row r="3" spans="1:12" customHeight="1" ht="21">
      <c r="A3" s="59" t="s">
        <v>1</v>
      </c>
      <c r="B3" s="59"/>
      <c r="C3" s="59"/>
      <c r="D3" s="59"/>
      <c r="E3" s="59"/>
      <c r="F3" s="59"/>
      <c r="G3" s="59"/>
      <c r="H3" s="59"/>
      <c r="I3" s="59"/>
    </row>
    <row r="4" spans="1:12">
      <c r="A4" s="8"/>
      <c r="B4" s="8"/>
      <c r="C4" s="8"/>
      <c r="D4" s="8"/>
      <c r="E4" s="8"/>
    </row>
    <row r="5" spans="1:12">
      <c r="A5" s="9" t="s">
        <v>2</v>
      </c>
      <c r="B5" s="9"/>
      <c r="C5" s="10"/>
      <c r="D5" s="9" t="s">
        <v>3</v>
      </c>
      <c r="E5" s="14">
        <v>2024</v>
      </c>
    </row>
    <row r="6" spans="1:12">
      <c r="A6" s="13" t="s">
        <v>4</v>
      </c>
      <c r="B6" s="11"/>
      <c r="C6" s="12"/>
      <c r="D6" s="17" t="s">
        <v>5</v>
      </c>
      <c r="E6" s="15">
        <v>1</v>
      </c>
    </row>
    <row r="7" spans="1:12">
      <c r="A7" s="13" t="s">
        <v>6</v>
      </c>
      <c r="D7" s="13"/>
    </row>
    <row r="8" spans="1:12" customHeight="1" ht="16">
      <c r="A8" s="8"/>
    </row>
    <row r="9" spans="1:12">
      <c r="A9" s="31" t="s">
        <v>7</v>
      </c>
      <c r="B9" s="32" t="s">
        <v>8</v>
      </c>
      <c r="C9" s="32" t="s">
        <v>9</v>
      </c>
      <c r="D9" s="32" t="s">
        <v>10</v>
      </c>
      <c r="E9" s="33" t="s">
        <v>11</v>
      </c>
      <c r="F9" s="32" t="s">
        <v>12</v>
      </c>
      <c r="G9" s="32"/>
      <c r="H9" s="33" t="s">
        <v>13</v>
      </c>
      <c r="I9" s="34" t="s">
        <v>14</v>
      </c>
    </row>
    <row r="10" spans="1:12">
      <c r="A10" s="35"/>
      <c r="B10" s="18"/>
      <c r="C10" s="18"/>
      <c r="D10" s="18"/>
      <c r="E10" s="18"/>
      <c r="F10" s="19" t="s">
        <v>15</v>
      </c>
      <c r="G10" s="19" t="s">
        <v>16</v>
      </c>
      <c r="H10" s="18"/>
      <c r="I10" s="36"/>
    </row>
    <row r="11" spans="1:12">
      <c r="A11" s="35"/>
      <c r="B11" s="18"/>
      <c r="C11" s="18"/>
      <c r="D11" s="18"/>
      <c r="E11" s="18"/>
      <c r="F11" s="18"/>
      <c r="G11" s="18"/>
      <c r="H11" s="18"/>
      <c r="I11" s="36"/>
    </row>
    <row r="12" spans="1:12">
      <c r="A12" s="37" t="s">
        <v>17</v>
      </c>
      <c r="B12" s="26"/>
      <c r="C12" s="26"/>
      <c r="D12" s="26"/>
      <c r="E12" s="23"/>
      <c r="F12" s="26"/>
      <c r="G12" s="26"/>
      <c r="H12" s="26"/>
      <c r="I12" s="38"/>
    </row>
    <row r="13" spans="1:12">
      <c r="A13" s="37" t="s">
        <v>18</v>
      </c>
      <c r="B13" s="26"/>
      <c r="C13" s="21"/>
      <c r="D13" s="26"/>
      <c r="E13" s="23"/>
      <c r="F13" s="26"/>
      <c r="G13" s="25"/>
      <c r="H13" s="26"/>
      <c r="I13" s="38"/>
    </row>
    <row r="14" spans="1:12" customHeight="1" ht="31">
      <c r="A14" s="39" t="s">
        <v>19</v>
      </c>
      <c r="B14" s="20" t="s">
        <v>20</v>
      </c>
      <c r="C14" s="21">
        <v>1500000</v>
      </c>
      <c r="D14" s="22"/>
      <c r="E14" s="23"/>
      <c r="F14" s="24"/>
      <c r="G14" s="25">
        <v>0</v>
      </c>
      <c r="H14" s="26"/>
      <c r="I14" s="40" t="s">
        <v>21</v>
      </c>
    </row>
    <row r="15" spans="1:12" customHeight="1" ht="31">
      <c r="A15" s="39" t="s">
        <v>22</v>
      </c>
      <c r="B15" s="20" t="s">
        <v>23</v>
      </c>
      <c r="C15" s="21">
        <v>500000</v>
      </c>
      <c r="D15" s="22"/>
      <c r="E15" s="23"/>
      <c r="F15" s="24"/>
      <c r="G15" s="25">
        <v>0</v>
      </c>
      <c r="H15" s="26"/>
      <c r="I15" s="40" t="s">
        <v>21</v>
      </c>
    </row>
    <row r="16" spans="1:12" customHeight="1" ht="31">
      <c r="A16" s="39" t="s">
        <v>24</v>
      </c>
      <c r="B16" s="20" t="s">
        <v>25</v>
      </c>
      <c r="C16" s="21">
        <v>700000</v>
      </c>
      <c r="D16" s="22"/>
      <c r="E16" s="23"/>
      <c r="F16" s="24"/>
      <c r="G16" s="25">
        <v>0</v>
      </c>
      <c r="H16" s="26"/>
      <c r="I16" s="40" t="s">
        <v>21</v>
      </c>
    </row>
    <row r="17" spans="1:12" customHeight="1" ht="31">
      <c r="A17" s="39" t="s">
        <v>26</v>
      </c>
      <c r="B17" s="20" t="s">
        <v>25</v>
      </c>
      <c r="C17" s="21">
        <v>1700000</v>
      </c>
      <c r="D17" s="22"/>
      <c r="E17" s="23"/>
      <c r="F17" s="24"/>
      <c r="G17" s="25">
        <v>0</v>
      </c>
      <c r="H17" s="26"/>
      <c r="I17" s="40" t="s">
        <v>21</v>
      </c>
    </row>
    <row r="18" spans="1:12" customHeight="1" ht="31">
      <c r="A18" s="41" t="s">
        <v>27</v>
      </c>
      <c r="B18" s="20" t="s">
        <v>28</v>
      </c>
      <c r="C18" s="21">
        <v>500000</v>
      </c>
      <c r="D18" s="22"/>
      <c r="E18" s="23"/>
      <c r="F18" s="24"/>
      <c r="G18" s="25">
        <v>0</v>
      </c>
      <c r="H18" s="26"/>
      <c r="I18" s="40" t="s">
        <v>21</v>
      </c>
    </row>
    <row r="19" spans="1:12" customHeight="1" ht="31">
      <c r="A19" s="39" t="s">
        <v>29</v>
      </c>
      <c r="B19" s="20" t="s">
        <v>25</v>
      </c>
      <c r="C19" s="21">
        <v>500000</v>
      </c>
      <c r="D19" s="22"/>
      <c r="E19" s="23"/>
      <c r="F19" s="24"/>
      <c r="G19" s="25">
        <v>0</v>
      </c>
      <c r="H19" s="26"/>
      <c r="I19" s="40" t="s">
        <v>21</v>
      </c>
    </row>
    <row r="20" spans="1:12" customHeight="1" ht="31">
      <c r="A20" s="41" t="s">
        <v>30</v>
      </c>
      <c r="B20" s="20" t="s">
        <v>25</v>
      </c>
      <c r="C20" s="21">
        <v>300000</v>
      </c>
      <c r="D20" s="22"/>
      <c r="E20" s="23"/>
      <c r="F20" s="24"/>
      <c r="G20" s="25">
        <v>0</v>
      </c>
      <c r="H20" s="26"/>
      <c r="I20" s="40" t="s">
        <v>21</v>
      </c>
    </row>
    <row r="21" spans="1:12" customHeight="1" ht="31">
      <c r="A21" s="41" t="s">
        <v>31</v>
      </c>
      <c r="B21" s="20" t="s">
        <v>32</v>
      </c>
      <c r="C21" s="21">
        <v>500000</v>
      </c>
      <c r="D21" s="22"/>
      <c r="E21" s="23"/>
      <c r="F21" s="24"/>
      <c r="G21" s="25">
        <v>0</v>
      </c>
      <c r="H21" s="26"/>
      <c r="I21" s="40" t="s">
        <v>21</v>
      </c>
    </row>
    <row r="22" spans="1:12" customHeight="1" ht="31">
      <c r="A22" s="42" t="s">
        <v>33</v>
      </c>
      <c r="B22" s="20" t="s">
        <v>34</v>
      </c>
      <c r="C22" s="21">
        <v>1000000</v>
      </c>
      <c r="D22" s="22"/>
      <c r="E22" s="23"/>
      <c r="F22" s="24"/>
      <c r="G22" s="25">
        <v>0</v>
      </c>
      <c r="H22" s="26"/>
      <c r="I22" s="40" t="s">
        <v>21</v>
      </c>
    </row>
    <row r="23" spans="1:12">
      <c r="A23" s="43" t="s">
        <v>35</v>
      </c>
      <c r="B23" s="27" t="s">
        <v>36</v>
      </c>
      <c r="C23" s="21">
        <v>21176026.09</v>
      </c>
      <c r="D23" s="22">
        <v>45292</v>
      </c>
      <c r="E23" s="23">
        <v>45657</v>
      </c>
      <c r="F23" s="28">
        <f>G23/C23</f>
        <v>0.18481236249742</v>
      </c>
      <c r="G23" s="25">
        <v>3913591.41</v>
      </c>
      <c r="H23" s="26"/>
      <c r="I23" s="44" t="s">
        <v>37</v>
      </c>
    </row>
    <row r="24" spans="1:12" customHeight="1" ht="15.65">
      <c r="A24" s="45" t="s">
        <v>38</v>
      </c>
      <c r="B24" s="20" t="s">
        <v>25</v>
      </c>
      <c r="C24" s="29">
        <v>571506.51</v>
      </c>
      <c r="D24" s="22"/>
      <c r="E24" s="23"/>
      <c r="F24" s="24"/>
      <c r="G24" s="25">
        <v>0</v>
      </c>
      <c r="H24" s="30"/>
      <c r="I24" s="40" t="s">
        <v>21</v>
      </c>
    </row>
    <row r="25" spans="1:12" customHeight="1" ht="15.65">
      <c r="A25" s="45"/>
      <c r="B25" s="20"/>
      <c r="C25" s="29"/>
      <c r="D25" s="22"/>
      <c r="E25" s="23"/>
      <c r="F25" s="24"/>
      <c r="G25" s="25"/>
      <c r="H25" s="30"/>
      <c r="I25" s="40"/>
    </row>
    <row r="26" spans="1:12" customHeight="1" ht="16">
      <c r="A26" s="46" t="s">
        <v>39</v>
      </c>
      <c r="B26" s="47"/>
      <c r="C26" s="48"/>
      <c r="D26" s="49"/>
      <c r="E26" s="50"/>
      <c r="F26" s="49"/>
      <c r="G26" s="49"/>
      <c r="H26" s="49"/>
      <c r="I26" s="51"/>
    </row>
    <row r="27" spans="1:12" customHeight="1" ht="19" s="58" customFormat="1">
      <c r="A27" s="52" t="s">
        <v>40</v>
      </c>
      <c r="B27" s="53"/>
      <c r="C27" s="54">
        <f>SUM(C12:C26)</f>
        <v>28947532.6</v>
      </c>
      <c r="D27" s="53"/>
      <c r="E27" s="53"/>
      <c r="F27" s="55">
        <f>G27/C27</f>
        <v>0.13519602738093</v>
      </c>
      <c r="G27" s="54">
        <f>SUM(G12:G26)</f>
        <v>3913591.41</v>
      </c>
      <c r="H27" s="53"/>
      <c r="I27" s="56"/>
      <c r="J27" s="57"/>
      <c r="K27" s="57"/>
    </row>
    <row r="30" spans="1:12">
      <c r="A30" s="5" t="s">
        <v>41</v>
      </c>
    </row>
    <row r="34" spans="1:12">
      <c r="A34" s="16" t="s">
        <v>42</v>
      </c>
      <c r="B34" s="16" t="s">
        <v>43</v>
      </c>
      <c r="F34" s="5" t="s">
        <v>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I9:I11"/>
    <mergeCell ref="A3:I3"/>
    <mergeCell ref="H9:H11"/>
    <mergeCell ref="A9:A11"/>
    <mergeCell ref="B9:B11"/>
    <mergeCell ref="C9:C11"/>
    <mergeCell ref="D9:D11"/>
    <mergeCell ref="E9:E11"/>
    <mergeCell ref="F9:G9"/>
    <mergeCell ref="F10:F11"/>
    <mergeCell ref="G10:G11"/>
  </mergeCells>
  <printOptions gridLines="false" gridLinesSet="true"/>
  <pageMargins left="0.7" right="0.7" top="0.75" bottom="0.75" header="0.3" footer="0.3"/>
  <pageSetup paperSize="5" orientation="landscape" scale="69" fitToHeight="1" fitToWidth="1" r:id="rId1"/>
  <headerFooter differentOddEven="false" differentFirst="false" scaleWithDoc="true" alignWithMargins="true">
    <oddHeader/>
    <oddFooter/>
    <evenHeader/>
    <evenFooter/>
    <firstHeader/>
    <firstFooter/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F5" sqref="F5:F6"/>
    </sheetView>
  </sheetViews>
  <sheetFormatPr defaultRowHeight="14.4" outlineLevelRow="0" outlineLevelCol="0"/>
  <sheetData>
    <row r="1" spans="1:1" customHeight="1" ht="23.5">
      <c r="A1" s="2" t="s">
        <v>45</v>
      </c>
    </row>
    <row r="3" spans="1:1">
      <c r="A3" t="s">
        <v>46</v>
      </c>
    </row>
    <row r="5" spans="1:1">
      <c r="A5" t="s">
        <v>47</v>
      </c>
    </row>
    <row r="6" spans="1:1">
      <c r="A6" s="1" t="s">
        <v>48</v>
      </c>
    </row>
    <row r="9" spans="1:1">
      <c r="A9" t="s">
        <v>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 7 - DFU</vt:lpstr>
      <vt:lpstr>FDPP LICENSE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Jasmin Aure</dc:creator>
  <cp:lastModifiedBy>Maryrose Biagtan</cp:lastModifiedBy>
  <dcterms:created xsi:type="dcterms:W3CDTF">2015-06-06T02:17:20+08:00</dcterms:created>
  <dcterms:modified xsi:type="dcterms:W3CDTF">2024-05-14T10:33:59+08:00</dcterms:modified>
  <dc:title/>
  <dc:description/>
  <dc:subject/>
  <cp:keywords/>
  <cp:category/>
</cp:coreProperties>
</file>