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'Sheet1'!$A$1:$I$72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<sst xmlns="http://schemas.openxmlformats.org/spreadsheetml/2006/main" uniqueCount="190">
  <si>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ANNUAL GENDER AND DEVELOPMENT (GAD) ACCOMPLISHMENT REPORT</t>
  </si>
  <si>
    <t>FY 2023</t>
  </si>
  <si>
    <t>Region: 1</t>
  </si>
  <si>
    <t>Province: PANGASINAN</t>
  </si>
  <si>
    <t>Total LGU Budget: P136,222,728</t>
  </si>
  <si>
    <t>Municipality: Mapandan</t>
  </si>
  <si>
    <t>Total GAD Budget: P6,811,136.40</t>
  </si>
  <si>
    <t xml:space="preserve">Gender Issue or GAD Mandate
</t>
  </si>
  <si>
    <t>GAD Objective
(2)</t>
  </si>
  <si>
    <t>Relevant LGU Program or Project (3)</t>
  </si>
  <si>
    <t>GAD Activity
(4)</t>
  </si>
  <si>
    <t>Performance Indicator and Target
(5)</t>
  </si>
  <si>
    <t>Actual Result</t>
  </si>
  <si>
    <t>Total Approved GAD Budget</t>
  </si>
  <si>
    <t>Actual Cost or Expenditures</t>
  </si>
  <si>
    <t>Variance Remarks</t>
  </si>
  <si>
    <t>CLIENT-FOCUSED</t>
  </si>
  <si>
    <t>1. Inadequate knowledge on Sexual education among high school students</t>
  </si>
  <si>
    <t>To educate the students on sexual education in their well- living and sexuality</t>
  </si>
  <si>
    <t>Information, Education and Communication Campaign on Health Program</t>
  </si>
  <si>
    <t>Conduct IEC campaign through coordination with concerned School Heads</t>
  </si>
  <si>
    <t xml:space="preserve">One (1) IEC campaigns conducted with 250 Grades 9 &amp; 10 attendees/participants   </t>
  </si>
  <si>
    <t>-</t>
  </si>
  <si>
    <t xml:space="preserve">The fund was not utilized as the Municipality has maximized its resources. 
The LGU has continuous coordination with schools regarding Health Campaign Program of the Municipality. </t>
  </si>
  <si>
    <t>July - December 2023</t>
  </si>
  <si>
    <t xml:space="preserve">2. Inadequate  blood supplies for emergency assistance for men and women (especially pregnant women)
</t>
  </si>
  <si>
    <t>To have sufficient blood supplies to be used for in need clients of Mapandan</t>
  </si>
  <si>
    <t>Blood Letting IEC Program</t>
  </si>
  <si>
    <t>Conducts blood letting activity quarterly</t>
  </si>
  <si>
    <t>One (1) Blood letting activity conducted</t>
  </si>
  <si>
    <t>2 Blood letting Activity Conducted</t>
  </si>
  <si>
    <t>Identify blood donors</t>
  </si>
  <si>
    <t>400 blood donors identified</t>
  </si>
  <si>
    <t>400 Blood Donors identified</t>
  </si>
  <si>
    <t>January - December 203</t>
  </si>
  <si>
    <t>3. Increase number of early marriages/teenage pregnancies by 10 percent and 5 percent live-in partners</t>
  </si>
  <si>
    <t xml:space="preserve">To develop and integrate to the "would be couples" during PMOC lecture session the Parenting Capability and Responsible Parenthood Program; To improve moral values </t>
  </si>
  <si>
    <t>Family Planning Program; Marriage Orientation and Counseling Service</t>
  </si>
  <si>
    <t xml:space="preserve">Conduct PMC &amp; orientation seminar to "would be couples" and promote the sacredness of marriage </t>
  </si>
  <si>
    <t xml:space="preserve">190 "would be  couples attending PMOC Seminar"                   # of  live-in couples informed/educated  and married solemnize                       </t>
  </si>
  <si>
    <t>138 would be couples attended PMOC Seminar</t>
  </si>
  <si>
    <t>To increase awareness on Sexual &amp; Reproductive health among teenagers</t>
  </si>
  <si>
    <t>Information Education &amp; Communication campaign on health program</t>
  </si>
  <si>
    <t>Conducts symposium on sexual &amp; reproductive health through coordination with concerned school heads</t>
  </si>
  <si>
    <t>400 high school students attended symposium</t>
  </si>
  <si>
    <t>190 would be couples served</t>
  </si>
  <si>
    <t>138 would be couples served</t>
  </si>
  <si>
    <t>To provide effective learning thru additional video materials for presentation</t>
  </si>
  <si>
    <t>Understanding/lecture discussions on pre-marriage orientations &amp; counseling of would be couples</t>
  </si>
  <si>
    <t>Procurement of projector</t>
  </si>
  <si>
    <t>January - December 2023</t>
  </si>
  <si>
    <t>4. Lack of knowledge on motherhood &amp; proper nutrition among pregnant women</t>
  </si>
  <si>
    <t>To provide learning information on RPs, Health &amp; Nutrition Program</t>
  </si>
  <si>
    <t>Health and Nutrition Program &amp; Responsible Parenthood</t>
  </si>
  <si>
    <t>Lecture/IEC on responsible parenthood</t>
  </si>
  <si>
    <t>No. of pregnant/s and lactating mothers attended/participated</t>
  </si>
  <si>
    <t>25 pregnants and lactating mothers attended/participated</t>
  </si>
  <si>
    <t>Dietary supplementation programs for the target groups</t>
  </si>
  <si>
    <t>Advocacy on the importance of the first 1000 days of child's life</t>
  </si>
  <si>
    <t>5. Limited access to poverty alleviation program</t>
  </si>
  <si>
    <t>To cater the request if indigent families for financial assistance</t>
  </si>
  <si>
    <t>Implementation of the devolved programs &amp; services of MSWDO</t>
  </si>
  <si>
    <t xml:space="preserve">Provision of financial assistance under AICS </t>
  </si>
  <si>
    <t>334 Individuals provided with Financial Assistance under AICS (Medical, Burial, Emergency Shelter Assistance)</t>
  </si>
  <si>
    <t>318 Individuals provided with Financial Assistance under AICS (Medical, Burial, Emergency Shelter Assistance)</t>
  </si>
  <si>
    <t>The remaining funds were saving expenditure.</t>
  </si>
  <si>
    <t>100 Students provided with Educational Assistance</t>
  </si>
  <si>
    <t>6. Increase number of dental problems among days care children</t>
  </si>
  <si>
    <t>To address &amp; reduce dental problem in children cause by improper information on oral &amp; dental hygiene matters</t>
  </si>
  <si>
    <t>Dental and Health program</t>
  </si>
  <si>
    <t>Information dissimination &amp; conducts of dialogue with parents in oral &amp; dental hygiene matters</t>
  </si>
  <si>
    <t>No. of Day Care Children served &amp; parents Informed</t>
  </si>
  <si>
    <t>500 Day Care Children Served and parents informed</t>
  </si>
  <si>
    <t>Additional Fund as the fund allocated is not sufficient to implement the program.</t>
  </si>
  <si>
    <t>Procurement &amp; provision of dental kit</t>
  </si>
  <si>
    <t>7. Insufficient funds for Child Development Operation</t>
  </si>
  <si>
    <t>To provide sufficient funds for Child Development Center Operations</t>
  </si>
  <si>
    <t>Early Childhood Care &amp; Development Program</t>
  </si>
  <si>
    <t>Lobby to the LCE for the increase of child development workers honorarium</t>
  </si>
  <si>
    <t>14 of child development workers</t>
  </si>
  <si>
    <t>14 Child Development Workers</t>
  </si>
  <si>
    <t xml:space="preserve">8.  Insufficient benefits of Indigent Male by 1,740 and Female by 2,424 Senior Citizens </t>
  </si>
  <si>
    <t>To implement programs and services of Senior Citizens mandated by law</t>
  </si>
  <si>
    <t>Senior Citizens' Welfare Assistance</t>
  </si>
  <si>
    <t>Grant the assistance and services intended for Senior Citizens</t>
  </si>
  <si>
    <t>15 barangays Senior Citizens served</t>
  </si>
  <si>
    <t>Senior Citizens Served from 15 barangays</t>
  </si>
  <si>
    <t>9. Prevalence of indigent out of school children grades 4-6</t>
  </si>
  <si>
    <t>To provide educational assistance among identified  out of school children (grade 4-6)</t>
  </si>
  <si>
    <t>Adopt "Batang Mahirap, Edukasyon Mo Sagot Ko" Program of PNP</t>
  </si>
  <si>
    <t>Identify the beneficiaries of the program</t>
  </si>
  <si>
    <t xml:space="preserve">One (1) indigent out of school/child </t>
  </si>
  <si>
    <t>Not implemented</t>
  </si>
  <si>
    <t>No OSY identified for the program.</t>
  </si>
  <si>
    <t>June - December 2023</t>
  </si>
  <si>
    <t>10. Lack of awerness on the negative effects of illegal drug usage.</t>
  </si>
  <si>
    <t>To maximize the knowledge &amp; awareness of the students as well as the faculties</t>
  </si>
  <si>
    <t>Symposium/lecture on said subject</t>
  </si>
  <si>
    <t>Conducts of symposium/lecture (MADAC)</t>
  </si>
  <si>
    <t>No. of symposium/lecture conducted</t>
  </si>
  <si>
    <t xml:space="preserve"> symposium/lecture was conducted</t>
  </si>
  <si>
    <t>11. Inadequate of knowledge on environmental issues among children/household mothers.</t>
  </si>
  <si>
    <t xml:space="preserve">To educate the children in the proper way/practice of solid waste management </t>
  </si>
  <si>
    <t>Reactivation of Clean and Green program</t>
  </si>
  <si>
    <t>Dialogue among Punong Barangays to educate the children  for the program implementation of Clean and Green</t>
  </si>
  <si>
    <t>15 Barangays participated in the Clean and Green Program of the Municipality</t>
  </si>
  <si>
    <t>15 barangays participated in Clean &amp; Green program</t>
  </si>
  <si>
    <t>12. Lack of knowledge on sports &amp; teenage development for children &amp; teenagers</t>
  </si>
  <si>
    <t>To promote the value of sportmanship and to encourgae outdoor activities beneficial to the well-bing of the children &amp; youth</t>
  </si>
  <si>
    <t>Sports Development Program</t>
  </si>
  <si>
    <t>Conducts of Early Childhood Care Development &amp; Youth Development sessions and sport activities</t>
  </si>
  <si>
    <t>15 barangays participated</t>
  </si>
  <si>
    <t>15 Barangays Participated.</t>
  </si>
  <si>
    <t>No. of Youth Development Session &amp; Sports Activities conducted</t>
  </si>
  <si>
    <t>13. Lack of awareness among PWDs on the Magna Carta for Person with Disabilities</t>
  </si>
  <si>
    <t>To conduct orientation among potential PWD Members on R.A. 9442 "An Act Amending R.A. 7277, otherwise known as Magna Carta for Disabled Persons and for other purposes"</t>
  </si>
  <si>
    <t>Capability Building for PWD</t>
  </si>
  <si>
    <t>Information/Education Campaign/Dialogue</t>
  </si>
  <si>
    <t>45 of PWD participants attended                                  January - December 2023</t>
  </si>
  <si>
    <t xml:space="preserve">45 of PWD participants attended                                  </t>
  </si>
  <si>
    <t>14. Insufficient budget to Phil. Health Program</t>
  </si>
  <si>
    <t>To provide sufficient budget for Phil. Health program</t>
  </si>
  <si>
    <t>Phil.Health program for indigent families</t>
  </si>
  <si>
    <t>Increase of budget for Phil. Health Insurance Program and additional member or beneficiaries</t>
  </si>
  <si>
    <t>No. of barangays availed of Phil. Health Insurance program</t>
  </si>
  <si>
    <t>15 Barangays availed of PhilHealth Insurance program</t>
  </si>
  <si>
    <t>No. of Phil. Health beneficiaries</t>
  </si>
  <si>
    <t>98 PhilHealth Beneficiaries</t>
  </si>
  <si>
    <t>15. Lack of training/seminars of PNP Personnel of (FJGADPNCO) and partner agencies on GAD.</t>
  </si>
  <si>
    <t>To improved and enchanced the Capability of PNP Personnel in handling/addressing Gender Based Violence</t>
  </si>
  <si>
    <t xml:space="preserve">Seminar/trainings for PNP Personnel and parter agencies </t>
  </si>
  <si>
    <t>Re-echo Gender Based Violence Trainings to women &amp; men Pantawid Pamilyang Pilipino Program Beneficiaries; First aid basic life support</t>
  </si>
  <si>
    <t>No. of seminars/trainings attended participated by PNP personnel &amp; partner agencies</t>
  </si>
  <si>
    <t>24 Seminars/trainings re: Gender Based Violence attended by PNP Personnel</t>
  </si>
  <si>
    <t>16. Institutionalization of women's welfare PAPS towards gender equality</t>
  </si>
  <si>
    <t>to enhance capacities of women constituents, female headed families</t>
  </si>
  <si>
    <t>Women's Month Celebration
Livelihood/Programs/Project</t>
  </si>
  <si>
    <t>women's forum on Gender-Based Violence (GBV) activities.
Procurement of Advocacy Materials
Provision of Economic Productivity</t>
  </si>
  <si>
    <t>100 Women Participated and benefited</t>
  </si>
  <si>
    <t>105 Individuals participated in the LGU-led activity for Women</t>
  </si>
  <si>
    <t>18-day campaign to End Violence Against Women</t>
  </si>
  <si>
    <t>Procurement of Advocacy T-Shirt and Materials
women's forum on Gender-Based Violence (GBV) activities.</t>
  </si>
  <si>
    <t>17. Finamcial Difficulties of parents in support to Children's Education</t>
  </si>
  <si>
    <t>To Provide Support services to children's education</t>
  </si>
  <si>
    <t>Educational Assistance</t>
  </si>
  <si>
    <t>Provision of Educational Assistance</t>
  </si>
  <si>
    <t>College Students has provided with educational assistance</t>
  </si>
  <si>
    <t>The fund was realigned to other program as the MSWD Office has already allocated fund for educational assistance.</t>
  </si>
  <si>
    <t>18. Poor Capacities of Parents in providing early eduation due to domestic chores</t>
  </si>
  <si>
    <t>To strengthen child development service in support to parents</t>
  </si>
  <si>
    <t>Maintenance and Operation of Child Development Services</t>
  </si>
  <si>
    <t>14 CDC/CDW programs maintained</t>
  </si>
  <si>
    <t>19. Lack of fund for the repair and maintence of Child Development Centers</t>
  </si>
  <si>
    <t>To strengthen child development service in Mapandan</t>
  </si>
  <si>
    <t>14 Child Development Centers</t>
  </si>
  <si>
    <t>Minor repairs of CDCs were funded by the Barangay LGU and the fund was reverted to Construction of Child Develpoment Center in Barangay Golden.</t>
  </si>
  <si>
    <t>Sub-total A</t>
  </si>
  <si>
    <t>ORGANIZATION-FOCUSED</t>
  </si>
  <si>
    <t>1. Lack of training of newly hired BSPO, BHW, BNS, MNAO &amp; POPCOM Officer</t>
  </si>
  <si>
    <t>To cater and accommodate the trainings of newly BSPOs/BHWs to enhance their awareness and understanding  towards  Responsible Parenthood &amp; Family Planning matters and orientation and different programs of DOH and their  roles and functions</t>
  </si>
  <si>
    <t>Capacity Development Program for newly hired BSPO, BHW, BNS, MNAO &amp; POPCOM Officer</t>
  </si>
  <si>
    <t>Conduct trainings on RPS &amp; Family Planning and orientation and different programs of DOH and their  roles and functions</t>
  </si>
  <si>
    <t>30 Volunteers trained</t>
  </si>
  <si>
    <t>2. Lack of training regarding GAD Data Based Creation &amp; Special protection of childrens against child abuse, exploitation &amp; discremination act to partner agencies</t>
  </si>
  <si>
    <t>To provide traning/convention for Juvenile Gender and Development Summit and other activities relative hereof.</t>
  </si>
  <si>
    <t>Capacity Development Program/GAD Program</t>
  </si>
  <si>
    <t>Attendance to training &amp; development and others activities realtive hereof</t>
  </si>
  <si>
    <t>No. of participants attended training</t>
  </si>
  <si>
    <t>10 Participants attended training</t>
  </si>
  <si>
    <t>No Training invitation was received by the LGU.</t>
  </si>
  <si>
    <t>3. Inadequate training &amp; seminars of ECCD providers</t>
  </si>
  <si>
    <t>To conduct training/seminars on EO 15 and ECCD new tool</t>
  </si>
  <si>
    <t>Capability Development Program</t>
  </si>
  <si>
    <t>Provide training/seminars on EO15 to ECCD providers in the delivery of services during the pandemic</t>
  </si>
  <si>
    <t>No. of ECCD providers participated &amp; trained</t>
  </si>
  <si>
    <t>15 ECCD providers/CDWs attended training</t>
  </si>
  <si>
    <t>4. Expired license &amp; Certificate of BLS of RHU personnels</t>
  </si>
  <si>
    <t>To have additional skills &amp; knowledge regarding BLS and with renewal license</t>
  </si>
  <si>
    <t>Updating &amp; Awarding of Certification of Basic Life Support (BLS) training of RHU personnel</t>
  </si>
  <si>
    <t>Training of RHU personnels &amp; others concerned agencies on BLS</t>
  </si>
  <si>
    <t>No. of RHU personnel &amp; other concerned agencies trained</t>
  </si>
  <si>
    <t>85 RHU personnel attended training on BLS</t>
  </si>
  <si>
    <t>Sub-total B</t>
  </si>
  <si>
    <t xml:space="preserve">GRAND TOTAL
</t>
  </si>
  <si>
    <r>
      <t xml:space="preserve">Prepared by: 
              </t>
    </r>
    <r>
      <rPr>
        <rFont val="Arial"/>
        <b val="true"/>
        <i val="false"/>
        <strike val="false"/>
        <color rgb="FF000000"/>
        <sz val="26"/>
        <u val="none"/>
      </rPr>
      <t xml:space="preserve">LEONORA D. DOMINGUEZ, RSW, MSWDO
                              </t>
    </r>
    <r>
      <rPr>
        <rFont val="Arial"/>
        <b val="false"/>
        <i val="false"/>
        <strike val="false"/>
        <color rgb="FF000000"/>
        <sz val="26"/>
        <u val="none"/>
      </rPr>
      <t xml:space="preserve">    Chairperson, GFPS-TWG</t>
    </r>
  </si>
  <si>
    <t>Approved by:</t>
  </si>
  <si>
    <t>RAMIL S. DE VERA, RSW</t>
  </si>
  <si>
    <t>HON. KARL CHRISTIAN F. VEGA</t>
  </si>
  <si>
    <t>MSWD Officer</t>
  </si>
  <si>
    <t>Municipal Mayor</t>
  </si>
</sst>
</file>

<file path=xl/styles.xml><?xml version="1.0" encoding="utf-8"?>
<styleSheet xmlns="http://schemas.openxmlformats.org/spreadsheetml/2006/main" xml:space="preserve">
  <numFmts count="2">
    <numFmt numFmtId="164" formatCode="_-* #,##0.00_-;\-* #,##0.00_-;_-* &quot;-&quot;??_-;_-@_-"/>
    <numFmt numFmtId="165" formatCode="_(* #,##0.00_);_(* \(#,##0.00\);_(* &quot;-&quot;??_);_(@_)"/>
  </numFmts>
  <fonts count="1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0"/>
      <color rgb="FF000000"/>
      <name val="Tahom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2"/>
      <color rgb="FF000000"/>
      <name val="Tahoma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20"/>
      <color rgb="FF000000"/>
      <name val="Tahoma"/>
    </font>
    <font>
      <b val="0"/>
      <i val="1"/>
      <strike val="0"/>
      <u val="none"/>
      <sz val="20"/>
      <color rgb="FF000000"/>
      <name val="Tahoma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26"/>
      <color rgb="FF000000"/>
      <name val="Arial"/>
    </font>
    <font>
      <b val="1"/>
      <i val="0"/>
      <strike val="0"/>
      <u val="none"/>
      <sz val="26"/>
      <color rgb="FF000000"/>
      <name val="Arial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8EAADB"/>
        <bgColor rgb="FF3A3838"/>
      </patternFill>
    </fill>
    <fill>
      <patternFill patternType="solid">
        <fgColor rgb="FF8EAADB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B4C6E7"/>
        <bgColor rgb="FF3F3F3F"/>
      </patternFill>
    </fill>
    <fill>
      <patternFill patternType="solid">
        <fgColor rgb="FFB4C6E7"/>
        <bgColor rgb="FFBFBFBF"/>
      </patternFill>
    </fill>
    <fill>
      <patternFill patternType="solid">
        <fgColor rgb="FFB4C6E7"/>
        <bgColor rgb="FFAEABAB"/>
      </patternFill>
    </fill>
    <fill>
      <patternFill patternType="solid">
        <fgColor rgb="FF8EAADB"/>
        <bgColor rgb="FF3F3F3F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true" shrinkToFit="false"/>
    </xf>
    <xf xfId="0" fontId="0" numFmtId="0" fillId="2" borderId="0" applyFont="0" applyNumberFormat="0" applyFill="0" applyBorder="0" applyAlignment="1">
      <alignment horizontal="left" vertical="top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0" fillId="2" borderId="3" applyFont="1" applyNumberFormat="0" applyFill="0" applyBorder="1" applyAlignment="1">
      <alignment horizontal="general" vertical="center" textRotation="0" wrapText="true" shrinkToFit="false"/>
    </xf>
    <xf xfId="0" fontId="1" numFmtId="0" fillId="2" borderId="4" applyFont="1" applyNumberFormat="0" applyFill="0" applyBorder="1" applyAlignment="1">
      <alignment horizontal="general" vertical="center" textRotation="0" wrapText="true" shrinkToFit="false"/>
    </xf>
    <xf xfId="0" fontId="1" numFmtId="0" fillId="2" borderId="5" applyFont="1" applyNumberFormat="0" applyFill="0" applyBorder="1" applyAlignment="1">
      <alignment horizontal="general" vertical="center" textRotation="0" wrapText="true" shrinkToFit="false"/>
    </xf>
    <xf xfId="0" fontId="1" numFmtId="0" fillId="2" borderId="4" applyFont="1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3" borderId="3" applyFont="1" applyNumberFormat="0" applyFill="1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general" vertical="center" textRotation="0" wrapText="true" shrinkToFit="false"/>
    </xf>
    <xf xfId="0" fontId="1" numFmtId="0" fillId="3" borderId="6" applyFont="1" applyNumberFormat="0" applyFill="1" applyBorder="1" applyAlignment="1">
      <alignment horizontal="general" vertical="center" textRotation="0" wrapText="tru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0" fillId="3" borderId="7" applyFont="1" applyNumberFormat="0" applyFill="1" applyBorder="1" applyAlignment="1">
      <alignment horizontal="general" vertical="center" textRotation="0" wrapText="true" shrinkToFit="false"/>
    </xf>
    <xf xfId="0" fontId="1" numFmtId="0" fillId="3" borderId="7" applyFont="1" applyNumberFormat="0" applyFill="1" applyBorder="1" applyAlignment="1">
      <alignment horizontal="general" vertical="center" textRotation="0" wrapText="false" shrinkToFit="false"/>
    </xf>
    <xf xfId="0" fontId="1" numFmtId="0" fillId="3" borderId="8" applyFont="1" applyNumberFormat="0" applyFill="1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general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8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general" vertical="center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false" shrinkToFit="false"/>
    </xf>
    <xf xfId="0" fontId="1" numFmtId="0" fillId="3" borderId="1" applyFont="1" applyNumberFormat="0" applyFill="1" applyBorder="1" applyAlignment="1">
      <alignment horizontal="general" vertical="center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false" shrinkToFit="false"/>
    </xf>
    <xf xfId="0" fontId="1" numFmtId="0" fillId="3" borderId="7" applyFont="1" applyNumberFormat="0" applyFill="1" applyBorder="1" applyAlignment="1">
      <alignment horizontal="general" vertical="center" textRotation="0" wrapText="false" shrinkToFit="false"/>
    </xf>
    <xf xfId="0" fontId="1" numFmtId="0" fillId="3" borderId="7" applyFont="1" applyNumberFormat="0" applyFill="1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9" applyFont="0" applyNumberFormat="0" applyFill="0" applyBorder="1" applyAlignment="1">
      <alignment horizontal="left" vertical="top" textRotation="0" wrapText="fals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1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4" applyFont="1" applyNumberFormat="0" applyFill="1" applyBorder="1" applyAlignment="1">
      <alignment horizontal="general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164" fillId="3" borderId="1" applyFont="1" applyNumberFormat="1" applyFill="1" applyBorder="1" applyAlignment="1">
      <alignment horizontal="right" vertical="center" textRotation="0" wrapText="false" shrinkToFit="false"/>
    </xf>
    <xf xfId="0" fontId="1" numFmtId="0" fillId="3" borderId="11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top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3" numFmtId="4" fillId="2" borderId="12" applyFont="1" applyNumberFormat="1" applyFill="0" applyBorder="1" applyAlignment="1">
      <alignment horizontal="general" vertical="center" textRotation="0" wrapText="false" shrinkToFit="false"/>
    </xf>
    <xf xfId="0" fontId="3" numFmtId="164" fillId="2" borderId="13" applyFont="1" applyNumberFormat="1" applyFill="0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4" borderId="14" applyFont="1" applyNumberFormat="0" applyFill="1" applyBorder="1" applyAlignment="1">
      <alignment horizontal="center" vertical="top" textRotation="0" wrapText="tru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5" numFmtId="0" fillId="6" borderId="15" applyFont="1" applyNumberFormat="0" applyFill="1" applyBorder="1" applyAlignment="1">
      <alignment horizontal="center" vertical="center" textRotation="0" wrapText="false" shrinkToFit="false"/>
    </xf>
    <xf xfId="0" fontId="5" numFmtId="0" fillId="6" borderId="16" applyFont="1" applyNumberFormat="0" applyFill="1" applyBorder="1" applyAlignment="1">
      <alignment horizontal="center" vertical="center" textRotation="0" wrapText="false" shrinkToFit="false"/>
    </xf>
    <xf xfId="0" fontId="5" numFmtId="0" fillId="7" borderId="6" applyFont="1" applyNumberFormat="0" applyFill="1" applyBorder="1" applyAlignment="1">
      <alignment horizontal="center" vertical="center" textRotation="0" wrapText="false" shrinkToFit="false"/>
    </xf>
    <xf xfId="0" fontId="5" numFmtId="0" fillId="7" borderId="9" applyFont="1" applyNumberFormat="0" applyFill="1" applyBorder="1" applyAlignment="1">
      <alignment horizontal="center" vertical="center" textRotation="0" wrapText="false" shrinkToFit="false"/>
    </xf>
    <xf xfId="0" fontId="5" numFmtId="0" fillId="7" borderId="17" applyFont="1" applyNumberFormat="0" applyFill="1" applyBorder="1" applyAlignment="1">
      <alignment horizontal="center" vertical="center" textRotation="0" wrapText="false" shrinkToFit="false"/>
    </xf>
    <xf xfId="0" fontId="6" numFmtId="0" fillId="8" borderId="18" applyFont="1" applyNumberFormat="0" applyFill="1" applyBorder="1" applyAlignment="0">
      <alignment horizontal="general" vertical="bottom" textRotation="0" wrapText="false" shrinkToFit="false"/>
    </xf>
    <xf xfId="0" fontId="6" numFmtId="0" fillId="8" borderId="9" applyFont="1" applyNumberFormat="0" applyFill="1" applyBorder="1" applyAlignment="0">
      <alignment horizontal="general" vertical="bottom" textRotation="0" wrapText="false" shrinkToFit="false"/>
    </xf>
    <xf xfId="0" fontId="6" numFmtId="0" fillId="9" borderId="6" applyFont="1" applyNumberFormat="0" applyFill="1" applyBorder="1" applyAlignment="0">
      <alignment horizontal="general" vertical="bottom" textRotation="0" wrapText="false" shrinkToFit="false"/>
    </xf>
    <xf xfId="0" fontId="6" numFmtId="0" fillId="8" borderId="6" applyFont="1" applyNumberFormat="0" applyFill="1" applyBorder="1" applyAlignment="0">
      <alignment horizontal="general" vertical="bottom" textRotation="0" wrapText="false" shrinkToFit="false"/>
    </xf>
    <xf xfId="0" fontId="6" numFmtId="0" fillId="8" borderId="17" applyFont="1" applyNumberFormat="0" applyFill="1" applyBorder="1" applyAlignment="0">
      <alignment horizontal="general" vertical="bottom" textRotation="0" wrapText="false" shrinkToFit="false"/>
    </xf>
    <xf xfId="0" fontId="1" numFmtId="0" fillId="6" borderId="19" applyFont="1" applyNumberFormat="0" applyFill="1" applyBorder="1" applyAlignment="1">
      <alignment horizontal="general" vertical="center" textRotation="0" wrapText="false" shrinkToFit="false"/>
    </xf>
    <xf xfId="0" fontId="5" numFmtId="4" fillId="6" borderId="2" applyFont="1" applyNumberFormat="1" applyFill="1" applyBorder="1" applyAlignment="1">
      <alignment horizontal="center" vertical="center" textRotation="0" wrapText="false" shrinkToFit="false"/>
    </xf>
    <xf xfId="0" fontId="5" numFmtId="164" fillId="6" borderId="2" applyFont="1" applyNumberFormat="1" applyFill="1" applyBorder="1" applyAlignment="1">
      <alignment horizontal="center" vertical="center" textRotation="0" wrapText="false" shrinkToFit="false"/>
    </xf>
    <xf xfId="0" fontId="1" numFmtId="0" fillId="6" borderId="20" applyFont="1" applyNumberFormat="0" applyFill="1" applyBorder="1" applyAlignment="1">
      <alignment horizontal="left" vertical="top" textRotation="0" wrapText="false" shrinkToFit="false"/>
    </xf>
    <xf xfId="0" fontId="1" numFmtId="0" fillId="6" borderId="21" applyFont="1" applyNumberFormat="0" applyFill="1" applyBorder="1" applyAlignment="1">
      <alignment horizontal="general" vertical="center" textRotation="0" wrapText="false" shrinkToFit="false"/>
    </xf>
    <xf xfId="0" fontId="5" numFmtId="4" fillId="6" borderId="22" applyFont="1" applyNumberFormat="1" applyFill="1" applyBorder="1" applyAlignment="1">
      <alignment horizontal="center" vertical="center" textRotation="0" wrapText="false" shrinkToFit="false"/>
    </xf>
    <xf xfId="0" fontId="5" numFmtId="164" fillId="6" borderId="22" applyFont="1" applyNumberFormat="1" applyFill="1" applyBorder="1" applyAlignment="1">
      <alignment horizontal="center" vertical="center" textRotation="0" wrapText="false" shrinkToFit="false"/>
    </xf>
    <xf xfId="0" fontId="1" numFmtId="0" fillId="6" borderId="23" applyFont="1" applyNumberFormat="0" applyFill="1" applyBorder="1" applyAlignment="1">
      <alignment horizontal="left" vertical="top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top" textRotation="0" wrapText="false" shrinkToFit="false"/>
    </xf>
    <xf xfId="0" fontId="8" numFmtId="0" fillId="2" borderId="0" applyFont="1" applyNumberFormat="0" applyFill="0" applyBorder="0" applyAlignment="1">
      <alignment horizontal="left" vertical="top" textRotation="0" wrapText="tru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left" vertical="top" textRotation="0" wrapText="tru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9" fillId="2" borderId="0" applyFont="1" applyNumberFormat="1" applyFill="0" applyBorder="0" applyAlignment="1">
      <alignment horizontal="center" vertical="top" textRotation="0" wrapText="true" shrinkToFit="false"/>
    </xf>
    <xf xfId="0" fontId="9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11" applyFont="1" applyNumberFormat="0" applyFill="0" applyBorder="1" applyAlignment="1">
      <alignment horizontal="center" vertical="top" textRotation="0" wrapText="true" shrinkToFit="false"/>
    </xf>
    <xf xfId="0" fontId="1" numFmtId="0" fillId="2" borderId="24" applyFont="1" applyNumberFormat="0" applyFill="0" applyBorder="1" applyAlignment="1">
      <alignment horizontal="center" vertical="top" textRotation="0" wrapText="true" shrinkToFit="false"/>
    </xf>
    <xf xfId="0" fontId="5" numFmtId="0" fillId="6" borderId="13" applyFont="1" applyNumberFormat="0" applyFill="1" applyBorder="1" applyAlignment="1">
      <alignment horizontal="left" vertical="center" textRotation="0" wrapText="false" shrinkToFit="false"/>
    </xf>
    <xf xfId="0" fontId="1" numFmtId="0" fillId="6" borderId="25" applyFont="1" applyNumberFormat="0" applyFill="1" applyBorder="1" applyAlignment="1">
      <alignment horizontal="general" vertical="center" textRotation="0" wrapText="false" shrinkToFit="false"/>
    </xf>
    <xf xfId="0" fontId="1" numFmtId="0" fillId="6" borderId="21" applyFont="1" applyNumberFormat="0" applyFill="1" applyBorder="1" applyAlignment="1">
      <alignment horizontal="general" vertical="center" textRotation="0" wrapText="false" shrinkToFit="false"/>
    </xf>
    <xf xfId="0" fontId="3" numFmtId="0" fillId="2" borderId="13" applyFont="1" applyNumberFormat="0" applyFill="0" applyBorder="1" applyAlignment="1">
      <alignment horizontal="right" vertical="center" textRotation="0" wrapText="true" shrinkToFit="false"/>
    </xf>
    <xf xfId="0" fontId="3" numFmtId="0" fillId="2" borderId="25" applyFont="1" applyNumberFormat="0" applyFill="0" applyBorder="1" applyAlignment="1">
      <alignment horizontal="right" vertical="center" textRotation="0" wrapText="false" shrinkToFit="false"/>
    </xf>
    <xf xfId="0" fontId="5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9" fillId="2" borderId="0" applyFont="1" applyNumberFormat="1" applyFill="0" applyBorder="0" applyAlignment="1">
      <alignment horizontal="center" vertical="bottom" textRotation="0" wrapText="false" shrinkToFit="false"/>
    </xf>
    <xf xfId="0" fontId="1" numFmtId="0" fillId="2" borderId="10" applyFont="1" applyNumberFormat="0" applyFill="0" applyBorder="1" applyAlignment="1">
      <alignment horizontal="left" vertical="center" textRotation="0" wrapText="true" shrinkToFit="false"/>
    </xf>
    <xf xfId="0" fontId="1" numFmtId="0" fillId="2" borderId="26" applyFont="1" applyNumberFormat="0" applyFill="0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4" fillId="3" borderId="7" applyFont="1" applyNumberFormat="1" applyFill="1" applyBorder="1" applyAlignment="1">
      <alignment horizontal="center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16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center" textRotation="0" wrapText="true" shrinkToFit="false"/>
    </xf>
    <xf xfId="0" fontId="1" numFmtId="0" fillId="2" borderId="20" applyFont="1" applyNumberFormat="0" applyFill="0" applyBorder="1" applyAlignment="1">
      <alignment horizontal="center" vertical="center" textRotation="0" wrapText="true" shrinkToFit="false"/>
    </xf>
    <xf xfId="0" fontId="1" numFmtId="0" fillId="2" borderId="27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0" fillId="2" borderId="2" applyFont="1" applyNumberFormat="0" applyFill="0" applyBorder="1" applyAlignment="1">
      <alignment horizontal="left" vertical="center" textRotation="0" wrapText="fals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8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4" fillId="2" borderId="1" applyFont="1" applyNumberFormat="1" applyFill="0" applyBorder="1" applyAlignment="1">
      <alignment horizontal="center" vertical="center" textRotation="0" wrapText="false" shrinkToFit="false"/>
    </xf>
    <xf xfId="0" fontId="1" numFmtId="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28" applyFont="1" applyNumberFormat="0" applyFill="0" applyBorder="1" applyAlignment="1">
      <alignment horizontal="left" vertical="center" textRotation="0" wrapText="true" shrinkToFit="false"/>
    </xf>
    <xf xfId="0" fontId="1" numFmtId="0" fillId="2" borderId="19" applyFont="1" applyNumberFormat="0" applyFill="0" applyBorder="1" applyAlignment="1">
      <alignment horizontal="left" vertical="center" textRotation="0" wrapText="true" shrinkToFit="false"/>
    </xf>
    <xf xfId="0" fontId="6" numFmtId="0" fillId="8" borderId="18" applyFont="1" applyNumberFormat="0" applyFill="1" applyBorder="1" applyAlignment="1">
      <alignment horizontal="left" vertical="center" textRotation="0" wrapText="false" shrinkToFit="false"/>
    </xf>
    <xf xfId="0" fontId="1" numFmtId="0" fillId="6" borderId="9" applyFont="1" applyNumberFormat="0" applyFill="1" applyBorder="1" applyAlignment="1">
      <alignment horizontal="general" vertical="center" textRotation="0" wrapText="false" shrinkToFit="false"/>
    </xf>
    <xf xfId="0" fontId="1" numFmtId="0" fillId="6" borderId="6" applyFont="1" applyNumberFormat="0" applyFill="1" applyBorder="1" applyAlignment="1">
      <alignment horizontal="general" vertical="center" textRotation="0" wrapText="false" shrinkToFit="false"/>
    </xf>
    <xf xfId="0" fontId="1" numFmtId="0" fillId="6" borderId="17" applyFont="1" applyNumberFormat="0" applyFill="1" applyBorder="1" applyAlignment="1">
      <alignment horizontal="general" vertical="center" textRotation="0" wrapText="false" shrinkToFit="false"/>
    </xf>
    <xf xfId="0" fontId="1" numFmtId="0" fillId="2" borderId="10" applyFont="1" applyNumberFormat="0" applyFill="0" applyBorder="1" applyAlignment="1">
      <alignment horizontal="left" vertical="center" textRotation="0" wrapText="true" shrinkToFit="false"/>
    </xf>
    <xf xfId="0" fontId="1" numFmtId="0" fillId="2" borderId="26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4" fillId="2" borderId="28" applyFont="1" applyNumberFormat="1" applyFill="0" applyBorder="1" applyAlignment="1">
      <alignment horizontal="center" vertical="center" textRotation="0" wrapText="false" shrinkToFit="false"/>
    </xf>
    <xf xfId="0" fontId="1" numFmtId="4" fillId="2" borderId="29" applyFont="1" applyNumberFormat="1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164" fillId="2" borderId="7" applyFont="1" applyNumberFormat="1" applyFill="0" applyBorder="1" applyAlignment="1">
      <alignment horizontal="center" vertical="center" textRotation="0" wrapText="false" shrinkToFit="false"/>
    </xf>
    <xf xfId="0" fontId="1" numFmtId="0" fillId="6" borderId="19" applyFont="1" applyNumberFormat="0" applyFill="1" applyBorder="1" applyAlignment="1">
      <alignment horizontal="general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164" fillId="2" borderId="1" applyFont="1" applyNumberFormat="1" applyFill="0" applyBorder="1" applyAlignment="1">
      <alignment horizontal="center" vertical="center" textRotation="0" wrapText="true" shrinkToFit="false"/>
    </xf>
    <xf xfId="0" fontId="1" numFmtId="164" fillId="2" borderId="7" applyFont="1" applyNumberFormat="1" applyFill="0" applyBorder="1" applyAlignment="1">
      <alignment horizontal="center" vertical="center" textRotation="0" wrapText="true" shrinkToFit="false"/>
    </xf>
    <xf xfId="0" fontId="1" numFmtId="0" fillId="2" borderId="11" applyFont="1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0" applyBorder="1" applyAlignment="1">
      <alignment horizontal="center" vertical="center" textRotation="0" wrapText="true" shrinkToFit="false"/>
    </xf>
    <xf xfId="0" fontId="1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3" borderId="26" applyFont="1" applyNumberFormat="0" applyFill="1" applyBorder="1" applyAlignment="1">
      <alignment horizontal="left" vertical="center" textRotation="0" wrapText="true" shrinkToFit="false"/>
    </xf>
    <xf xfId="0" fontId="1" numFmtId="0" fillId="3" borderId="27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3" applyFont="1" applyNumberFormat="0" applyFill="1" applyBorder="1" applyAlignment="1">
      <alignment horizontal="left" vertical="center" textRotation="0" wrapText="true" shrinkToFit="false"/>
    </xf>
    <xf xfId="0" fontId="1" numFmtId="0" fillId="3" borderId="5" applyFont="1" applyNumberFormat="0" applyFill="1" applyBorder="1" applyAlignment="1">
      <alignment horizontal="left" vertical="center" textRotation="0" wrapText="true" shrinkToFit="false"/>
    </xf>
    <xf xfId="0" fontId="1" numFmtId="0" fillId="3" borderId="8" applyFont="1" applyNumberFormat="0" applyFill="1" applyBorder="1" applyAlignment="1">
      <alignment horizontal="left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4" fillId="3" borderId="7" applyFont="1" applyNumberFormat="1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3" borderId="1" applyFont="1" applyNumberFormat="1" applyFill="1" applyBorder="1" applyAlignment="1">
      <alignment horizontal="center" vertical="center" textRotation="0" wrapText="false" shrinkToFit="false"/>
    </xf>
    <xf xfId="0" fontId="1" numFmtId="164" fillId="3" borderId="7" applyFont="1" applyNumberFormat="1" applyFill="1" applyBorder="1" applyAlignment="1">
      <alignment horizontal="center" vertical="center" textRotation="0" wrapText="false" shrinkToFit="false"/>
    </xf>
    <xf xfId="0" fontId="1" numFmtId="16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3" borderId="29" applyFont="1" applyNumberFormat="1" applyFill="1" applyBorder="1" applyAlignment="1">
      <alignment horizontal="center" vertical="center" textRotation="0" wrapText="false" shrinkToFit="false"/>
    </xf>
    <xf xfId="0" fontId="1" numFmtId="164" fillId="3" borderId="19" applyFont="1" applyNumberFormat="1" applyFill="1" applyBorder="1" applyAlignment="1">
      <alignment horizontal="center" vertical="center" textRotation="0" wrapText="false" shrinkToFit="false"/>
    </xf>
    <xf xfId="0" fontId="1" numFmtId="0" fillId="3" borderId="24" applyFont="1" applyNumberFormat="0" applyFill="1" applyBorder="1" applyAlignment="1">
      <alignment horizontal="center" vertical="center" textRotation="0" wrapText="true" shrinkToFit="false"/>
    </xf>
    <xf xfId="0" fontId="1" numFmtId="0" fillId="3" borderId="20" applyFont="1" applyNumberFormat="0" applyFill="1" applyBorder="1" applyAlignment="1">
      <alignment horizontal="center" vertical="center" textRotation="0" wrapText="true" shrinkToFit="false"/>
    </xf>
    <xf xfId="0" fontId="1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3" borderId="26" applyFont="1" applyNumberFormat="0" applyFill="1" applyBorder="1" applyAlignment="1">
      <alignment horizontal="left" vertical="center" textRotation="0" wrapText="true" shrinkToFit="false"/>
    </xf>
    <xf xfId="0" fontId="1" numFmtId="0" fillId="3" borderId="27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7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4" fillId="3" borderId="28" applyFont="1" applyNumberFormat="1" applyFill="1" applyBorder="1" applyAlignment="1">
      <alignment horizontal="center" vertical="center" textRotation="0" wrapText="false" shrinkToFit="false"/>
    </xf>
    <xf xfId="0" fontId="1" numFmtId="4" fillId="3" borderId="29" applyFont="1" applyNumberFormat="1" applyFill="1" applyBorder="1" applyAlignment="1">
      <alignment horizontal="center" vertical="center" textRotation="0" wrapText="false" shrinkToFit="false"/>
    </xf>
    <xf xfId="0" fontId="1" numFmtId="4" fillId="3" borderId="19" applyFont="1" applyNumberFormat="1" applyFill="1" applyBorder="1" applyAlignment="1">
      <alignment horizontal="center" vertical="center" textRotation="0" wrapText="false" shrinkToFit="false"/>
    </xf>
    <xf xfId="0" fontId="0" numFmtId="0" fillId="2" borderId="26" applyFont="0" applyNumberFormat="0" applyFill="0" applyBorder="1" applyAlignment="0">
      <alignment horizontal="general" vertical="bottom" textRotation="0" wrapText="false" shrinkToFit="false"/>
    </xf>
    <xf xfId="0" fontId="0" numFmtId="0" fillId="2" borderId="27" applyFont="0" applyNumberFormat="0" applyFill="0" applyBorder="1" applyAlignment="0">
      <alignment horizontal="general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center" textRotation="0" wrapText="true" shrinkToFit="false"/>
    </xf>
    <xf xfId="0" fontId="1" numFmtId="0" fillId="3" borderId="8" applyFont="1" applyNumberFormat="0" applyFill="1" applyBorder="1" applyAlignment="1">
      <alignment horizontal="left" vertical="center" textRotation="0" wrapText="true" shrinkToFit="false"/>
    </xf>
    <xf xfId="0" fontId="1" numFmtId="4" fillId="3" borderId="7" applyFont="1" applyNumberFormat="1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2" borderId="7" applyFont="1" applyNumberFormat="1" applyFill="0" applyBorder="1" applyAlignment="1">
      <alignment horizontal="center" vertical="center" textRotation="0" wrapText="false" shrinkToFit="false"/>
    </xf>
    <xf xfId="0" fontId="1" numFmtId="164" fillId="2" borderId="2" applyFont="1" applyNumberFormat="1" applyFill="0" applyBorder="1" applyAlignment="1">
      <alignment horizontal="center" vertical="center" textRotation="0" wrapText="false" shrinkToFit="false"/>
    </xf>
    <xf xfId="0" fontId="0" numFmtId="0" fillId="2" borderId="27" applyFont="0" applyNumberFormat="0" applyFill="0" applyBorder="1" applyAlignment="0">
      <alignment horizontal="general" vertical="bottom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8" applyFont="1" applyNumberFormat="0" applyFill="1" applyBorder="1" applyAlignment="1">
      <alignment horizontal="left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27" applyFont="1" applyNumberFormat="0" applyFill="0" applyBorder="1" applyAlignment="1">
      <alignment horizontal="left" vertical="center" textRotation="0" wrapText="true" shrinkToFit="false"/>
    </xf>
    <xf xfId="0" fontId="1" numFmtId="0" fillId="2" borderId="5" applyFont="1" applyNumberFormat="0" applyFill="0" applyBorder="1" applyAlignment="1">
      <alignment horizontal="left" vertical="center" textRotation="0" wrapText="false" shrinkToFit="false"/>
    </xf>
    <xf xfId="0" fontId="1" numFmtId="0" fillId="2" borderId="8" applyFont="1" applyNumberFormat="0" applyFill="0" applyBorder="1" applyAlignment="1">
      <alignment horizontal="left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true" shrinkToFit="false"/>
    </xf>
    <xf xfId="0" fontId="1" numFmtId="4" fillId="3" borderId="29" applyFont="1" applyNumberFormat="1" applyFill="1" applyBorder="1" applyAlignment="1">
      <alignment horizontal="center" vertical="center" textRotation="0" wrapText="false" shrinkToFit="false"/>
    </xf>
    <xf xfId="0" fontId="1" numFmtId="4" fillId="3" borderId="19" applyFont="1" applyNumberFormat="1" applyFill="1" applyBorder="1" applyAlignment="1">
      <alignment horizontal="center" vertical="center" textRotation="0" wrapText="false" shrinkToFit="false"/>
    </xf>
    <xf xfId="0" fontId="1" numFmtId="4" fillId="2" borderId="1" applyFont="1" applyNumberFormat="1" applyFill="0" applyBorder="1" applyAlignment="1">
      <alignment horizontal="center" vertical="center" textRotation="0" wrapText="false" shrinkToFit="false"/>
    </xf>
    <xf xfId="0" fontId="1" numFmtId="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0" applyBorder="1" applyAlignment="1">
      <alignment horizontal="center" vertical="center" textRotation="0" wrapText="false" shrinkToFit="false"/>
    </xf>
    <xf xfId="0" fontId="1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3" borderId="27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3" borderId="1" applyFont="1" applyNumberFormat="1" applyFill="1" applyBorder="1" applyAlignment="1">
      <alignment horizontal="center" vertical="center" textRotation="0" wrapText="false" shrinkToFit="false"/>
    </xf>
    <xf xfId="0" fontId="1" numFmtId="164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0" applyBorder="1" applyAlignment="1">
      <alignment horizontal="left" vertical="center" textRotation="0" wrapText="true" shrinkToFit="false"/>
    </xf>
    <xf xfId="0" fontId="1" numFmtId="0" fillId="2" borderId="27" applyFont="1" applyNumberFormat="0" applyFill="0" applyBorder="1" applyAlignment="1">
      <alignment horizontal="left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false" shrinkToFit="false"/>
    </xf>
    <xf xfId="0" fontId="1" numFmtId="0" fillId="2" borderId="8" applyFont="1" applyNumberFormat="0" applyFill="0" applyBorder="1" applyAlignment="1">
      <alignment horizontal="left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top" textRotation="0" wrapText="false" shrinkToFit="false"/>
    </xf>
    <xf xfId="0" fontId="1" numFmtId="0" fillId="2" borderId="26" applyFont="1" applyNumberFormat="0" applyFill="0" applyBorder="1" applyAlignment="1">
      <alignment horizontal="left" vertical="center" textRotation="0" wrapText="true" shrinkToFit="false"/>
    </xf>
    <xf xfId="0" fontId="1" numFmtId="4" fillId="3" borderId="0" applyFont="1" applyNumberFormat="1" applyFill="1" applyBorder="0" applyAlignment="1">
      <alignment horizontal="center" vertical="center" textRotation="0" wrapText="false" shrinkToFit="false"/>
    </xf>
    <xf xfId="0" fontId="1" numFmtId="0" fillId="2" borderId="24" applyFont="1" applyNumberFormat="0" applyFill="0" applyBorder="1" applyAlignment="1">
      <alignment horizontal="center" vertical="top" textRotation="0" wrapText="false" shrinkToFit="false"/>
    </xf>
    <xf xfId="0" fontId="1" numFmtId="0" fillId="3" borderId="30" applyFont="1" applyNumberFormat="0" applyFill="1" applyBorder="1" applyAlignment="1">
      <alignment horizontal="left" vertical="center" textRotation="0" wrapText="true" shrinkToFit="false"/>
    </xf>
    <xf xfId="0" fontId="1" numFmtId="0" fillId="3" borderId="31" applyFont="1" applyNumberFormat="0" applyFill="1" applyBorder="1" applyAlignment="1">
      <alignment horizontal="left" vertical="center" textRotation="0" wrapText="true" shrinkToFit="false"/>
    </xf>
    <xf xfId="0" fontId="1" numFmtId="4" fillId="3" borderId="28" applyFont="1" applyNumberFormat="1" applyFill="1" applyBorder="1" applyAlignment="1">
      <alignment horizontal="center" vertical="center" textRotation="0" wrapText="false" shrinkToFit="false"/>
    </xf>
    <xf xfId="0" fontId="1" numFmtId="4" fillId="3" borderId="29" applyFont="1" applyNumberFormat="1" applyFill="1" applyBorder="1" applyAlignment="1">
      <alignment horizontal="center" vertical="center" textRotation="0" wrapText="false" shrinkToFit="false"/>
    </xf>
    <xf xfId="0" fontId="1" numFmtId="4" fillId="3" borderId="19" applyFont="1" applyNumberFormat="1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1" applyFont="1" applyNumberFormat="0" applyFill="1" applyBorder="1" applyAlignment="1">
      <alignment horizontal="center" vertical="center" textRotation="0" wrapText="true" shrinkToFit="false"/>
    </xf>
    <xf xfId="0" fontId="1" numFmtId="0" fillId="3" borderId="24" applyFont="1" applyNumberFormat="0" applyFill="1" applyBorder="1" applyAlignment="1">
      <alignment horizontal="center" vertical="center" textRotation="0" wrapText="true" shrinkToFit="false"/>
    </xf>
    <xf xfId="0" fontId="1" numFmtId="0" fillId="3" borderId="5" applyFont="1" applyNumberFormat="0" applyFill="1" applyBorder="1" applyAlignment="1">
      <alignment horizontal="left" vertical="center" textRotation="0" wrapText="tru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0" fillId="2" borderId="28" applyFont="1" applyNumberFormat="0" applyFill="0" applyBorder="1" applyAlignment="1">
      <alignment horizontal="center" vertical="center" textRotation="0" wrapText="false" shrinkToFit="false"/>
    </xf>
    <xf xfId="0" fontId="1" numFmtId="0" fillId="2" borderId="19" applyFont="1" applyNumberFormat="0" applyFill="0" applyBorder="1" applyAlignment="1">
      <alignment horizontal="center" vertical="center" textRotation="0" wrapText="false" shrinkToFit="false"/>
    </xf>
    <xf xfId="0" fontId="1" numFmtId="165" fillId="2" borderId="11" applyFont="1" applyNumberFormat="1" applyFill="0" applyBorder="1" applyAlignment="1">
      <alignment horizontal="center" vertical="center" textRotation="0" wrapText="true" shrinkToFit="false"/>
    </xf>
    <xf xfId="0" fontId="1" numFmtId="165" fillId="2" borderId="20" applyFont="1" applyNumberFormat="1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5" applyFont="1" applyNumberFormat="0" applyFill="0" applyBorder="1" applyAlignment="1">
      <alignment horizontal="left" vertical="center" textRotation="0" wrapText="true" shrinkToFit="false"/>
    </xf>
    <xf xfId="0" fontId="1" numFmtId="4" fillId="2" borderId="29" applyFont="1" applyNumberFormat="1" applyFill="0" applyBorder="1" applyAlignment="1">
      <alignment horizontal="center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164" fillId="2" borderId="7" applyFont="1" applyNumberFormat="1" applyFill="0" applyBorder="1" applyAlignment="1">
      <alignment horizontal="center" vertical="center" textRotation="0" wrapText="false" shrinkToFit="false"/>
    </xf>
    <xf xfId="0" fontId="1" numFmtId="16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0" applyBorder="1" applyAlignment="1">
      <alignment horizontal="center" vertical="center" textRotation="0" wrapText="true" shrinkToFit="false"/>
    </xf>
    <xf xfId="0" fontId="1" numFmtId="4" fillId="2" borderId="4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10" borderId="32" applyFont="1" applyNumberFormat="0" applyFill="1" applyBorder="1" applyAlignment="1">
      <alignment horizontal="center" vertical="top" textRotation="0" wrapText="true" shrinkToFit="false"/>
    </xf>
    <xf xfId="0" fontId="1" numFmtId="0" fillId="5" borderId="27" applyFont="1" applyNumberFormat="0" applyFill="1" applyBorder="1" applyAlignment="0">
      <alignment horizontal="general" vertical="bottom" textRotation="0" wrapText="false" shrinkToFit="false"/>
    </xf>
    <xf xfId="0" fontId="5" numFmtId="0" fillId="10" borderId="33" applyFont="1" applyNumberFormat="0" applyFill="1" applyBorder="1" applyAlignment="1">
      <alignment horizontal="center" vertical="top" textRotation="0" wrapText="tru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5" numFmtId="0" fillId="4" borderId="33" applyFont="1" applyNumberFormat="0" applyFill="1" applyBorder="1" applyAlignment="1">
      <alignment horizontal="center" vertical="top" textRotation="0" wrapText="true" shrinkToFit="false"/>
    </xf>
    <xf xfId="0" fontId="5" numFmtId="0" fillId="10" borderId="14" applyFont="1" applyNumberFormat="0" applyFill="1" applyBorder="1" applyAlignment="1">
      <alignment horizontal="center" vertical="center" textRotation="0" wrapText="true" shrinkToFit="false"/>
    </xf>
    <xf xfId="0" fontId="5" numFmtId="0" fillId="10" borderId="8" applyFont="1" applyNumberFormat="0" applyFill="1" applyBorder="1" applyAlignment="1">
      <alignment horizontal="center" vertical="center" textRotation="0" wrapText="true" shrinkToFit="false"/>
    </xf>
    <xf xfId="0" fontId="5" numFmtId="0" fillId="5" borderId="34" applyFont="1" applyNumberFormat="0" applyFill="1" applyBorder="1" applyAlignment="1">
      <alignment horizontal="center" vertical="center" textRotation="0" wrapText="true" shrinkToFit="false"/>
    </xf>
    <xf xfId="0" fontId="5" numFmtId="0" fillId="5" borderId="16" applyFont="1" applyNumberFormat="0" applyFill="1" applyBorder="1" applyAlignment="1">
      <alignment horizontal="center" vertical="center" textRotation="0" wrapText="true" shrinkToFit="false"/>
    </xf>
    <xf xfId="0" fontId="5" numFmtId="0" fillId="5" borderId="35" applyFont="1" applyNumberFormat="0" applyFill="1" applyBorder="1" applyAlignment="1">
      <alignment horizontal="center" vertical="center" textRotation="0" wrapText="true" shrinkToFit="false"/>
    </xf>
    <xf xfId="0" fontId="5" numFmtId="0" fillId="5" borderId="36" applyFont="1" applyNumberFormat="0" applyFill="1" applyBorder="1" applyAlignment="1">
      <alignment horizontal="center" vertical="center" textRotation="0" wrapText="true" shrinkToFit="false"/>
    </xf>
    <xf xfId="0" fontId="1" numFmtId="0" fillId="2" borderId="24" applyFont="1" applyNumberFormat="0" applyFill="0" applyBorder="1" applyAlignment="1">
      <alignment horizontal="center" vertical="top" textRotation="0" wrapText="true" shrinkToFit="false"/>
    </xf>
    <xf xfId="0" fontId="0" numFmtId="0" fillId="2" borderId="20" applyFont="0" applyNumberFormat="0" applyFill="0" applyBorder="1" applyAlignment="1">
      <alignment horizontal="general" vertical="bottom" textRotation="0" wrapText="true" shrinkToFit="false"/>
    </xf>
    <xf xfId="0" fontId="1" numFmtId="0" fillId="3" borderId="11" applyFont="1" applyNumberFormat="0" applyFill="1" applyBorder="1" applyAlignment="1">
      <alignment horizontal="center" vertical="center" textRotation="0" wrapText="true" shrinkToFit="false"/>
    </xf>
    <xf xfId="0" fontId="1" numFmtId="0" fillId="3" borderId="20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tru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0" applyBorder="1" applyAlignment="1">
      <alignment horizontal="center" vertical="top" textRotation="0" wrapText="true" shrinkToFit="false"/>
    </xf>
    <xf xfId="0" fontId="8" numFmtId="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28" applyFont="1" applyNumberFormat="1" applyFill="0" applyBorder="1" applyAlignment="1">
      <alignment horizontal="center" vertical="center" textRotation="0" wrapText="false" shrinkToFit="false"/>
    </xf>
    <xf xfId="0" fontId="1" numFmtId="164" fillId="2" borderId="29" applyFont="1" applyNumberFormat="1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4" applyFont="1" applyNumberFormat="0" applyFill="0" applyBorder="1" applyAlignment="1">
      <alignment horizontal="general" vertical="center" textRotation="0" wrapText="true" shrinkToFit="false"/>
    </xf>
    <xf xfId="0" fontId="1" numFmtId="4" fillId="2" borderId="28" applyFont="1" applyNumberFormat="1" applyFill="0" applyBorder="1" applyAlignment="1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general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center" textRotation="0" wrapText="true" shrinkToFit="false"/>
    </xf>
    <xf xfId="0" fontId="1" numFmtId="0" fillId="2" borderId="26" applyFont="1" applyNumberFormat="0" applyFill="0" applyBorder="1" applyAlignment="1">
      <alignment horizontal="left" vertical="center" textRotation="0" wrapText="true" shrinkToFit="false"/>
    </xf>
    <xf xfId="0" fontId="1" numFmtId="0" fillId="2" borderId="5" applyFont="1" applyNumberFormat="0" applyFill="0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4" fillId="2" borderId="29" applyFont="1" applyNumberFormat="1" applyFill="0" applyBorder="1" applyAlignment="1">
      <alignment horizontal="general" vertical="center" textRotation="0" wrapText="false" shrinkToFit="false"/>
    </xf>
    <xf xfId="0" fontId="1" numFmtId="164" fillId="2" borderId="7" applyFont="1" applyNumberFormat="1" applyFill="0" applyBorder="1" applyAlignment="1">
      <alignment horizontal="general" vertical="center" textRotation="0" wrapText="false" shrinkToFit="false"/>
    </xf>
    <xf xfId="0" fontId="1" numFmtId="0" fillId="2" borderId="24" applyFont="1" applyNumberFormat="0" applyFill="0" applyBorder="1" applyAlignment="1">
      <alignment horizontal="center" vertical="center" textRotation="0" wrapText="true" shrinkToFit="false"/>
    </xf>
    <xf xfId="0" fontId="1" numFmtId="0" fillId="2" borderId="29" applyFont="1" applyNumberFormat="0" applyFill="0" applyBorder="1" applyAlignment="1">
      <alignment horizontal="general" vertical="center" textRotation="0" wrapText="true" shrinkToFit="false"/>
    </xf>
    <xf xfId="0" fontId="1" numFmtId="0" fillId="2" borderId="27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0" fillId="2" borderId="8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false" shrinkToFit="false"/>
    </xf>
    <xf xfId="0" fontId="1" numFmtId="0" fillId="2" borderId="19" applyFont="1" applyNumberFormat="0" applyFill="0" applyBorder="1" applyAlignment="1">
      <alignment horizontal="left" vertical="center" textRotation="0" wrapText="false" shrinkToFit="false"/>
    </xf>
    <xf xfId="0" fontId="1" numFmtId="4" fillId="2" borderId="19" applyFont="1" applyNumberFormat="1" applyFill="0" applyBorder="1" applyAlignment="1">
      <alignment horizontal="general" vertical="center" textRotation="0" wrapText="false" shrinkToFit="false"/>
    </xf>
    <xf xfId="0" fontId="1" numFmtId="164" fillId="2" borderId="2" applyFont="1" applyNumberFormat="1" applyFill="0" applyBorder="1" applyAlignment="1">
      <alignment horizontal="general" vertical="center" textRotation="0" wrapText="false" shrinkToFit="false"/>
    </xf>
    <xf xfId="0" fontId="1" numFmtId="0" fillId="2" borderId="20" applyFont="1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5" numFmtId="0" fillId="6" borderId="15" applyFont="1" applyNumberFormat="0" applyFill="1" applyBorder="1" applyAlignment="1">
      <alignment horizontal="left" vertical="center" textRotation="0" wrapText="false" shrinkToFit="false"/>
    </xf>
    <xf xfId="0" fontId="1" numFmtId="0" fillId="6" borderId="16" applyFont="1" applyNumberFormat="0" applyFill="1" applyBorder="1" applyAlignment="1">
      <alignment horizontal="general" vertical="center" textRotation="0" wrapText="false" shrinkToFit="false"/>
    </xf>
    <xf xfId="0" fontId="1" numFmtId="0" fillId="2" borderId="4" applyFont="1" applyNumberFormat="0" applyFill="0" applyBorder="1" applyAlignment="1">
      <alignment horizontal="left" vertical="center" textRotation="0" wrapText="true" shrinkToFit="false"/>
    </xf>
    <xf xfId="0" fontId="1" numFmtId="4" fillId="2" borderId="4" applyFont="1" applyNumberFormat="1" applyFill="0" applyBorder="1" applyAlignment="1">
      <alignment horizontal="general" vertical="center" textRotation="0" wrapText="false" shrinkToFit="false"/>
    </xf>
    <xf xfId="0" fontId="1" numFmtId="164" fillId="2" borderId="4" applyFont="1" applyNumberFormat="1" applyFill="0" applyBorder="1" applyAlignment="1">
      <alignment horizontal="center" vertical="center" textRotation="0" wrapText="true" shrinkToFit="false"/>
    </xf>
    <xf xfId="0" fontId="1" numFmtId="0" fillId="2" borderId="4" applyFont="1" applyNumberFormat="0" applyFill="0" applyBorder="1" applyAlignment="1">
      <alignment horizontal="general" vertical="top" textRotation="0" wrapText="false" shrinkToFit="false"/>
    </xf>
    <xf xfId="0" fontId="1" numFmtId="164" fillId="2" borderId="4" applyFont="1" applyNumberFormat="1" applyFill="0" applyBorder="1" applyAlignment="1">
      <alignment horizontal="general" vertical="top" textRotation="0" wrapText="false" shrinkToFit="false"/>
    </xf>
    <xf xfId="0" fontId="3" numFmtId="9" fillId="2" borderId="37" applyFont="1" applyNumberFormat="1" applyFill="0" applyBorder="1" applyAlignment="1">
      <alignment horizontal="general" vertical="center" textRotation="0" wrapText="false" shrinkToFit="false"/>
    </xf>
    <xf xfId="0" fontId="5" numFmtId="0" fillId="6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38" applyFont="1" applyNumberFormat="0" applyFill="0" applyBorder="1" applyAlignment="1">
      <alignment horizontal="left" vertical="center" textRotation="0" wrapText="true" shrinkToFit="false"/>
    </xf>
    <xf xfId="0" fontId="1" numFmtId="0" fillId="2" borderId="39" applyFont="1" applyNumberFormat="0" applyFill="0" applyBorder="1" applyAlignment="1">
      <alignment horizontal="general" vertical="top" textRotation="0" wrapText="true" shrinkToFit="false"/>
    </xf>
    <xf xfId="0" fontId="1" numFmtId="0" fillId="2" borderId="39" applyFont="1" applyNumberFormat="0" applyFill="0" applyBorder="1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"/>
  <sheetViews>
    <sheetView tabSelected="1" workbookViewId="0" zoomScale="40" zoomScaleNormal="40" view="pageBreakPreview" showGridLines="true" showRowColHeaders="1">
      <selection activeCell="G68" sqref="G68:I72"/>
    </sheetView>
  </sheetViews>
  <sheetFormatPr defaultRowHeight="14.4" defaultColWidth="14.44140625" outlineLevelRow="0" outlineLevelCol="0"/>
  <cols>
    <col min="1" max="1" width="62.88671875" customWidth="true" style="0"/>
    <col min="2" max="2" width="69.88671875" customWidth="true" style="0"/>
    <col min="3" max="3" width="66.6640625" customWidth="true" style="0"/>
    <col min="4" max="4" width="80.6640625" customWidth="true" style="0"/>
    <col min="5" max="5" width="56.109375" customWidth="true" style="0"/>
    <col min="6" max="6" width="25.5546875" customWidth="true" style="0"/>
    <col min="7" max="7" width="33.33203125" customWidth="true" style="0"/>
    <col min="8" max="8" width="35.5546875" customWidth="true" style="0"/>
    <col min="9" max="9" width="42.6640625" customWidth="true" style="0"/>
    <col min="10" max="10" width="32.5546875" customWidth="true" style="0"/>
    <col min="11" max="11" width="8.6640625" customWidth="true" style="0"/>
  </cols>
  <sheetData>
    <row r="1" spans="1:11" customHeight="1" ht="24.6">
      <c r="A1" s="235" t="s">
        <v>0</v>
      </c>
      <c r="B1" s="236"/>
      <c r="C1" s="236"/>
      <c r="D1" s="236"/>
      <c r="E1" s="236"/>
      <c r="F1" s="236"/>
      <c r="G1" s="236"/>
      <c r="H1" s="236"/>
      <c r="I1" s="236"/>
    </row>
    <row r="2" spans="1:11" customHeight="1" ht="24.6">
      <c r="A2" s="235" t="s">
        <v>1</v>
      </c>
      <c r="B2" s="235"/>
      <c r="C2" s="235"/>
      <c r="D2" s="235"/>
      <c r="E2" s="235"/>
      <c r="F2" s="235"/>
      <c r="G2" s="235"/>
      <c r="H2" s="235"/>
      <c r="I2" s="235"/>
    </row>
    <row r="3" spans="1:11" customHeight="1" ht="24.6">
      <c r="A3" s="1"/>
      <c r="B3" s="1"/>
      <c r="C3" s="1"/>
      <c r="D3" s="1"/>
      <c r="E3" s="1"/>
      <c r="F3" s="1"/>
      <c r="G3" s="1"/>
      <c r="I3" s="1"/>
    </row>
    <row r="4" spans="1:11" customHeight="1" ht="24.6">
      <c r="A4" s="1" t="s">
        <v>2</v>
      </c>
      <c r="B4" s="1"/>
      <c r="C4" s="1"/>
      <c r="D4" s="1"/>
      <c r="E4" s="1"/>
      <c r="F4" s="1"/>
      <c r="G4" s="1"/>
      <c r="I4" s="1"/>
    </row>
    <row r="5" spans="1:11" customHeight="1" ht="24.6">
      <c r="A5" s="1" t="s">
        <v>3</v>
      </c>
      <c r="B5" s="1"/>
      <c r="C5" s="1"/>
      <c r="D5" s="1"/>
      <c r="E5" s="1"/>
      <c r="F5" s="1"/>
      <c r="G5" s="1"/>
      <c r="H5" s="1" t="s">
        <v>4</v>
      </c>
      <c r="I5" s="1"/>
    </row>
    <row r="6" spans="1:11" customHeight="1" ht="24.6">
      <c r="A6" s="1" t="s">
        <v>5</v>
      </c>
      <c r="B6" s="1"/>
      <c r="C6" s="1"/>
      <c r="D6" s="1"/>
      <c r="E6" s="1"/>
      <c r="F6" s="1"/>
      <c r="G6" s="1"/>
      <c r="H6" s="1" t="s">
        <v>6</v>
      </c>
      <c r="I6" s="1"/>
    </row>
    <row r="7" spans="1:11" customHeight="1" ht="24.6">
      <c r="B7" s="1"/>
      <c r="C7" s="2"/>
      <c r="D7" s="1"/>
      <c r="E7" s="1"/>
      <c r="F7" s="1"/>
      <c r="G7" s="1"/>
      <c r="H7" s="1"/>
      <c r="I7" s="1"/>
    </row>
    <row r="8" spans="1:11" customHeight="1" ht="25.2">
      <c r="B8" s="1"/>
      <c r="C8" s="2"/>
      <c r="D8" s="1"/>
      <c r="E8" s="1"/>
      <c r="F8" s="1"/>
      <c r="G8" s="1"/>
      <c r="H8" s="1"/>
      <c r="I8" s="1"/>
    </row>
    <row r="9" spans="1:11" customHeight="1" ht="88.5">
      <c r="A9" s="237" t="s">
        <v>7</v>
      </c>
      <c r="B9" s="239" t="s">
        <v>8</v>
      </c>
      <c r="C9" s="239" t="s">
        <v>9</v>
      </c>
      <c r="D9" s="239" t="s">
        <v>10</v>
      </c>
      <c r="E9" s="241" t="s">
        <v>11</v>
      </c>
      <c r="F9" s="50" t="s">
        <v>12</v>
      </c>
      <c r="G9" s="242" t="s">
        <v>13</v>
      </c>
      <c r="H9" s="244" t="s">
        <v>14</v>
      </c>
      <c r="I9" s="246" t="s">
        <v>15</v>
      </c>
      <c r="J9" s="3"/>
      <c r="K9" s="3"/>
    </row>
    <row r="10" spans="1:11" customHeight="1" ht="24.6">
      <c r="A10" s="238"/>
      <c r="B10" s="240"/>
      <c r="C10" s="240"/>
      <c r="D10" s="240"/>
      <c r="E10" s="240"/>
      <c r="F10" s="51"/>
      <c r="G10" s="243"/>
      <c r="H10" s="245"/>
      <c r="I10" s="247"/>
    </row>
    <row r="11" spans="1:11" customHeight="1" ht="24.6" s="4" customFormat="1">
      <c r="A11" s="52">
        <v>1</v>
      </c>
      <c r="B11" s="53">
        <v>2</v>
      </c>
      <c r="C11" s="53">
        <v>3</v>
      </c>
      <c r="D11" s="53">
        <v>4</v>
      </c>
      <c r="E11" s="291">
        <v>5</v>
      </c>
      <c r="F11" s="291">
        <v>6</v>
      </c>
      <c r="G11" s="54">
        <v>7</v>
      </c>
      <c r="H11" s="55">
        <v>8</v>
      </c>
      <c r="I11" s="56">
        <v>9</v>
      </c>
    </row>
    <row r="12" spans="1:11" customHeight="1" ht="24.6">
      <c r="A12" s="57" t="s">
        <v>16</v>
      </c>
      <c r="B12" s="58"/>
      <c r="C12" s="58"/>
      <c r="D12" s="58"/>
      <c r="E12" s="59"/>
      <c r="F12" s="59"/>
      <c r="G12" s="60"/>
      <c r="H12" s="58"/>
      <c r="I12" s="61"/>
    </row>
    <row r="13" spans="1:11" customHeight="1" ht="167.25">
      <c r="A13" s="120" t="s">
        <v>17</v>
      </c>
      <c r="B13" s="122" t="s">
        <v>18</v>
      </c>
      <c r="C13" s="122" t="s">
        <v>19</v>
      </c>
      <c r="D13" s="227" t="s">
        <v>20</v>
      </c>
      <c r="E13" s="5" t="s">
        <v>21</v>
      </c>
      <c r="F13" s="185"/>
      <c r="G13" s="234">
        <v>10000</v>
      </c>
      <c r="H13" s="223" t="s">
        <v>22</v>
      </c>
      <c r="I13" s="225" t="s">
        <v>23</v>
      </c>
      <c r="J13" s="6"/>
      <c r="K13" s="6"/>
    </row>
    <row r="14" spans="1:11" customHeight="1" ht="148.5">
      <c r="A14" s="182"/>
      <c r="B14" s="123"/>
      <c r="C14" s="123"/>
      <c r="D14" s="228"/>
      <c r="E14" s="7" t="s">
        <v>24</v>
      </c>
      <c r="F14" s="185"/>
      <c r="G14" s="234"/>
      <c r="H14" s="224"/>
      <c r="I14" s="226"/>
      <c r="J14" s="6"/>
      <c r="K14" s="6"/>
    </row>
    <row r="15" spans="1:11" customHeight="1" ht="93.75">
      <c r="A15" s="120" t="s">
        <v>25</v>
      </c>
      <c r="B15" s="122" t="s">
        <v>26</v>
      </c>
      <c r="C15" s="227" t="s">
        <v>27</v>
      </c>
      <c r="D15" s="8" t="s">
        <v>28</v>
      </c>
      <c r="E15" s="9" t="s">
        <v>29</v>
      </c>
      <c r="F15" s="9" t="s">
        <v>30</v>
      </c>
      <c r="G15" s="229">
        <v>150000</v>
      </c>
      <c r="H15" s="230">
        <v>150000</v>
      </c>
      <c r="I15" s="135"/>
      <c r="J15" s="6"/>
      <c r="K15" s="6"/>
    </row>
    <row r="16" spans="1:11" customHeight="1" ht="87.75">
      <c r="A16" s="121"/>
      <c r="B16" s="124"/>
      <c r="C16" s="228"/>
      <c r="D16" s="10" t="s">
        <v>31</v>
      </c>
      <c r="E16" s="11" t="s">
        <v>32</v>
      </c>
      <c r="F16" s="9" t="s">
        <v>33</v>
      </c>
      <c r="G16" s="229"/>
      <c r="H16" s="231"/>
      <c r="I16" s="136"/>
      <c r="J16" s="6"/>
      <c r="K16" s="6"/>
    </row>
    <row r="17" spans="1:11" customHeight="1" ht="40.5">
      <c r="A17" s="182"/>
      <c r="B17" s="124"/>
      <c r="C17" s="228"/>
      <c r="D17" s="10"/>
      <c r="E17" s="12" t="s">
        <v>34</v>
      </c>
      <c r="F17" s="5"/>
      <c r="G17" s="229"/>
      <c r="H17" s="232"/>
      <c r="I17" s="233"/>
      <c r="J17" s="6"/>
      <c r="K17" s="6"/>
    </row>
    <row r="18" spans="1:11" customHeight="1" ht="171.75">
      <c r="A18" s="212" t="s">
        <v>35</v>
      </c>
      <c r="B18" s="13" t="s">
        <v>36</v>
      </c>
      <c r="C18" s="14" t="s">
        <v>37</v>
      </c>
      <c r="D18" s="15" t="s">
        <v>38</v>
      </c>
      <c r="E18" s="14" t="s">
        <v>39</v>
      </c>
      <c r="F18" s="14" t="s">
        <v>40</v>
      </c>
      <c r="G18" s="214">
        <v>15000</v>
      </c>
      <c r="H18" s="217">
        <v>15000</v>
      </c>
      <c r="I18" s="219"/>
      <c r="J18" s="6"/>
      <c r="K18" s="6"/>
    </row>
    <row r="19" spans="1:11" customHeight="1" ht="83.25">
      <c r="A19" s="213"/>
      <c r="B19" s="221" t="s">
        <v>41</v>
      </c>
      <c r="C19" s="222" t="s">
        <v>42</v>
      </c>
      <c r="D19" s="292" t="s">
        <v>43</v>
      </c>
      <c r="E19" s="17" t="s">
        <v>44</v>
      </c>
      <c r="F19" s="17"/>
      <c r="G19" s="215"/>
      <c r="H19" s="218"/>
      <c r="I19" s="220"/>
      <c r="J19" s="6"/>
      <c r="K19" s="6"/>
    </row>
    <row r="20" spans="1:11" customHeight="1" ht="78.75">
      <c r="A20" s="213"/>
      <c r="B20" s="221"/>
      <c r="C20" s="222"/>
      <c r="D20" s="292"/>
      <c r="E20" s="18" t="s">
        <v>45</v>
      </c>
      <c r="F20" s="17" t="s">
        <v>46</v>
      </c>
      <c r="G20" s="215"/>
      <c r="H20" s="218"/>
      <c r="I20" s="220"/>
      <c r="J20" s="6"/>
      <c r="K20" s="6"/>
    </row>
    <row r="21" spans="1:11" customHeight="1" ht="97.5">
      <c r="A21" s="213"/>
      <c r="B21" s="19" t="s">
        <v>47</v>
      </c>
      <c r="C21" s="16" t="s">
        <v>48</v>
      </c>
      <c r="D21" s="293" t="s">
        <v>49</v>
      </c>
      <c r="E21" s="7" t="s">
        <v>50</v>
      </c>
      <c r="F21" s="20"/>
      <c r="G21" s="216"/>
      <c r="H21" s="218"/>
      <c r="I21" s="220"/>
      <c r="J21" s="6"/>
      <c r="K21" s="6"/>
    </row>
    <row r="22" spans="1:11" customHeight="1" ht="75.75">
      <c r="A22" s="204" t="s">
        <v>51</v>
      </c>
      <c r="B22" s="103" t="s">
        <v>52</v>
      </c>
      <c r="C22" s="5" t="s">
        <v>53</v>
      </c>
      <c r="D22" s="12" t="s">
        <v>54</v>
      </c>
      <c r="E22" s="10" t="s">
        <v>55</v>
      </c>
      <c r="F22" s="109" t="s">
        <v>56</v>
      </c>
      <c r="G22" s="210">
        <v>180000</v>
      </c>
      <c r="H22" s="98">
        <v>180000</v>
      </c>
      <c r="I22" s="208"/>
      <c r="J22" s="6"/>
      <c r="K22" s="6"/>
    </row>
    <row r="23" spans="1:11" customHeight="1" ht="69.75">
      <c r="A23" s="209"/>
      <c r="B23" s="129"/>
      <c r="C23" s="23" t="s">
        <v>57</v>
      </c>
      <c r="D23" s="23" t="s">
        <v>58</v>
      </c>
      <c r="E23" s="10" t="s">
        <v>50</v>
      </c>
      <c r="F23" s="110"/>
      <c r="G23" s="210"/>
      <c r="H23" s="130"/>
      <c r="I23" s="211"/>
      <c r="J23" s="6"/>
      <c r="K23" s="6"/>
    </row>
    <row r="24" spans="1:11" customHeight="1" ht="301.8">
      <c r="A24" s="258" t="s">
        <v>59</v>
      </c>
      <c r="B24" s="259" t="s">
        <v>60</v>
      </c>
      <c r="C24" s="260" t="s">
        <v>61</v>
      </c>
      <c r="D24" s="261" t="s">
        <v>62</v>
      </c>
      <c r="E24" s="262" t="s">
        <v>63</v>
      </c>
      <c r="F24" s="263" t="s">
        <v>64</v>
      </c>
      <c r="G24" s="264">
        <v>1000000</v>
      </c>
      <c r="H24" s="265">
        <v>952000</v>
      </c>
      <c r="I24" s="266" t="s">
        <v>65</v>
      </c>
      <c r="J24" s="6"/>
      <c r="K24" s="6"/>
    </row>
    <row r="25" spans="1:11" customHeight="1" ht="147">
      <c r="A25" s="267"/>
      <c r="B25" s="260"/>
      <c r="C25" s="260"/>
      <c r="D25" s="268"/>
      <c r="E25" s="269" t="s">
        <v>66</v>
      </c>
      <c r="F25" s="269" t="s">
        <v>66</v>
      </c>
      <c r="G25" s="270">
        <v>300000</v>
      </c>
      <c r="H25" s="271">
        <v>300000</v>
      </c>
      <c r="I25" s="272"/>
      <c r="J25" s="6"/>
      <c r="K25" s="6"/>
    </row>
    <row r="26" spans="1:11" customHeight="1" ht="145.5">
      <c r="A26" s="267"/>
      <c r="B26" s="260"/>
      <c r="C26" s="260"/>
      <c r="D26" s="268"/>
      <c r="E26" s="269"/>
      <c r="F26" s="273"/>
      <c r="G26" s="270"/>
      <c r="H26" s="271"/>
      <c r="I26" s="272"/>
      <c r="J26" s="6"/>
      <c r="K26" s="6"/>
    </row>
    <row r="27" spans="1:11" customHeight="1" ht="49.5">
      <c r="A27" s="274"/>
      <c r="B27" s="275"/>
      <c r="C27" s="275"/>
      <c r="D27" s="276"/>
      <c r="E27" s="277" t="s">
        <v>50</v>
      </c>
      <c r="F27" s="278"/>
      <c r="G27" s="279"/>
      <c r="H27" s="280"/>
      <c r="I27" s="281"/>
      <c r="J27" s="6"/>
      <c r="K27" s="6"/>
    </row>
    <row r="28" spans="1:11" customHeight="1" ht="223.5">
      <c r="A28" s="204" t="s">
        <v>67</v>
      </c>
      <c r="B28" s="103" t="s">
        <v>68</v>
      </c>
      <c r="C28" s="206" t="s">
        <v>69</v>
      </c>
      <c r="D28" s="24" t="s">
        <v>70</v>
      </c>
      <c r="E28" s="22" t="s">
        <v>71</v>
      </c>
      <c r="F28" s="109" t="s">
        <v>72</v>
      </c>
      <c r="G28" s="188">
        <v>71545</v>
      </c>
      <c r="H28" s="188">
        <v>80376.63</v>
      </c>
      <c r="I28" s="80" t="s">
        <v>73</v>
      </c>
      <c r="J28" s="6"/>
      <c r="K28" s="6"/>
    </row>
    <row r="29" spans="1:11" customHeight="1" ht="66">
      <c r="A29" s="205"/>
      <c r="B29" s="104"/>
      <c r="C29" s="207"/>
      <c r="D29" s="25" t="s">
        <v>74</v>
      </c>
      <c r="E29" s="26" t="s">
        <v>50</v>
      </c>
      <c r="F29" s="110"/>
      <c r="G29" s="189"/>
      <c r="H29" s="189"/>
      <c r="I29" s="254"/>
      <c r="J29" s="6"/>
      <c r="K29" s="6"/>
    </row>
    <row r="30" spans="1:11" customHeight="1" ht="90.75">
      <c r="A30" s="204" t="s">
        <v>75</v>
      </c>
      <c r="B30" s="103" t="s">
        <v>76</v>
      </c>
      <c r="C30" s="103" t="s">
        <v>77</v>
      </c>
      <c r="D30" s="103" t="s">
        <v>78</v>
      </c>
      <c r="E30" s="21" t="s">
        <v>79</v>
      </c>
      <c r="F30" s="109" t="s">
        <v>80</v>
      </c>
      <c r="G30" s="188">
        <v>887040</v>
      </c>
      <c r="H30" s="188">
        <v>887040</v>
      </c>
      <c r="I30" s="190"/>
      <c r="J30" s="6"/>
      <c r="K30" s="6"/>
    </row>
    <row r="31" spans="1:11" customHeight="1" ht="58.5">
      <c r="A31" s="205"/>
      <c r="B31" s="104"/>
      <c r="C31" s="104"/>
      <c r="D31" s="104"/>
      <c r="E31" s="26" t="s">
        <v>50</v>
      </c>
      <c r="F31" s="110"/>
      <c r="G31" s="189"/>
      <c r="H31" s="189"/>
      <c r="I31" s="191"/>
      <c r="J31" s="6"/>
      <c r="K31" s="6"/>
    </row>
    <row r="32" spans="1:11" customHeight="1" ht="108">
      <c r="A32" s="192" t="s">
        <v>81</v>
      </c>
      <c r="B32" s="194" t="s">
        <v>82</v>
      </c>
      <c r="C32" s="196" t="s">
        <v>83</v>
      </c>
      <c r="D32" s="194" t="s">
        <v>84</v>
      </c>
      <c r="E32" s="27" t="s">
        <v>85</v>
      </c>
      <c r="F32" s="198" t="s">
        <v>86</v>
      </c>
      <c r="G32" s="200">
        <v>1200000</v>
      </c>
      <c r="H32" s="202">
        <v>1128493</v>
      </c>
      <c r="I32" s="100" t="s">
        <v>65</v>
      </c>
      <c r="J32" s="6"/>
      <c r="K32" s="6"/>
    </row>
    <row r="33" spans="1:11" customHeight="1" ht="45.75">
      <c r="A33" s="193"/>
      <c r="B33" s="195"/>
      <c r="C33" s="197"/>
      <c r="D33" s="195"/>
      <c r="E33" s="28" t="s">
        <v>50</v>
      </c>
      <c r="F33" s="199"/>
      <c r="G33" s="201"/>
      <c r="H33" s="203"/>
      <c r="I33" s="101"/>
      <c r="J33" s="6"/>
      <c r="K33" s="6"/>
    </row>
    <row r="34" spans="1:11" customHeight="1" ht="60">
      <c r="A34" s="121" t="s">
        <v>87</v>
      </c>
      <c r="B34" s="124" t="s">
        <v>88</v>
      </c>
      <c r="C34" s="124" t="s">
        <v>89</v>
      </c>
      <c r="D34" s="183" t="s">
        <v>90</v>
      </c>
      <c r="E34" s="23" t="s">
        <v>91</v>
      </c>
      <c r="F34" s="185" t="s">
        <v>92</v>
      </c>
      <c r="G34" s="186">
        <v>10000</v>
      </c>
      <c r="H34" s="172"/>
      <c r="I34" s="248" t="s">
        <v>93</v>
      </c>
      <c r="J34" s="6"/>
      <c r="K34" s="6"/>
    </row>
    <row r="35" spans="1:11" customHeight="1" ht="91.5">
      <c r="A35" s="182"/>
      <c r="B35" s="123"/>
      <c r="C35" s="123"/>
      <c r="D35" s="184"/>
      <c r="E35" s="20" t="s">
        <v>94</v>
      </c>
      <c r="F35" s="185"/>
      <c r="G35" s="187"/>
      <c r="H35" s="173"/>
      <c r="I35" s="249"/>
      <c r="J35" s="6"/>
      <c r="K35" s="6"/>
    </row>
    <row r="36" spans="1:11" customHeight="1" ht="65.25">
      <c r="A36" s="137" t="s">
        <v>95</v>
      </c>
      <c r="B36" s="140" t="s">
        <v>96</v>
      </c>
      <c r="C36" s="176" t="s">
        <v>97</v>
      </c>
      <c r="D36" s="143" t="s">
        <v>98</v>
      </c>
      <c r="E36" s="29" t="s">
        <v>99</v>
      </c>
      <c r="F36" s="94" t="s">
        <v>100</v>
      </c>
      <c r="G36" s="179">
        <v>250000</v>
      </c>
      <c r="H36" s="149">
        <v>217206</v>
      </c>
      <c r="I36" s="250" t="s">
        <v>65</v>
      </c>
      <c r="J36" s="6"/>
      <c r="K36" s="6"/>
    </row>
    <row r="37" spans="1:11" customHeight="1" ht="147.75">
      <c r="A37" s="174"/>
      <c r="B37" s="175"/>
      <c r="C37" s="177"/>
      <c r="D37" s="178"/>
      <c r="E37" s="30" t="s">
        <v>50</v>
      </c>
      <c r="F37" s="132"/>
      <c r="G37" s="180"/>
      <c r="H37" s="181"/>
      <c r="I37" s="251"/>
      <c r="J37" s="6"/>
      <c r="K37" s="6"/>
    </row>
    <row r="38" spans="1:11" customHeight="1" ht="66">
      <c r="A38" s="157" t="s">
        <v>101</v>
      </c>
      <c r="B38" s="93" t="s">
        <v>102</v>
      </c>
      <c r="C38" s="93" t="s">
        <v>103</v>
      </c>
      <c r="D38" s="168" t="s">
        <v>104</v>
      </c>
      <c r="E38" s="31"/>
      <c r="F38" s="94" t="s">
        <v>105</v>
      </c>
      <c r="G38" s="170">
        <v>380000</v>
      </c>
      <c r="H38" s="152">
        <v>380000</v>
      </c>
      <c r="I38" s="154"/>
      <c r="J38" s="6"/>
      <c r="K38" s="6"/>
    </row>
    <row r="39" spans="1:11" customHeight="1" ht="82.5">
      <c r="A39" s="166"/>
      <c r="B39" s="93"/>
      <c r="C39" s="93"/>
      <c r="D39" s="168"/>
      <c r="E39" s="32" t="s">
        <v>106</v>
      </c>
      <c r="F39" s="95"/>
      <c r="G39" s="170"/>
      <c r="H39" s="152"/>
      <c r="I39" s="154"/>
      <c r="J39" s="6"/>
      <c r="K39" s="6"/>
    </row>
    <row r="40" spans="1:11" customHeight="1" ht="57">
      <c r="A40" s="167"/>
      <c r="B40" s="159"/>
      <c r="C40" s="159"/>
      <c r="D40" s="169"/>
      <c r="E40" s="31" t="s">
        <v>50</v>
      </c>
      <c r="F40" s="132"/>
      <c r="G40" s="171"/>
      <c r="H40" s="153"/>
      <c r="I40" s="155"/>
      <c r="J40" s="6"/>
      <c r="K40" s="6"/>
    </row>
    <row r="41" spans="1:11" customHeight="1" ht="92.25" s="35" customFormat="1">
      <c r="A41" s="156" t="s">
        <v>107</v>
      </c>
      <c r="B41" s="92" t="s">
        <v>108</v>
      </c>
      <c r="C41" s="160" t="s">
        <v>109</v>
      </c>
      <c r="D41" s="92" t="s">
        <v>110</v>
      </c>
      <c r="E41" s="33" t="s">
        <v>111</v>
      </c>
      <c r="F41" s="94" t="s">
        <v>112</v>
      </c>
      <c r="G41" s="163">
        <v>568455</v>
      </c>
      <c r="H41" s="152">
        <v>568455</v>
      </c>
      <c r="I41" s="154"/>
      <c r="J41" s="34"/>
      <c r="K41" s="34"/>
    </row>
    <row r="42" spans="1:11" customHeight="1" ht="96">
      <c r="A42" s="157"/>
      <c r="B42" s="93"/>
      <c r="C42" s="161"/>
      <c r="D42" s="93"/>
      <c r="E42" s="32" t="s">
        <v>113</v>
      </c>
      <c r="F42" s="95"/>
      <c r="G42" s="164"/>
      <c r="H42" s="152"/>
      <c r="I42" s="154"/>
      <c r="J42" s="6"/>
      <c r="K42" s="6"/>
    </row>
    <row r="43" spans="1:11" customHeight="1" ht="36">
      <c r="A43" s="158"/>
      <c r="B43" s="159"/>
      <c r="C43" s="162"/>
      <c r="D43" s="159"/>
      <c r="E43" s="30" t="s">
        <v>50</v>
      </c>
      <c r="F43" s="132"/>
      <c r="G43" s="165"/>
      <c r="H43" s="153"/>
      <c r="I43" s="155"/>
      <c r="J43" s="6"/>
      <c r="K43" s="6"/>
    </row>
    <row r="44" spans="1:11" customHeight="1" ht="177.75">
      <c r="A44" s="36" t="s">
        <v>114</v>
      </c>
      <c r="B44" s="37" t="s">
        <v>115</v>
      </c>
      <c r="C44" s="38" t="s">
        <v>116</v>
      </c>
      <c r="D44" s="39" t="s">
        <v>117</v>
      </c>
      <c r="E44" s="29" t="s">
        <v>118</v>
      </c>
      <c r="F44" s="29" t="s">
        <v>119</v>
      </c>
      <c r="G44" s="41">
        <v>100000</v>
      </c>
      <c r="H44" s="42">
        <v>100000</v>
      </c>
      <c r="I44" s="43"/>
      <c r="J44" s="6"/>
      <c r="K44" s="6"/>
    </row>
    <row r="45" spans="1:11" customHeight="1" ht="151.5">
      <c r="A45" s="137" t="s">
        <v>120</v>
      </c>
      <c r="B45" s="140" t="s">
        <v>121</v>
      </c>
      <c r="C45" s="140" t="s">
        <v>122</v>
      </c>
      <c r="D45" s="143" t="s">
        <v>123</v>
      </c>
      <c r="E45" s="29" t="s">
        <v>124</v>
      </c>
      <c r="F45" s="40" t="s">
        <v>125</v>
      </c>
      <c r="G45" s="146">
        <v>566400</v>
      </c>
      <c r="H45" s="149">
        <v>528000</v>
      </c>
      <c r="I45" s="250" t="s">
        <v>65</v>
      </c>
      <c r="J45" s="6"/>
      <c r="K45" s="6"/>
    </row>
    <row r="46" spans="1:11" customHeight="1" ht="131.25">
      <c r="A46" s="138"/>
      <c r="B46" s="141"/>
      <c r="C46" s="141"/>
      <c r="D46" s="144"/>
      <c r="E46" s="31" t="s">
        <v>126</v>
      </c>
      <c r="F46" s="40" t="s">
        <v>127</v>
      </c>
      <c r="G46" s="147"/>
      <c r="H46" s="150"/>
      <c r="I46" s="154"/>
      <c r="J46" s="6"/>
      <c r="K46" s="6"/>
    </row>
    <row r="47" spans="1:11" customHeight="1" ht="66.75">
      <c r="A47" s="139"/>
      <c r="B47" s="142"/>
      <c r="C47" s="142"/>
      <c r="D47" s="145"/>
      <c r="E47" s="31" t="s">
        <v>50</v>
      </c>
      <c r="F47" s="40"/>
      <c r="G47" s="148"/>
      <c r="H47" s="151"/>
      <c r="I47" s="155"/>
      <c r="J47" s="6"/>
      <c r="K47" s="6"/>
    </row>
    <row r="48" spans="1:11" customHeight="1" ht="159">
      <c r="A48" s="120" t="s">
        <v>128</v>
      </c>
      <c r="B48" s="122" t="s">
        <v>129</v>
      </c>
      <c r="C48" s="122" t="s">
        <v>130</v>
      </c>
      <c r="D48" s="125" t="s">
        <v>131</v>
      </c>
      <c r="E48" s="29" t="s">
        <v>132</v>
      </c>
      <c r="F48" s="94" t="s">
        <v>133</v>
      </c>
      <c r="G48" s="127">
        <v>50000</v>
      </c>
      <c r="H48" s="133">
        <v>30000</v>
      </c>
      <c r="I48" s="135" t="s">
        <v>65</v>
      </c>
      <c r="J48" s="6"/>
      <c r="K48" s="6"/>
    </row>
    <row r="49" spans="1:11" customHeight="1" ht="111">
      <c r="A49" s="121"/>
      <c r="B49" s="124"/>
      <c r="C49" s="124"/>
      <c r="D49" s="282"/>
      <c r="E49" s="31" t="s">
        <v>50</v>
      </c>
      <c r="F49" s="95"/>
      <c r="G49" s="128"/>
      <c r="H49" s="134"/>
      <c r="I49" s="136"/>
      <c r="J49" s="6"/>
      <c r="K49" s="6"/>
    </row>
    <row r="50" spans="1:11" customHeight="1" ht="154.8">
      <c r="A50" s="90" t="s">
        <v>134</v>
      </c>
      <c r="B50" s="109" t="s">
        <v>135</v>
      </c>
      <c r="C50" s="285" t="s">
        <v>136</v>
      </c>
      <c r="D50" s="285" t="s">
        <v>137</v>
      </c>
      <c r="E50" s="109" t="s">
        <v>138</v>
      </c>
      <c r="F50" s="109" t="s">
        <v>139</v>
      </c>
      <c r="G50" s="111">
        <v>130000</v>
      </c>
      <c r="H50" s="287">
        <v>199399</v>
      </c>
      <c r="I50" s="80" t="s">
        <v>73</v>
      </c>
      <c r="J50" s="6"/>
      <c r="K50" s="6"/>
    </row>
    <row r="51" spans="1:11" customHeight="1" ht="105">
      <c r="A51" s="102"/>
      <c r="B51" s="110"/>
      <c r="C51" s="285" t="s">
        <v>140</v>
      </c>
      <c r="D51" s="285" t="s">
        <v>141</v>
      </c>
      <c r="E51" s="110"/>
      <c r="F51" s="110"/>
      <c r="G51" s="112"/>
      <c r="H51" s="287"/>
      <c r="I51" s="254"/>
      <c r="J51" s="6"/>
      <c r="K51" s="6"/>
    </row>
    <row r="52" spans="1:11" customHeight="1" ht="130.8">
      <c r="A52" s="294" t="s">
        <v>142</v>
      </c>
      <c r="B52" s="285" t="s">
        <v>143</v>
      </c>
      <c r="C52" s="285" t="s">
        <v>144</v>
      </c>
      <c r="D52" s="285" t="s">
        <v>145</v>
      </c>
      <c r="E52" s="9" t="s">
        <v>146</v>
      </c>
      <c r="F52" s="11"/>
      <c r="G52" s="286">
        <v>500000</v>
      </c>
      <c r="H52" s="288"/>
      <c r="I52" s="295" t="s">
        <v>147</v>
      </c>
      <c r="J52" s="6"/>
      <c r="K52" s="6"/>
    </row>
    <row r="53" spans="1:11" customHeight="1" ht="78">
      <c r="A53" s="294" t="s">
        <v>148</v>
      </c>
      <c r="B53" s="285" t="s">
        <v>149</v>
      </c>
      <c r="C53" s="285" t="s">
        <v>150</v>
      </c>
      <c r="D53" s="9" t="s">
        <v>151</v>
      </c>
      <c r="E53" s="9" t="s">
        <v>151</v>
      </c>
      <c r="F53" s="9" t="s">
        <v>151</v>
      </c>
      <c r="G53" s="286">
        <v>30000</v>
      </c>
      <c r="H53" s="289">
        <v>30000</v>
      </c>
      <c r="I53" s="296"/>
      <c r="J53" s="6"/>
      <c r="K53" s="6"/>
    </row>
    <row r="54" spans="1:11" customHeight="1" ht="198">
      <c r="A54" s="294" t="s">
        <v>152</v>
      </c>
      <c r="B54" s="285" t="s">
        <v>153</v>
      </c>
      <c r="C54" s="285" t="s">
        <v>150</v>
      </c>
      <c r="D54" s="285" t="s">
        <v>154</v>
      </c>
      <c r="E54" s="11"/>
      <c r="F54" s="11"/>
      <c r="G54" s="286">
        <v>202696.4</v>
      </c>
      <c r="H54" s="288"/>
      <c r="I54" s="295" t="s">
        <v>155</v>
      </c>
      <c r="J54" s="6"/>
      <c r="K54" s="6"/>
    </row>
    <row r="55" spans="1:11" customHeight="1" ht="48.75">
      <c r="A55" s="283" t="s">
        <v>156</v>
      </c>
      <c r="B55" s="284"/>
      <c r="C55" s="284"/>
      <c r="D55" s="284"/>
      <c r="E55" s="131"/>
      <c r="F55" s="62"/>
      <c r="G55" s="63">
        <f>SUM(G13:G54)</f>
        <v>6601136.4</v>
      </c>
      <c r="H55" s="64">
        <f>SUM(H13:H54)</f>
        <v>5745969.63</v>
      </c>
      <c r="I55" s="65"/>
      <c r="J55" s="6"/>
      <c r="K55" s="6"/>
    </row>
    <row r="56" spans="1:11" customHeight="1" ht="45" s="45" customFormat="1">
      <c r="A56" s="116" t="s">
        <v>157</v>
      </c>
      <c r="B56" s="117"/>
      <c r="C56" s="117"/>
      <c r="D56" s="117"/>
      <c r="E56" s="118"/>
      <c r="F56" s="118"/>
      <c r="G56" s="117"/>
      <c r="H56" s="117"/>
      <c r="I56" s="119"/>
      <c r="J56" s="44"/>
      <c r="K56" s="44"/>
    </row>
    <row r="57" spans="1:11" customHeight="1" ht="114.75">
      <c r="A57" s="120" t="s">
        <v>158</v>
      </c>
      <c r="B57" s="122" t="s">
        <v>159</v>
      </c>
      <c r="C57" s="122" t="s">
        <v>160</v>
      </c>
      <c r="D57" s="125" t="s">
        <v>161</v>
      </c>
      <c r="E57" s="33" t="s">
        <v>162</v>
      </c>
      <c r="F57" s="29" t="s">
        <v>162</v>
      </c>
      <c r="G57" s="127">
        <v>80000</v>
      </c>
      <c r="H57" s="253">
        <v>72641.75</v>
      </c>
      <c r="I57" s="100" t="s">
        <v>65</v>
      </c>
      <c r="J57" s="6"/>
      <c r="K57" s="6"/>
    </row>
    <row r="58" spans="1:11" customHeight="1" ht="110.25">
      <c r="A58" s="121"/>
      <c r="B58" s="123"/>
      <c r="C58" s="124"/>
      <c r="D58" s="126"/>
      <c r="E58" s="30" t="s">
        <v>50</v>
      </c>
      <c r="F58" s="252"/>
      <c r="G58" s="128"/>
      <c r="H58" s="172"/>
      <c r="I58" s="101"/>
      <c r="J58" s="6"/>
      <c r="K58" s="6"/>
    </row>
    <row r="59" spans="1:11" customHeight="1" ht="130.5">
      <c r="A59" s="90" t="s">
        <v>163</v>
      </c>
      <c r="B59" s="113" t="s">
        <v>164</v>
      </c>
      <c r="C59" s="103" t="s">
        <v>165</v>
      </c>
      <c r="D59" s="114" t="s">
        <v>166</v>
      </c>
      <c r="E59" s="5" t="s">
        <v>167</v>
      </c>
      <c r="F59" s="109" t="s">
        <v>168</v>
      </c>
      <c r="G59" s="111">
        <v>50000</v>
      </c>
      <c r="H59" s="98"/>
      <c r="I59" s="100" t="s">
        <v>169</v>
      </c>
      <c r="J59" s="6"/>
      <c r="K59" s="6"/>
    </row>
    <row r="60" spans="1:11" customHeight="1" ht="68.25">
      <c r="A60" s="102"/>
      <c r="B60" s="108"/>
      <c r="C60" s="104"/>
      <c r="D60" s="115"/>
      <c r="E60" s="20" t="s">
        <v>50</v>
      </c>
      <c r="F60" s="110"/>
      <c r="G60" s="112"/>
      <c r="H60" s="99"/>
      <c r="I60" s="101"/>
      <c r="J60" s="6"/>
      <c r="K60" s="6"/>
    </row>
    <row r="61" spans="1:11" customHeight="1" ht="131.25">
      <c r="A61" s="90" t="s">
        <v>170</v>
      </c>
      <c r="B61" s="103" t="s">
        <v>171</v>
      </c>
      <c r="C61" s="105" t="s">
        <v>172</v>
      </c>
      <c r="D61" s="107" t="s">
        <v>173</v>
      </c>
      <c r="E61" s="5" t="s">
        <v>174</v>
      </c>
      <c r="F61" s="109" t="s">
        <v>175</v>
      </c>
      <c r="G61" s="111">
        <v>50000</v>
      </c>
      <c r="H61" s="98">
        <v>50000</v>
      </c>
      <c r="I61" s="100"/>
      <c r="J61" s="6"/>
      <c r="K61" s="6"/>
    </row>
    <row r="62" spans="1:11" customHeight="1" ht="85.5">
      <c r="A62" s="102"/>
      <c r="B62" s="104"/>
      <c r="C62" s="106"/>
      <c r="D62" s="108"/>
      <c r="E62" s="7" t="s">
        <v>50</v>
      </c>
      <c r="F62" s="110"/>
      <c r="G62" s="112"/>
      <c r="H62" s="99"/>
      <c r="I62" s="101"/>
      <c r="J62" s="6"/>
      <c r="K62" s="6"/>
    </row>
    <row r="63" spans="1:11" customHeight="1" ht="87">
      <c r="A63" s="90" t="s">
        <v>176</v>
      </c>
      <c r="B63" s="92" t="s">
        <v>177</v>
      </c>
      <c r="C63" s="92" t="s">
        <v>178</v>
      </c>
      <c r="D63" s="92" t="s">
        <v>179</v>
      </c>
      <c r="E63" s="32" t="s">
        <v>180</v>
      </c>
      <c r="F63" s="94" t="s">
        <v>181</v>
      </c>
      <c r="G63" s="96">
        <v>30000</v>
      </c>
      <c r="H63" s="256">
        <v>201404</v>
      </c>
      <c r="I63" s="80" t="s">
        <v>73</v>
      </c>
      <c r="J63" s="6"/>
      <c r="K63" s="6"/>
    </row>
    <row r="64" spans="1:11" customHeight="1" ht="75">
      <c r="A64" s="91"/>
      <c r="B64" s="93"/>
      <c r="C64" s="93"/>
      <c r="D64" s="93"/>
      <c r="E64" s="31" t="s">
        <v>50</v>
      </c>
      <c r="F64" s="95"/>
      <c r="G64" s="97"/>
      <c r="H64" s="257"/>
      <c r="I64" s="81"/>
      <c r="J64" s="6"/>
      <c r="K64" s="6"/>
    </row>
    <row r="65" spans="1:11" customHeight="1" ht="50.25">
      <c r="A65" s="82" t="s">
        <v>182</v>
      </c>
      <c r="B65" s="83"/>
      <c r="C65" s="83"/>
      <c r="D65" s="83"/>
      <c r="E65" s="84"/>
      <c r="F65" s="66"/>
      <c r="G65" s="67">
        <f>SUM(G57:G64)</f>
        <v>210000</v>
      </c>
      <c r="H65" s="68">
        <f>SUM(H57:H64)</f>
        <v>324045.75</v>
      </c>
      <c r="I65" s="69"/>
      <c r="J65" s="6"/>
      <c r="K65" s="6"/>
    </row>
    <row r="66" spans="1:11" customHeight="1" ht="96">
      <c r="A66" s="85" t="s">
        <v>183</v>
      </c>
      <c r="B66" s="86"/>
      <c r="C66" s="86"/>
      <c r="D66" s="86"/>
      <c r="E66" s="86"/>
      <c r="F66" s="86"/>
      <c r="G66" s="46">
        <f>G55+G65</f>
        <v>6811136.4</v>
      </c>
      <c r="H66" s="47">
        <f>SUM(H55+H65)</f>
        <v>6070015.38</v>
      </c>
      <c r="I66" s="290"/>
    </row>
    <row r="67" spans="1:11" customHeight="1" ht="32.25">
      <c r="A67" s="87"/>
      <c r="B67" s="88"/>
      <c r="C67" s="88"/>
      <c r="D67" s="88"/>
      <c r="E67" s="88"/>
      <c r="F67" s="48"/>
      <c r="G67" s="89"/>
      <c r="H67" s="89"/>
      <c r="I67" s="89"/>
    </row>
    <row r="68" spans="1:11" customHeight="1" ht="45">
      <c r="A68" s="75" t="s">
        <v>184</v>
      </c>
      <c r="B68" s="76"/>
      <c r="C68" s="75" t="s">
        <v>185</v>
      </c>
      <c r="D68" s="76"/>
      <c r="E68" s="76"/>
      <c r="F68" s="70"/>
      <c r="G68" s="77"/>
      <c r="H68" s="77"/>
      <c r="I68" s="77"/>
    </row>
    <row r="69" spans="1:11" customHeight="1" ht="45">
      <c r="A69" s="73"/>
      <c r="B69" s="74"/>
      <c r="C69" s="73"/>
      <c r="D69" s="74"/>
      <c r="E69" s="255"/>
      <c r="F69" s="70"/>
      <c r="G69" s="77"/>
      <c r="H69" s="77"/>
      <c r="I69" s="77"/>
    </row>
    <row r="70" spans="1:11" customHeight="1" ht="45">
      <c r="A70" s="73"/>
      <c r="B70" s="74"/>
      <c r="C70" s="73"/>
      <c r="D70" s="74"/>
      <c r="E70" s="74"/>
      <c r="F70" s="70"/>
      <c r="G70" s="77"/>
      <c r="H70" s="77"/>
      <c r="I70" s="77"/>
    </row>
    <row r="71" spans="1:11" customHeight="1" ht="43.5">
      <c r="A71" s="78" t="s">
        <v>186</v>
      </c>
      <c r="B71" s="78"/>
      <c r="C71" s="78" t="s">
        <v>187</v>
      </c>
      <c r="D71" s="78"/>
      <c r="E71" s="78"/>
      <c r="F71" s="71"/>
      <c r="G71" s="77"/>
      <c r="H71" s="77"/>
      <c r="I71" s="77"/>
    </row>
    <row r="72" spans="1:11" customHeight="1" ht="60">
      <c r="A72" s="79" t="s">
        <v>188</v>
      </c>
      <c r="B72" s="79"/>
      <c r="C72" s="79" t="s">
        <v>189</v>
      </c>
      <c r="D72" s="79"/>
      <c r="E72" s="79"/>
      <c r="F72" s="72"/>
      <c r="G72" s="77"/>
      <c r="H72" s="77"/>
      <c r="I72" s="77"/>
    </row>
    <row r="73" spans="1:11" customHeight="1" ht="123.75">
      <c r="A73" s="49"/>
      <c r="B73" s="49"/>
      <c r="C73" s="49"/>
      <c r="D73" s="49"/>
      <c r="E73" s="49"/>
      <c r="F73" s="49"/>
      <c r="G73" s="49"/>
      <c r="H73" s="49"/>
      <c r="I73" s="49"/>
    </row>
    <row r="74" spans="1:11" customHeight="1" ht="15.75">
      <c r="A74" s="49"/>
      <c r="B74" s="49"/>
      <c r="C74" s="49"/>
      <c r="D74" s="49"/>
      <c r="E74" s="49"/>
      <c r="F74" s="49"/>
      <c r="G74" s="49"/>
      <c r="H74" s="49"/>
      <c r="I74" s="49"/>
    </row>
    <row r="75" spans="1:11" customHeight="1" ht="15.75">
      <c r="A75" s="49"/>
      <c r="B75" s="49"/>
      <c r="C75" s="49"/>
      <c r="D75" s="49"/>
      <c r="E75" s="49"/>
      <c r="F75" s="49"/>
      <c r="G75" s="49"/>
      <c r="H75" s="49"/>
      <c r="I75" s="49"/>
    </row>
    <row r="76" spans="1:11" customHeight="1" ht="15.75">
      <c r="A76" s="49"/>
      <c r="B76" s="49"/>
      <c r="C76" s="49"/>
      <c r="D76" s="49"/>
      <c r="E76" s="49"/>
      <c r="F76" s="49"/>
      <c r="G76" s="49"/>
      <c r="H76" s="49"/>
      <c r="I76" s="49"/>
    </row>
    <row r="77" spans="1:11" customHeight="1" ht="15.75">
      <c r="A77" s="49"/>
      <c r="B77" s="49"/>
      <c r="C77" s="49"/>
      <c r="D77" s="49"/>
      <c r="E77" s="49"/>
      <c r="F77" s="49"/>
      <c r="G77" s="49"/>
      <c r="H77" s="49"/>
      <c r="I77" s="49"/>
    </row>
    <row r="78" spans="1:11" customHeight="1" ht="15.75">
      <c r="A78" s="49"/>
      <c r="B78" s="49"/>
      <c r="C78" s="49"/>
      <c r="D78" s="49"/>
      <c r="E78" s="49"/>
      <c r="F78" s="49"/>
      <c r="G78" s="49"/>
      <c r="H78" s="49"/>
      <c r="I78" s="49"/>
    </row>
    <row r="79" spans="1:11" customHeight="1" ht="15.75"/>
    <row r="80" spans="1:11" customHeight="1" ht="15.75"/>
    <row r="81" spans="1:11" customHeight="1" ht="15.75"/>
    <row r="82" spans="1:11" customHeight="1" ht="15.75"/>
    <row r="83" spans="1:11" customHeight="1" ht="15.75"/>
    <row r="84" spans="1:11" customHeight="1" ht="15.75"/>
    <row r="85" spans="1:11" customHeight="1" ht="15.75"/>
    <row r="86" spans="1:11" customHeight="1" ht="15.75"/>
    <row r="87" spans="1:11" customHeight="1" ht="15.75"/>
    <row r="88" spans="1:11" customHeight="1" ht="15.75"/>
    <row r="89" spans="1:11" customHeight="1" ht="15.75"/>
    <row r="90" spans="1:11" customHeight="1" ht="15.75"/>
    <row r="91" spans="1:11" customHeight="1" ht="15.75"/>
    <row r="92" spans="1:11" customHeight="1" ht="15.75"/>
    <row r="93" spans="1:11" customHeight="1" ht="15.75"/>
    <row r="94" spans="1:11" customHeight="1" ht="15.75"/>
    <row r="95" spans="1:11" customHeight="1" ht="15.75"/>
    <row r="96" spans="1:11" customHeight="1" ht="15.75"/>
    <row r="97" spans="1:11" customHeight="1" ht="15.75"/>
    <row r="98" spans="1:11" customHeight="1" ht="15.75"/>
    <row r="99" spans="1:11" customHeight="1" ht="15.75"/>
    <row r="100" spans="1:11" customHeight="1" ht="15.75"/>
    <row r="101" spans="1:11" customHeight="1" ht="15.75"/>
    <row r="102" spans="1:11" customHeight="1" ht="15.75"/>
    <row r="103" spans="1:11" customHeight="1" ht="15.75"/>
    <row r="104" spans="1:11" customHeight="1" ht="15.75"/>
    <row r="105" spans="1:11" customHeight="1" ht="15.75"/>
    <row r="106" spans="1:11" customHeight="1" ht="15.75"/>
    <row r="107" spans="1:11" customHeight="1" ht="15.75"/>
    <row r="108" spans="1:11" customHeight="1" ht="15.75"/>
    <row r="109" spans="1:11" customHeight="1" ht="15.75"/>
    <row r="110" spans="1:11" customHeight="1" ht="15.75"/>
    <row r="111" spans="1:11" customHeight="1" ht="15.75"/>
    <row r="112" spans="1:11" customHeight="1" ht="15.75"/>
    <row r="113" spans="1:11" customHeight="1" ht="15.75"/>
    <row r="114" spans="1:11" customHeight="1" ht="15.75"/>
    <row r="115" spans="1:11" customHeight="1" ht="15.75"/>
    <row r="116" spans="1:11" customHeight="1" ht="15.75"/>
    <row r="117" spans="1:11" customHeight="1" ht="15.75"/>
    <row r="118" spans="1:11" customHeight="1" ht="15.75"/>
    <row r="119" spans="1:11" customHeight="1" ht="15.75"/>
    <row r="120" spans="1:11" customHeight="1" ht="15.75"/>
    <row r="121" spans="1:11" customHeight="1" ht="15.75"/>
    <row r="122" spans="1:11" customHeight="1" ht="15.75"/>
    <row r="123" spans="1:11" customHeight="1" ht="15.75"/>
    <row r="124" spans="1:11" customHeight="1" ht="15.75"/>
    <row r="125" spans="1:11" customHeight="1" ht="15.75"/>
    <row r="126" spans="1:11" customHeight="1" ht="15.75"/>
    <row r="127" spans="1:11" customHeight="1" ht="15.75"/>
    <row r="128" spans="1:11" customHeight="1" ht="15.75"/>
    <row r="129" spans="1:11" customHeight="1" ht="15.75"/>
    <row r="130" spans="1:11" customHeight="1" ht="15.75"/>
    <row r="131" spans="1:11" customHeight="1" ht="15.75"/>
    <row r="132" spans="1:11" customHeight="1" ht="15.75"/>
    <row r="133" spans="1:11" customHeight="1" ht="15.75"/>
    <row r="134" spans="1:11" customHeight="1" ht="15.75"/>
    <row r="135" spans="1:11" customHeight="1" ht="15.75"/>
    <row r="136" spans="1:11" customHeight="1" ht="15.75"/>
    <row r="137" spans="1:11" customHeight="1" ht="15.75"/>
    <row r="138" spans="1:11" customHeight="1" ht="15.75"/>
    <row r="139" spans="1:11" customHeight="1" ht="15.75"/>
    <row r="140" spans="1:11" customHeight="1" ht="15.75"/>
    <row r="141" spans="1:11" customHeight="1" ht="15.75"/>
    <row r="142" spans="1:11" customHeight="1" ht="15.75"/>
    <row r="143" spans="1:11" customHeight="1" ht="15.75"/>
    <row r="144" spans="1:11" customHeight="1" ht="15.75"/>
    <row r="145" spans="1:11" customHeight="1" ht="15.75"/>
    <row r="146" spans="1:11" customHeight="1" ht="15.75"/>
    <row r="147" spans="1:11" customHeight="1" ht="15.75"/>
    <row r="148" spans="1:11" customHeight="1" ht="15.75"/>
    <row r="149" spans="1:11" customHeight="1" ht="15.75"/>
    <row r="150" spans="1:11" customHeight="1" ht="15.75"/>
    <row r="151" spans="1:11" customHeight="1" ht="15.75"/>
    <row r="152" spans="1:11" customHeight="1" ht="15.75"/>
    <row r="153" spans="1:11" customHeight="1" ht="15.75"/>
    <row r="154" spans="1:11" customHeight="1" ht="15.75"/>
    <row r="155" spans="1:11" customHeight="1" ht="15.75"/>
    <row r="156" spans="1:11" customHeight="1" ht="15.75"/>
    <row r="157" spans="1:11" customHeight="1" ht="15.75"/>
    <row r="158" spans="1:11" customHeight="1" ht="15.75"/>
    <row r="159" spans="1:11" customHeight="1" ht="15.75"/>
    <row r="160" spans="1:11" customHeight="1" ht="15.75"/>
    <row r="161" spans="1:11" customHeight="1" ht="15.75"/>
    <row r="162" spans="1:11" customHeight="1" ht="15.75"/>
    <row r="163" spans="1:11" customHeight="1" ht="15.75"/>
    <row r="164" spans="1:11" customHeight="1" ht="15.75"/>
    <row r="165" spans="1:11" customHeight="1" ht="15.75"/>
    <row r="166" spans="1:11" customHeight="1" ht="15.75"/>
    <row r="167" spans="1:11" customHeight="1" ht="15.75"/>
    <row r="168" spans="1:11" customHeight="1" ht="15.75"/>
    <row r="169" spans="1:11" customHeight="1" ht="15.75"/>
    <row r="170" spans="1:11" customHeight="1" ht="15.75"/>
    <row r="171" spans="1:11" customHeight="1" ht="15.75"/>
    <row r="172" spans="1:11" customHeight="1" ht="15.75"/>
    <row r="173" spans="1:11" customHeight="1" ht="15.75"/>
    <row r="174" spans="1:11" customHeight="1" ht="15.75"/>
    <row r="175" spans="1:11" customHeight="1" ht="15.75"/>
    <row r="176" spans="1:11" customHeight="1" ht="15.75"/>
    <row r="177" spans="1:11" customHeight="1" ht="15.75"/>
    <row r="178" spans="1:11" customHeight="1" ht="15.75"/>
    <row r="179" spans="1:11" customHeight="1" ht="15.75"/>
    <row r="180" spans="1:11" customHeight="1" ht="15.75"/>
    <row r="181" spans="1:11" customHeight="1" ht="15.75"/>
    <row r="182" spans="1:11" customHeight="1" ht="15.75"/>
    <row r="183" spans="1:11" customHeight="1" ht="15.75"/>
    <row r="184" spans="1:11" customHeight="1" ht="15.75"/>
    <row r="185" spans="1:11" customHeight="1" ht="15.75"/>
    <row r="186" spans="1:11" customHeight="1" ht="15.75"/>
    <row r="187" spans="1:11" customHeight="1" ht="15.75"/>
    <row r="188" spans="1:11" customHeight="1" ht="15.75"/>
    <row r="189" spans="1:11" customHeight="1" ht="15.75"/>
    <row r="190" spans="1:11" customHeight="1" ht="15.75"/>
    <row r="191" spans="1:11" customHeight="1" ht="15.75"/>
    <row r="192" spans="1:11" customHeight="1" ht="15.75"/>
    <row r="193" spans="1:11" customHeight="1" ht="15.75"/>
    <row r="194" spans="1:11" customHeight="1" ht="15.75"/>
    <row r="195" spans="1:11" customHeight="1" ht="15.75"/>
    <row r="196" spans="1:11" customHeight="1" ht="15.75"/>
    <row r="197" spans="1:11" customHeight="1" ht="15.75"/>
    <row r="198" spans="1:11" customHeight="1" ht="15.75"/>
    <row r="199" spans="1:11" customHeight="1" ht="15.75"/>
    <row r="200" spans="1:11" customHeight="1" ht="15.75"/>
    <row r="201" spans="1:11" customHeight="1" ht="15.75"/>
    <row r="202" spans="1:11" customHeight="1" ht="15.75"/>
    <row r="203" spans="1:11" customHeight="1" ht="15.75"/>
    <row r="204" spans="1:11" customHeight="1" ht="15.75"/>
    <row r="205" spans="1:11" customHeight="1" ht="15.75"/>
    <row r="206" spans="1:11" customHeight="1" ht="15.75"/>
    <row r="207" spans="1:11" customHeight="1" ht="15.75"/>
    <row r="208" spans="1:11" customHeight="1" ht="15.75"/>
    <row r="209" spans="1:11" customHeight="1" ht="15.75"/>
    <row r="210" spans="1:11" customHeight="1" ht="15.75"/>
    <row r="211" spans="1:11" customHeight="1" ht="15.75"/>
    <row r="212" spans="1:11" customHeight="1" ht="15.75"/>
    <row r="213" spans="1:11" customHeight="1" ht="15.75"/>
    <row r="214" spans="1:11" customHeight="1" ht="15.75"/>
    <row r="215" spans="1:11" customHeight="1" ht="15.75"/>
    <row r="216" spans="1:11" customHeight="1" ht="15.75"/>
    <row r="217" spans="1:11" customHeight="1" ht="15.75"/>
    <row r="218" spans="1:11" customHeight="1" ht="15.75"/>
    <row r="219" spans="1:11" customHeight="1" ht="15.75"/>
    <row r="220" spans="1:11" customHeight="1" ht="15.75"/>
    <row r="221" spans="1:11" customHeight="1" ht="15.75"/>
    <row r="222" spans="1:11" customHeight="1" ht="15.75"/>
    <row r="223" spans="1:11" customHeight="1" ht="15.75"/>
    <row r="224" spans="1:11" customHeight="1" ht="15.75"/>
    <row r="225" spans="1:11" customHeight="1" ht="15.75"/>
    <row r="226" spans="1:11" customHeight="1" ht="15.75"/>
    <row r="227" spans="1:11" customHeight="1" ht="15.75"/>
    <row r="228" spans="1:11" customHeight="1" ht="15.75"/>
    <row r="229" spans="1:11" customHeight="1" ht="15.75"/>
    <row r="230" spans="1:11" customHeight="1" ht="15.75"/>
    <row r="231" spans="1:11" customHeight="1" ht="15.75"/>
    <row r="232" spans="1:11" customHeight="1" ht="15.75"/>
    <row r="233" spans="1:11" customHeight="1" ht="15.75"/>
    <row r="234" spans="1:11" customHeight="1" ht="15.75"/>
    <row r="235" spans="1:11" customHeight="1" ht="15.75"/>
    <row r="236" spans="1:11" customHeight="1" ht="15.75"/>
    <row r="237" spans="1:11" customHeight="1" ht="15.75"/>
    <row r="238" spans="1:11" customHeight="1" ht="15.75"/>
    <row r="239" spans="1:11" customHeight="1" ht="15.75"/>
    <row r="240" spans="1:11" customHeight="1" ht="15.75"/>
    <row r="241" spans="1:11" customHeight="1" ht="15.75"/>
    <row r="242" spans="1:11" customHeight="1" ht="15.75"/>
    <row r="243" spans="1:11" customHeight="1" ht="15.75"/>
    <row r="244" spans="1:11" customHeight="1" ht="15.75"/>
    <row r="245" spans="1:11" customHeight="1" ht="15.75"/>
    <row r="246" spans="1:11" customHeight="1" ht="15.75"/>
    <row r="247" spans="1:11" customHeight="1" ht="15.75"/>
    <row r="248" spans="1:11" customHeight="1" ht="15.75"/>
    <row r="249" spans="1:11" customHeight="1" ht="15.75"/>
    <row r="250" spans="1:11" customHeight="1" ht="15.75"/>
    <row r="251" spans="1:11" customHeight="1" ht="15.75"/>
    <row r="252" spans="1:11" customHeight="1" ht="15.75"/>
    <row r="253" spans="1:11" customHeight="1" ht="15.75"/>
    <row r="254" spans="1:11" customHeight="1" ht="15.75"/>
    <row r="255" spans="1:11" customHeight="1" ht="15.75"/>
    <row r="256" spans="1:11" customHeight="1" ht="15.75"/>
    <row r="257" spans="1:11" customHeight="1" ht="15.75"/>
    <row r="258" spans="1:11" customHeight="1" ht="15.75"/>
    <row r="259" spans="1:11" customHeight="1" ht="15.75"/>
    <row r="260" spans="1:11" customHeight="1" ht="15.75"/>
    <row r="261" spans="1:11" customHeight="1" ht="15.75"/>
    <row r="262" spans="1:11" customHeight="1" ht="15.75"/>
    <row r="263" spans="1:11" customHeight="1" ht="15.75"/>
    <row r="264" spans="1:11" customHeight="1" ht="15.75"/>
    <row r="265" spans="1:11" customHeight="1" ht="15.75"/>
    <row r="266" spans="1:11" customHeight="1" ht="15"/>
    <row r="267" spans="1:11" customHeight="1" ht="15"/>
    <row r="268" spans="1:11" customHeight="1" ht="15"/>
    <row r="269" spans="1:11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50:H51"/>
    <mergeCell ref="A50:A51"/>
    <mergeCell ref="B50:B51"/>
    <mergeCell ref="E50:E51"/>
    <mergeCell ref="F50:F51"/>
    <mergeCell ref="I50:I51"/>
    <mergeCell ref="G50:G51"/>
    <mergeCell ref="A1:I1"/>
    <mergeCell ref="A2:I2"/>
    <mergeCell ref="A9:A10"/>
    <mergeCell ref="B9:B10"/>
    <mergeCell ref="C9:C10"/>
    <mergeCell ref="D9:D10"/>
    <mergeCell ref="E9:E10"/>
    <mergeCell ref="G9:G10"/>
    <mergeCell ref="H9:H10"/>
    <mergeCell ref="I9:I10"/>
    <mergeCell ref="H13:H14"/>
    <mergeCell ref="I13:I14"/>
    <mergeCell ref="A15:A17"/>
    <mergeCell ref="B15:B17"/>
    <mergeCell ref="C15:C17"/>
    <mergeCell ref="G15:G17"/>
    <mergeCell ref="H15:H17"/>
    <mergeCell ref="I15:I17"/>
    <mergeCell ref="A13:A14"/>
    <mergeCell ref="B13:B14"/>
    <mergeCell ref="C13:C14"/>
    <mergeCell ref="D13:D14"/>
    <mergeCell ref="F13:F14"/>
    <mergeCell ref="G13:G14"/>
    <mergeCell ref="A22:A23"/>
    <mergeCell ref="B22:B23"/>
    <mergeCell ref="F22:F23"/>
    <mergeCell ref="G22:G23"/>
    <mergeCell ref="H22:H23"/>
    <mergeCell ref="I22:I23"/>
    <mergeCell ref="A18:A21"/>
    <mergeCell ref="G18:G21"/>
    <mergeCell ref="H18:H21"/>
    <mergeCell ref="I18:I21"/>
    <mergeCell ref="B19:B20"/>
    <mergeCell ref="C19:C20"/>
    <mergeCell ref="D19:D20"/>
    <mergeCell ref="I24:I27"/>
    <mergeCell ref="A28:A29"/>
    <mergeCell ref="B28:B29"/>
    <mergeCell ref="C28:C29"/>
    <mergeCell ref="F28:F29"/>
    <mergeCell ref="G28:G29"/>
    <mergeCell ref="H28:H29"/>
    <mergeCell ref="I28:I29"/>
    <mergeCell ref="A24:A27"/>
    <mergeCell ref="B24:B27"/>
    <mergeCell ref="C24:C27"/>
    <mergeCell ref="D24:D27"/>
    <mergeCell ref="H30:H31"/>
    <mergeCell ref="I30:I31"/>
    <mergeCell ref="A32:A33"/>
    <mergeCell ref="B32:B33"/>
    <mergeCell ref="C32:C33"/>
    <mergeCell ref="D32:D33"/>
    <mergeCell ref="F32:F33"/>
    <mergeCell ref="G32:G33"/>
    <mergeCell ref="H32:H33"/>
    <mergeCell ref="I32:I33"/>
    <mergeCell ref="A30:A31"/>
    <mergeCell ref="B30:B31"/>
    <mergeCell ref="C30:C31"/>
    <mergeCell ref="D30:D31"/>
    <mergeCell ref="F30:F31"/>
    <mergeCell ref="G30:G31"/>
    <mergeCell ref="H34:H35"/>
    <mergeCell ref="I34:I35"/>
    <mergeCell ref="A36:A37"/>
    <mergeCell ref="B36:B37"/>
    <mergeCell ref="C36:C37"/>
    <mergeCell ref="D36:D37"/>
    <mergeCell ref="F36:F37"/>
    <mergeCell ref="G36:G37"/>
    <mergeCell ref="H36:H37"/>
    <mergeCell ref="I36:I37"/>
    <mergeCell ref="A34:A35"/>
    <mergeCell ref="B34:B35"/>
    <mergeCell ref="C34:C35"/>
    <mergeCell ref="D34:D35"/>
    <mergeCell ref="F34:F35"/>
    <mergeCell ref="G34:G35"/>
    <mergeCell ref="H38:H40"/>
    <mergeCell ref="I38:I40"/>
    <mergeCell ref="A41:A43"/>
    <mergeCell ref="B41:B43"/>
    <mergeCell ref="C41:C43"/>
    <mergeCell ref="D41:D43"/>
    <mergeCell ref="F41:F43"/>
    <mergeCell ref="G41:G43"/>
    <mergeCell ref="H41:H43"/>
    <mergeCell ref="I41:I43"/>
    <mergeCell ref="A38:A40"/>
    <mergeCell ref="B38:B40"/>
    <mergeCell ref="C38:C40"/>
    <mergeCell ref="D38:D40"/>
    <mergeCell ref="F38:F40"/>
    <mergeCell ref="G38:G40"/>
    <mergeCell ref="I45:I47"/>
    <mergeCell ref="A48:A49"/>
    <mergeCell ref="B48:B49"/>
    <mergeCell ref="C48:C49"/>
    <mergeCell ref="D48:D49"/>
    <mergeCell ref="F48:F49"/>
    <mergeCell ref="G48:G49"/>
    <mergeCell ref="H48:H49"/>
    <mergeCell ref="I48:I49"/>
    <mergeCell ref="A45:A47"/>
    <mergeCell ref="B45:B47"/>
    <mergeCell ref="C45:C47"/>
    <mergeCell ref="D45:D47"/>
    <mergeCell ref="G45:G47"/>
    <mergeCell ref="H45:H47"/>
    <mergeCell ref="A56:I56"/>
    <mergeCell ref="A57:A58"/>
    <mergeCell ref="B57:B58"/>
    <mergeCell ref="C57:C58"/>
    <mergeCell ref="D57:D58"/>
    <mergeCell ref="G57:G58"/>
    <mergeCell ref="H57:H58"/>
    <mergeCell ref="I57:I58"/>
    <mergeCell ref="A55:E55"/>
    <mergeCell ref="H59:H60"/>
    <mergeCell ref="I59:I60"/>
    <mergeCell ref="A61:A62"/>
    <mergeCell ref="B61:B62"/>
    <mergeCell ref="C61:C62"/>
    <mergeCell ref="D61:D62"/>
    <mergeCell ref="F61:F62"/>
    <mergeCell ref="G61:G62"/>
    <mergeCell ref="H61:H62"/>
    <mergeCell ref="I61:I62"/>
    <mergeCell ref="A59:A60"/>
    <mergeCell ref="B59:B60"/>
    <mergeCell ref="C59:C60"/>
    <mergeCell ref="D59:D60"/>
    <mergeCell ref="F59:F60"/>
    <mergeCell ref="G59:G60"/>
    <mergeCell ref="A68:B68"/>
    <mergeCell ref="C68:E68"/>
    <mergeCell ref="G68:I72"/>
    <mergeCell ref="A71:B71"/>
    <mergeCell ref="C71:E71"/>
    <mergeCell ref="A72:B72"/>
    <mergeCell ref="C72:E72"/>
    <mergeCell ref="H63:H64"/>
    <mergeCell ref="I63:I64"/>
    <mergeCell ref="A65:E65"/>
    <mergeCell ref="A66:F66"/>
    <mergeCell ref="A67:E67"/>
    <mergeCell ref="G67:I67"/>
    <mergeCell ref="A63:A64"/>
    <mergeCell ref="B63:B64"/>
    <mergeCell ref="C63:C64"/>
    <mergeCell ref="D63:D64"/>
    <mergeCell ref="F63:F64"/>
    <mergeCell ref="G63:G64"/>
  </mergeCells>
  <printOptions gridLines="false" gridLinesSet="true"/>
  <pageMargins left="0.7" right="0.7" top="0.75" bottom="0.75" header="0.3" footer="0.3"/>
  <pageSetup paperSize="14" orientation="landscape" scale="31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23" man="1"/>
  </rowBreaks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NCDA</dc:creator>
  <cp:lastModifiedBy>RAMIL DE VERA</cp:lastModifiedBy>
  <dcterms:created xsi:type="dcterms:W3CDTF">2023-01-17T14:30:08+08:00</dcterms:created>
  <dcterms:modified xsi:type="dcterms:W3CDTF">2024-01-15T14:19:02+08:00</dcterms:modified>
  <dc:title/>
  <dc:description/>
  <dc:subject/>
  <cp:keywords/>
  <cp:category/>
</cp:coreProperties>
</file>