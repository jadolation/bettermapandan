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<sst xmlns="http://schemas.openxmlformats.org/spreadsheetml/2006/main" uniqueCount="54">
  <si>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</si>
  <si>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</si>
  <si>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</si>
  <si>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</si>
  <si>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</si>
  <si>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</si>
  <si>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</si>
  <si>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</si>
  <si>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</si>
  <si>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</si>
  <si>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</si>
  <si>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</si>
  <si>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</si>
  <si>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</si>
  <si>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</si>
  <si>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</si>
  <si>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</si>
  <si>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</si>
  <si>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</si>
  <si>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Improvement of Multi-Purpose covered court (Baloling)</t>
  </si>
  <si>
    <t>Brgy. Baloling, Mapandan</t>
  </si>
  <si>
    <t>COMPLETE</t>
  </si>
  <si>
    <t>Improvement of Multi-Purpose covered court (Sta. Maria)</t>
  </si>
  <si>
    <t>Brgy. Sta. Maria, Mapandan</t>
  </si>
  <si>
    <t>Construction of One Stop Shop Building Phase 3</t>
  </si>
  <si>
    <t>Poblacion, Mapandan</t>
  </si>
  <si>
    <t>Renovation of Mapandan Tennis Clubhouse</t>
  </si>
  <si>
    <t>ON GOING</t>
  </si>
  <si>
    <t>LDF-construction of Landbank ATM Hub</t>
  </si>
  <si>
    <t>Improvement Brgy. Road/Drianage-Maya St. Amanoaoac</t>
  </si>
  <si>
    <t>Amanoaoac, Mapandan</t>
  </si>
  <si>
    <t>Improvement Brgy. Road/Drianage-Papaya Ave. Apaya</t>
  </si>
  <si>
    <t>Apaya, Mapandan</t>
  </si>
  <si>
    <t>Improvement Brgy. Road/Drianage-Caimito Ext. Aserda</t>
  </si>
  <si>
    <t>Aserda, Mapandan</t>
  </si>
  <si>
    <t>Improvement Brgy. Road/Drianage-Orchid St. Nilombot</t>
  </si>
  <si>
    <t>Nilombot, Mapandan</t>
  </si>
  <si>
    <t>Improvement Brgy. Road/Drianage-Bougainvellia St. Poblacion</t>
  </si>
  <si>
    <t>Impro. Brgy Road/Drianage-Orchid St. Nilombot Phase 2</t>
  </si>
  <si>
    <t>LGU payment of Loan</t>
  </si>
  <si>
    <t>Mapandan, Pangasinan</t>
  </si>
  <si>
    <t>Improvement of Mapandan Public Market Phase III</t>
  </si>
  <si>
    <t>Additional Illumination of Mapandan Town Plaza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</si>
  <si>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</si>
  <si>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</si>
  <si>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</si>
  <si>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      Local Budget Officer</t>
  </si>
  <si>
    <t xml:space="preserve">                       Municipal Accountant</t>
  </si>
  <si>
    <t>Local Chief Executive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</si>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</sst>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[$-409]mmmm\ d\,\ yyyy;@"/>
    <numFmt numFmtId="165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bottom" textRotation="0" wrapText="true" shrinkToFit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3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4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4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3" numFmtId="165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5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165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165" fillId="2" borderId="7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9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9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10" applyFont="1" applyNumberFormat="0" applyFill="0" applyBorder="1" applyAlignment="1">
      <alignment horizontal="center" vertical="bottom" textRotation="0" wrapText="false" shrinkToFit="false"/>
    </xf>
    <xf xfId="0" fontId="3" numFmtId="165" fillId="2" borderId="10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0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0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13" applyFont="1" applyNumberFormat="0" applyFill="0" applyBorder="1" applyAlignment="1">
      <alignment horizontal="center" vertical="center" textRotation="0" wrapText="tru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10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tru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9" applyFont="1" applyNumberFormat="0" applyFill="0" applyBorder="1" applyAlignment="1">
      <alignment horizontal="center" vertical="center" textRotation="0" wrapText="tru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35</xdr:row>
      <xdr:rowOff>7471</xdr:rowOff>
    </xdr:from>
    <xdr:to>
      <xdr:col>0</xdr:col>
      <xdr:colOff>2935942</xdr:colOff>
      <xdr:row>35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6FF514-B960-4AFB-A0F8-BA3FABB6480A}"/>
            </a:ext>
          </a:extLst>
        </xdr:cNvPr>
        <xdr:cNvCxnSpPr/>
      </xdr:nvCxnSpPr>
      <xdr:spPr>
        <a:xfrm>
          <a:off x="358589" y="72464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35</xdr:row>
      <xdr:rowOff>6349</xdr:rowOff>
    </xdr:from>
    <xdr:to>
      <xdr:col>7</xdr:col>
      <xdr:colOff>38660</xdr:colOff>
      <xdr:row>35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28ECA3F-7F86-4591-9351-329C4E42D68C}"/>
            </a:ext>
          </a:extLst>
        </xdr:cNvPr>
        <xdr:cNvCxnSpPr/>
      </xdr:nvCxnSpPr>
      <xdr:spPr>
        <a:xfrm>
          <a:off x="8076453" y="7290173"/>
          <a:ext cx="25853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33</xdr:row>
      <xdr:rowOff>108323</xdr:rowOff>
    </xdr:from>
    <xdr:to>
      <xdr:col>0</xdr:col>
      <xdr:colOff>2767854</xdr:colOff>
      <xdr:row>34</xdr:row>
      <xdr:rowOff>164353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985F1E-375F-08F0-4D74-52832DACA5DE}"/>
            </a:ext>
          </a:extLst>
        </xdr:cNvPr>
        <xdr:cNvSpPr txBox="1"/>
      </xdr:nvSpPr>
      <xdr:spPr>
        <a:xfrm>
          <a:off x="481854" y="6958852"/>
          <a:ext cx="2286000" cy="250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33</xdr:row>
      <xdr:rowOff>74706</xdr:rowOff>
    </xdr:from>
    <xdr:to>
      <xdr:col>6</xdr:col>
      <xdr:colOff>1008530</xdr:colOff>
      <xdr:row>34</xdr:row>
      <xdr:rowOff>171823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256730-2322-A539-B25D-A541B1B6185D}"/>
            </a:ext>
          </a:extLst>
        </xdr:cNvPr>
        <xdr:cNvSpPr txBox="1"/>
      </xdr:nvSpPr>
      <xdr:spPr>
        <a:xfrm>
          <a:off x="8669617" y="6925235"/>
          <a:ext cx="2334560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33</xdr:row>
      <xdr:rowOff>82178</xdr:rowOff>
    </xdr:from>
    <xdr:to>
      <xdr:col>2</xdr:col>
      <xdr:colOff>470647</xdr:colOff>
      <xdr:row>34</xdr:row>
      <xdr:rowOff>171824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2B9642-8847-42BB-961F-B57FB9155A4C}"/>
            </a:ext>
          </a:extLst>
        </xdr:cNvPr>
        <xdr:cNvSpPr txBox="1"/>
      </xdr:nvSpPr>
      <xdr:spPr>
        <a:xfrm>
          <a:off x="4635500" y="6772090"/>
          <a:ext cx="1270000" cy="2913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254000</xdr:colOff>
      <xdr:row>35</xdr:row>
      <xdr:rowOff>7471</xdr:rowOff>
    </xdr:from>
    <xdr:to>
      <xdr:col>2</xdr:col>
      <xdr:colOff>993589</xdr:colOff>
      <xdr:row>35</xdr:row>
      <xdr:rowOff>7471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3B9F82F-F916-4D30-B92B-1685B250D37B}"/>
            </a:ext>
          </a:extLst>
        </xdr:cNvPr>
        <xdr:cNvCxnSpPr/>
      </xdr:nvCxnSpPr>
      <xdr:spPr>
        <a:xfrm>
          <a:off x="4086412" y="72464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6"/>
  <sheetViews>
    <sheetView tabSelected="1" workbookViewId="0" zoomScale="85" zoomScaleNormal="85" showGridLines="true" showRowColHeaders="1">
      <selection activeCell="A40" sqref="A40"/>
    </sheetView>
  </sheetViews>
  <sheetFormatPr defaultRowHeight="14.4" defaultColWidth="9.140625" outlineLevelRow="0" outlineLevelCol="0"/>
  <cols>
    <col min="1" max="1" width="55.28515625" customWidth="true" style="5"/>
    <col min="2" max="2" width="26.28515625" customWidth="true" style="5"/>
    <col min="3" max="3" width="16.28515625" customWidth="true" style="5"/>
    <col min="4" max="4" width="14" customWidth="true" style="5"/>
    <col min="5" max="5" width="19.7109375" customWidth="true" style="5"/>
    <col min="6" max="6" width="12.85546875" customWidth="true" style="5"/>
    <col min="7" max="7" width="16.28515625" customWidth="true" style="5"/>
    <col min="8" max="8" width="7" customWidth="true" style="5"/>
    <col min="9" max="9" width="11.85546875" customWidth="true" style="5"/>
    <col min="10" max="10" width="15.7109375" customWidth="true" style="5"/>
    <col min="11" max="11" width="8.85546875" customWidth="true" style="5"/>
    <col min="12" max="12" width="9.140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>
      <c r="A3" s="56" t="s">
        <v>1</v>
      </c>
      <c r="B3" s="56"/>
      <c r="C3" s="56"/>
      <c r="D3" s="56"/>
      <c r="E3" s="56"/>
      <c r="F3" s="56"/>
      <c r="G3" s="56"/>
      <c r="H3" s="56"/>
      <c r="I3" s="56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17" t="s">
        <v>3</v>
      </c>
      <c r="E5" s="15">
        <v>2023</v>
      </c>
    </row>
    <row r="6" spans="1:12">
      <c r="A6" s="13" t="s">
        <v>4</v>
      </c>
      <c r="B6" s="11"/>
      <c r="C6" s="12"/>
      <c r="D6" s="18" t="s">
        <v>5</v>
      </c>
      <c r="E6" s="16">
        <v>4</v>
      </c>
    </row>
    <row r="7" spans="1:12">
      <c r="A7" s="13" t="s">
        <v>6</v>
      </c>
      <c r="D7" s="13"/>
    </row>
    <row r="8" spans="1:12" customHeight="1" ht="16.5">
      <c r="A8" s="8"/>
    </row>
    <row r="9" spans="1:12">
      <c r="A9" s="60" t="s">
        <v>7</v>
      </c>
      <c r="B9" s="63" t="s">
        <v>8</v>
      </c>
      <c r="C9" s="63" t="s">
        <v>9</v>
      </c>
      <c r="D9" s="63" t="s">
        <v>10</v>
      </c>
      <c r="E9" s="66" t="s">
        <v>11</v>
      </c>
      <c r="F9" s="63" t="s">
        <v>12</v>
      </c>
      <c r="G9" s="63"/>
      <c r="H9" s="57" t="s">
        <v>13</v>
      </c>
      <c r="I9" s="53" t="s">
        <v>14</v>
      </c>
    </row>
    <row r="10" spans="1:12">
      <c r="A10" s="61"/>
      <c r="B10" s="64"/>
      <c r="C10" s="64"/>
      <c r="D10" s="64"/>
      <c r="E10" s="64"/>
      <c r="F10" s="67" t="s">
        <v>15</v>
      </c>
      <c r="G10" s="67" t="s">
        <v>16</v>
      </c>
      <c r="H10" s="58"/>
      <c r="I10" s="54"/>
    </row>
    <row r="11" spans="1:12" customHeight="1" ht="16.5">
      <c r="A11" s="62"/>
      <c r="B11" s="65"/>
      <c r="C11" s="65"/>
      <c r="D11" s="65"/>
      <c r="E11" s="65"/>
      <c r="F11" s="65"/>
      <c r="G11" s="65"/>
      <c r="H11" s="59"/>
      <c r="I11" s="55"/>
    </row>
    <row r="12" spans="1:12">
      <c r="A12" s="19" t="s">
        <v>17</v>
      </c>
      <c r="B12" s="20"/>
      <c r="C12" s="21"/>
      <c r="D12" s="21"/>
      <c r="E12" s="22"/>
      <c r="F12" s="21"/>
      <c r="G12" s="21"/>
      <c r="H12" s="21"/>
      <c r="I12" s="23"/>
    </row>
    <row r="13" spans="1:12">
      <c r="A13" s="19" t="s">
        <v>18</v>
      </c>
      <c r="B13" s="14"/>
      <c r="C13" s="24"/>
      <c r="D13" s="14"/>
      <c r="E13" s="25"/>
      <c r="F13" s="14"/>
      <c r="G13" s="32"/>
      <c r="H13" s="14"/>
      <c r="I13" s="26"/>
    </row>
    <row r="14" spans="1:12">
      <c r="A14" s="27" t="s">
        <v>19</v>
      </c>
      <c r="B14" s="68" t="s">
        <v>20</v>
      </c>
      <c r="C14" s="24">
        <v>500000</v>
      </c>
      <c r="D14" s="50">
        <v>45139</v>
      </c>
      <c r="E14" s="25">
        <v>45291</v>
      </c>
      <c r="F14" s="31">
        <v>1</v>
      </c>
      <c r="G14" s="32">
        <v>496256.93</v>
      </c>
      <c r="H14" s="14"/>
      <c r="I14" s="26" t="s">
        <v>21</v>
      </c>
    </row>
    <row r="15" spans="1:12">
      <c r="A15" s="27" t="s">
        <v>22</v>
      </c>
      <c r="B15" s="68" t="s">
        <v>23</v>
      </c>
      <c r="C15" s="24">
        <v>500000</v>
      </c>
      <c r="D15" s="50">
        <v>45139</v>
      </c>
      <c r="E15" s="25">
        <v>45291</v>
      </c>
      <c r="F15" s="31">
        <v>1</v>
      </c>
      <c r="G15" s="32">
        <v>475403.1</v>
      </c>
      <c r="H15" s="14"/>
      <c r="I15" s="26" t="s">
        <v>21</v>
      </c>
    </row>
    <row r="16" spans="1:12">
      <c r="A16" s="27" t="s">
        <v>24</v>
      </c>
      <c r="B16" s="68" t="s">
        <v>25</v>
      </c>
      <c r="C16" s="24">
        <v>3000000</v>
      </c>
      <c r="D16" s="50">
        <v>45200</v>
      </c>
      <c r="E16" s="25">
        <v>45291</v>
      </c>
      <c r="F16" s="31">
        <v>1</v>
      </c>
      <c r="G16" s="32">
        <v>2997955.38</v>
      </c>
      <c r="H16" s="14"/>
      <c r="I16" s="26" t="s">
        <v>21</v>
      </c>
    </row>
    <row r="17" spans="1:12">
      <c r="A17" s="27" t="s">
        <v>26</v>
      </c>
      <c r="B17" s="68" t="s">
        <v>25</v>
      </c>
      <c r="C17" s="24">
        <v>500000</v>
      </c>
      <c r="D17" s="50">
        <v>45261</v>
      </c>
      <c r="E17" s="25">
        <v>45306</v>
      </c>
      <c r="F17" s="31">
        <f>G17/C17</f>
        <v>0</v>
      </c>
      <c r="G17" s="32">
        <v>0</v>
      </c>
      <c r="H17" s="14"/>
      <c r="I17" s="26" t="s">
        <v>27</v>
      </c>
    </row>
    <row r="18" spans="1:12">
      <c r="A18" s="27" t="s">
        <v>28</v>
      </c>
      <c r="B18" s="68" t="s">
        <v>25</v>
      </c>
      <c r="C18" s="24">
        <v>400000</v>
      </c>
      <c r="D18" s="50">
        <v>45200</v>
      </c>
      <c r="E18" s="25">
        <v>45291</v>
      </c>
      <c r="F18" s="31">
        <v>1</v>
      </c>
      <c r="G18" s="32">
        <v>398401.57</v>
      </c>
      <c r="H18" s="14"/>
      <c r="I18" s="26" t="s">
        <v>21</v>
      </c>
    </row>
    <row r="19" spans="1:12">
      <c r="A19" s="27" t="s">
        <v>29</v>
      </c>
      <c r="B19" s="68" t="s">
        <v>30</v>
      </c>
      <c r="C19" s="24">
        <v>407091.65</v>
      </c>
      <c r="D19" s="50">
        <v>45139</v>
      </c>
      <c r="E19" s="25">
        <v>45291</v>
      </c>
      <c r="F19" s="31">
        <v>1</v>
      </c>
      <c r="G19" s="32">
        <v>406245.52</v>
      </c>
      <c r="H19" s="14"/>
      <c r="I19" s="26" t="s">
        <v>21</v>
      </c>
    </row>
    <row r="20" spans="1:12">
      <c r="A20" s="27" t="s">
        <v>31</v>
      </c>
      <c r="B20" s="68" t="s">
        <v>32</v>
      </c>
      <c r="C20" s="24">
        <v>407091.65</v>
      </c>
      <c r="D20" s="50">
        <v>45139</v>
      </c>
      <c r="E20" s="25">
        <v>45291</v>
      </c>
      <c r="F20" s="31">
        <v>1</v>
      </c>
      <c r="G20" s="32">
        <v>396277</v>
      </c>
      <c r="H20" s="14"/>
      <c r="I20" s="26" t="s">
        <v>21</v>
      </c>
    </row>
    <row r="21" spans="1:12">
      <c r="A21" s="27" t="s">
        <v>33</v>
      </c>
      <c r="B21" s="68" t="s">
        <v>34</v>
      </c>
      <c r="C21" s="24">
        <v>500000</v>
      </c>
      <c r="D21" s="50">
        <v>45139</v>
      </c>
      <c r="E21" s="25">
        <v>45291</v>
      </c>
      <c r="F21" s="31">
        <v>1</v>
      </c>
      <c r="G21" s="32">
        <v>499446.94</v>
      </c>
      <c r="H21" s="14"/>
      <c r="I21" s="26" t="s">
        <v>21</v>
      </c>
    </row>
    <row r="22" spans="1:12">
      <c r="A22" s="27" t="s">
        <v>35</v>
      </c>
      <c r="B22" s="68" t="s">
        <v>36</v>
      </c>
      <c r="C22" s="24">
        <v>700000</v>
      </c>
      <c r="D22" s="50">
        <v>45139</v>
      </c>
      <c r="E22" s="25">
        <v>45291</v>
      </c>
      <c r="F22" s="31">
        <v>1</v>
      </c>
      <c r="G22" s="32">
        <v>699280.27</v>
      </c>
      <c r="H22" s="14"/>
      <c r="I22" s="26" t="s">
        <v>21</v>
      </c>
    </row>
    <row r="23" spans="1:12" customHeight="1" ht="15.6">
      <c r="A23" s="28" t="s">
        <v>37</v>
      </c>
      <c r="B23" s="68" t="s">
        <v>25</v>
      </c>
      <c r="C23" s="29">
        <v>500000</v>
      </c>
      <c r="D23" s="50">
        <v>45139</v>
      </c>
      <c r="E23" s="25">
        <v>45291</v>
      </c>
      <c r="F23" s="31">
        <v>1</v>
      </c>
      <c r="G23" s="51">
        <v>496710.97</v>
      </c>
      <c r="H23" s="30"/>
      <c r="I23" s="26" t="s">
        <v>21</v>
      </c>
    </row>
    <row r="24" spans="1:12" customHeight="1" ht="15.6">
      <c r="A24" s="28" t="s">
        <v>38</v>
      </c>
      <c r="B24" s="68" t="s">
        <v>25</v>
      </c>
      <c r="C24" s="29">
        <v>576000</v>
      </c>
      <c r="D24" s="50">
        <v>45139</v>
      </c>
      <c r="E24" s="25">
        <v>45291</v>
      </c>
      <c r="F24" s="31">
        <v>1</v>
      </c>
      <c r="G24" s="51">
        <v>575406.62</v>
      </c>
      <c r="H24" s="30"/>
      <c r="I24" s="26" t="s">
        <v>21</v>
      </c>
    </row>
    <row r="25" spans="1:12">
      <c r="A25" s="27" t="s">
        <v>39</v>
      </c>
      <c r="B25" s="69" t="s">
        <v>40</v>
      </c>
      <c r="C25" s="24">
        <v>17754362.29</v>
      </c>
      <c r="D25" s="50">
        <v>44927</v>
      </c>
      <c r="E25" s="25">
        <v>45291</v>
      </c>
      <c r="F25" s="31">
        <v>1</v>
      </c>
      <c r="G25" s="32">
        <v>17595218.4</v>
      </c>
      <c r="H25" s="14"/>
      <c r="I25" s="26" t="s">
        <v>21</v>
      </c>
    </row>
    <row r="26" spans="1:12">
      <c r="A26" s="33" t="s">
        <v>41</v>
      </c>
      <c r="B26" s="68" t="s">
        <v>25</v>
      </c>
      <c r="C26" s="29">
        <v>1000000</v>
      </c>
      <c r="D26" s="50">
        <v>45261</v>
      </c>
      <c r="E26" s="25">
        <v>45291</v>
      </c>
      <c r="F26" s="31">
        <v>1</v>
      </c>
      <c r="G26" s="51">
        <v>999355.01</v>
      </c>
      <c r="H26" s="30"/>
      <c r="I26" s="26" t="s">
        <v>21</v>
      </c>
    </row>
    <row r="27" spans="1:12">
      <c r="A27" s="34" t="s">
        <v>42</v>
      </c>
      <c r="B27" s="70" t="s">
        <v>25</v>
      </c>
      <c r="C27" s="35">
        <v>500000</v>
      </c>
      <c r="D27" s="50">
        <v>45261</v>
      </c>
      <c r="E27" s="37">
        <v>45291</v>
      </c>
      <c r="F27" s="31">
        <v>1</v>
      </c>
      <c r="G27" s="52">
        <v>497686.45</v>
      </c>
      <c r="H27" s="36"/>
      <c r="I27" s="26" t="s">
        <v>21</v>
      </c>
    </row>
    <row r="28" spans="1:12" customHeight="1" ht="16.5">
      <c r="A28" s="43" t="s">
        <v>43</v>
      </c>
      <c r="B28" s="44"/>
      <c r="C28" s="45"/>
      <c r="D28" s="46"/>
      <c r="E28" s="47"/>
      <c r="F28" s="46"/>
      <c r="G28" s="46"/>
      <c r="H28" s="46"/>
      <c r="I28" s="48"/>
    </row>
    <row r="29" spans="1:12" customHeight="1" ht="16.5">
      <c r="A29" s="38" t="s">
        <v>44</v>
      </c>
      <c r="B29" s="39"/>
      <c r="C29" s="40">
        <f>SUM(C12:C28)</f>
        <v>27244545.59</v>
      </c>
      <c r="D29" s="39"/>
      <c r="E29" s="39"/>
      <c r="F29" s="41">
        <f>G29/C29</f>
        <v>0.97390665123587</v>
      </c>
      <c r="G29" s="40">
        <f>SUM(G12:G28)</f>
        <v>26533644.16</v>
      </c>
      <c r="H29" s="39"/>
      <c r="I29" s="42"/>
    </row>
    <row r="30" spans="1:12" customHeight="1" ht="16.5"/>
    <row r="32" spans="1:12">
      <c r="A32" s="5" t="s">
        <v>45</v>
      </c>
    </row>
    <row r="36" spans="1:12">
      <c r="A36" s="49" t="s">
        <v>46</v>
      </c>
      <c r="B36" s="49" t="s">
        <v>47</v>
      </c>
      <c r="F36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9:I11"/>
    <mergeCell ref="A3:I3"/>
    <mergeCell ref="H9:H11"/>
    <mergeCell ref="A9:A11"/>
    <mergeCell ref="B9:B11"/>
    <mergeCell ref="C9:C11"/>
    <mergeCell ref="D9:D11"/>
    <mergeCell ref="E9:E11"/>
    <mergeCell ref="F9:G9"/>
    <mergeCell ref="F10:F11"/>
    <mergeCell ref="G10:G11"/>
  </mergeCells>
  <printOptions gridLines="false" gridLinesSet="true"/>
  <pageMargins left="0.25" right="0.25" top="0.75" bottom="0.75" header="0.3" footer="0.3"/>
  <pageSetup paperSize="5" orientation="landscape" scale="9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5">
      <c r="A1" s="2" t="s">
        <v>49</v>
      </c>
    </row>
    <row r="3" spans="1:1">
      <c r="A3" t="s">
        <v>50</v>
      </c>
    </row>
    <row r="5" spans="1:1">
      <c r="A5" t="s">
        <v>51</v>
      </c>
    </row>
    <row r="6" spans="1:1">
      <c r="A6" s="1" t="s">
        <v>52</v>
      </c>
    </row>
    <row r="9" spans="1:1">
      <c r="A9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7 - DFU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anamaricrisnatavio1@gmail.com</cp:lastModifiedBy>
  <dcterms:created xsi:type="dcterms:W3CDTF">2015-06-06T02:17:20+08:00</dcterms:created>
  <dcterms:modified xsi:type="dcterms:W3CDTF">2024-01-22T15:19:22+08:00</dcterms:modified>
  <dc:title/>
  <dc:description/>
  <dc:subject/>
  <cp:keywords/>
  <cp:category/>
</cp:coreProperties>
</file>