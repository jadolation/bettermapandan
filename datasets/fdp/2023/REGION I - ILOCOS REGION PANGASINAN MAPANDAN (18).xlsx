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<sst xmlns="http://schemas.openxmlformats.org/spreadsheetml/2006/main" uniqueCount="49">
  <si>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</si>
  <si>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</si>
  <si>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</si>
  <si>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</si>
  <si>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</si>
  <si>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</si>
  <si>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</si>
  <si>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</si>
  <si>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</si>
  <si>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</si>
  <si>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</si>
  <si>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</si>
  <si>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</si>
  <si>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</si>
  <si>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</si>
  <si>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</si>
  <si>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</si>
  <si>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</si>
  <si>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</si>
  <si>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</si>
  <si>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</si>
  <si>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</si>
  <si>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2022</t>
  </si>
  <si>
    <t xml:space="preserve">                   (Year 2) 2021</t>
  </si>
  <si>
    <t xml:space="preserve">                   (Year 3) 2020</t>
  </si>
  <si>
    <t xml:space="preserve">                   (Year 4)2019</t>
  </si>
  <si>
    <t xml:space="preserve">                   (Year 5)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</si>
  <si>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</si>
  <si>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</si>
  <si>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</si>
  <si>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</si>
  <si>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Food Supplies</t>
  </si>
  <si>
    <t xml:space="preserve">     Repair of Evacuation Center</t>
  </si>
  <si>
    <t xml:space="preserve">     Trainings</t>
  </si>
  <si>
    <t xml:space="preserve">     Construction of Evacuation
      Center</t>
  </si>
  <si>
    <t xml:space="preserve">    Equipment</t>
  </si>
  <si>
    <t xml:space="preserve">    Other Infrastructure</t>
  </si>
  <si>
    <t xml:space="preserve">     Purchase of Supplies and Materials</t>
  </si>
  <si>
    <t xml:space="preserve">    Transfers to other LGUs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</si>
  <si>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</si>
  <si>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</si>
  <si>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</si>
  <si>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</si>
  <si>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Municipal Accountant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</si>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</sst>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42</xdr:row>
      <xdr:rowOff>8965</xdr:rowOff>
    </xdr:from>
    <xdr:to>
      <xdr:col>1</xdr:col>
      <xdr:colOff>767229</xdr:colOff>
      <xdr:row>42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44"/>
  <sheetViews>
    <sheetView tabSelected="1" workbookViewId="0" zoomScale="85" zoomScaleNormal="85" showGridLines="true" showRowColHeaders="1">
      <selection activeCell="D11" sqref="D11:D14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</cols>
  <sheetData>
    <row r="1" spans="1:8">
      <c r="A1" s="22" t="s">
        <v>0</v>
      </c>
      <c r="B1" s="11"/>
      <c r="C1" s="11"/>
      <c r="D1" s="11"/>
      <c r="E1" s="11"/>
    </row>
    <row r="2" spans="1:8" s="13" customFormat="1">
      <c r="A2" s="22" t="s">
        <v>1</v>
      </c>
    </row>
    <row r="3" spans="1:8" s="13" customFormat="1">
      <c r="A3" s="10"/>
    </row>
    <row r="4" spans="1:8">
      <c r="A4" s="14"/>
      <c r="B4" s="14"/>
      <c r="C4" s="14"/>
      <c r="D4" s="14"/>
      <c r="E4" s="14"/>
    </row>
    <row r="5" spans="1:8">
      <c r="A5" s="40" t="s">
        <v>2</v>
      </c>
      <c r="B5" s="40"/>
      <c r="C5" s="40"/>
      <c r="D5" s="40"/>
      <c r="E5" s="40"/>
      <c r="F5" s="40"/>
      <c r="G5" s="40"/>
    </row>
    <row r="6" spans="1:8">
      <c r="A6" s="15"/>
      <c r="B6" s="15"/>
      <c r="C6" s="15"/>
      <c r="D6" s="15"/>
      <c r="E6" s="15"/>
    </row>
    <row r="7" spans="1:8">
      <c r="A7" s="23" t="s">
        <v>3</v>
      </c>
      <c r="B7" s="27">
        <v>1</v>
      </c>
      <c r="C7" s="16"/>
      <c r="D7" s="24" t="s">
        <v>4</v>
      </c>
      <c r="E7" s="13">
        <v>2023</v>
      </c>
    </row>
    <row r="8" spans="1:8">
      <c r="A8" s="25" t="s">
        <v>5</v>
      </c>
      <c r="B8" s="28" t="s">
        <v>6</v>
      </c>
      <c r="C8" s="17"/>
      <c r="D8" s="26" t="s">
        <v>7</v>
      </c>
      <c r="E8" s="17">
        <v>2</v>
      </c>
    </row>
    <row r="9" spans="1:8">
      <c r="A9" s="25" t="s">
        <v>8</v>
      </c>
      <c r="B9" s="29" t="s">
        <v>9</v>
      </c>
      <c r="D9" s="15"/>
    </row>
    <row r="10" spans="1:8">
      <c r="A10" s="18"/>
      <c r="B10" s="19"/>
      <c r="C10" s="19"/>
      <c r="D10" s="19"/>
      <c r="E10" s="19"/>
      <c r="F10" s="19"/>
      <c r="G10" s="19"/>
    </row>
    <row r="11" spans="1:8">
      <c r="A11" s="43" t="s">
        <v>10</v>
      </c>
      <c r="B11" s="44" t="s">
        <v>11</v>
      </c>
      <c r="C11" s="44"/>
      <c r="D11" s="43" t="s">
        <v>12</v>
      </c>
      <c r="E11" s="43" t="s">
        <v>13</v>
      </c>
      <c r="F11" s="41" t="s">
        <v>14</v>
      </c>
      <c r="G11" s="43" t="s">
        <v>15</v>
      </c>
    </row>
    <row r="12" spans="1:8">
      <c r="A12" s="42"/>
      <c r="B12" s="45" t="s">
        <v>16</v>
      </c>
      <c r="C12" s="47" t="s">
        <v>17</v>
      </c>
      <c r="D12" s="42"/>
      <c r="E12" s="42"/>
      <c r="F12" s="42"/>
      <c r="G12" s="42"/>
    </row>
    <row r="13" spans="1:8">
      <c r="A13" s="42"/>
      <c r="B13" s="46"/>
      <c r="C13" s="48"/>
      <c r="D13" s="42"/>
      <c r="E13" s="42"/>
      <c r="F13" s="42"/>
      <c r="G13" s="42"/>
    </row>
    <row r="14" spans="1:8">
      <c r="A14" s="42"/>
      <c r="B14" s="46"/>
      <c r="C14" s="48"/>
      <c r="D14" s="42"/>
      <c r="E14" s="42"/>
      <c r="F14" s="42"/>
      <c r="G14" s="42"/>
    </row>
    <row r="15" spans="1:8">
      <c r="A15" s="3" t="s">
        <v>18</v>
      </c>
      <c r="B15" s="3"/>
      <c r="C15" s="3"/>
      <c r="D15" s="3"/>
      <c r="E15" s="3"/>
      <c r="F15" s="3"/>
      <c r="G15" s="3"/>
    </row>
    <row r="16" spans="1:8">
      <c r="A16" s="4" t="s">
        <v>19</v>
      </c>
      <c r="B16" s="30">
        <f>+G16*0.3</f>
        <v>2179810.92</v>
      </c>
      <c r="C16" s="30">
        <f>+G16*0.7</f>
        <v>5086225.48</v>
      </c>
      <c r="D16" s="30"/>
      <c r="E16" s="30"/>
      <c r="F16" s="30"/>
      <c r="G16" s="30">
        <v>7266036.4</v>
      </c>
    </row>
    <row r="17" spans="1:8">
      <c r="A17" s="4" t="s">
        <v>20</v>
      </c>
      <c r="B17" s="30"/>
      <c r="C17" s="30">
        <v>4560720.12</v>
      </c>
      <c r="D17" s="30"/>
      <c r="E17" s="30"/>
      <c r="F17" s="30"/>
      <c r="G17" s="30">
        <f>SUM(B17:F17)</f>
        <v>4560720.12</v>
      </c>
    </row>
    <row r="18" spans="1:8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8">
      <c r="A19" s="6" t="s">
        <v>22</v>
      </c>
      <c r="B19" s="32">
        <v>1035514.69</v>
      </c>
      <c r="C19" s="32">
        <v>690635.58</v>
      </c>
      <c r="D19" s="32"/>
      <c r="E19" s="32"/>
      <c r="F19" s="32"/>
      <c r="G19" s="33">
        <f>SUM(B19:F19)</f>
        <v>1726150.27</v>
      </c>
    </row>
    <row r="20" spans="1:8">
      <c r="A20" s="6" t="s">
        <v>23</v>
      </c>
      <c r="B20" s="32">
        <v>8</v>
      </c>
      <c r="C20" s="32">
        <v>715804.14</v>
      </c>
      <c r="D20" s="32"/>
      <c r="E20" s="32"/>
      <c r="F20" s="32"/>
      <c r="G20" s="33">
        <f>SUM(B20:F20)</f>
        <v>715812.14</v>
      </c>
    </row>
    <row r="21" spans="1:8">
      <c r="A21" s="6" t="s">
        <v>24</v>
      </c>
      <c r="B21" s="32">
        <v>922984.99</v>
      </c>
      <c r="C21" s="32">
        <v>53164.9</v>
      </c>
      <c r="D21" s="32"/>
      <c r="E21" s="32"/>
      <c r="F21" s="32"/>
      <c r="G21" s="33">
        <f>SUM(B21:F21)</f>
        <v>976149.89</v>
      </c>
    </row>
    <row r="22" spans="1:8">
      <c r="A22" s="6" t="s">
        <v>25</v>
      </c>
      <c r="B22" s="32"/>
      <c r="C22" s="32">
        <v>96523.55</v>
      </c>
      <c r="D22" s="32"/>
      <c r="E22" s="32"/>
      <c r="F22" s="32"/>
      <c r="G22" s="33">
        <f>SUM(B22:F22)</f>
        <v>96523.55</v>
      </c>
    </row>
    <row r="23" spans="1:8">
      <c r="A23" s="6" t="s">
        <v>26</v>
      </c>
      <c r="B23" s="34"/>
      <c r="C23" s="34"/>
      <c r="D23" s="34"/>
      <c r="E23" s="34"/>
      <c r="F23" s="34"/>
      <c r="G23" s="35"/>
    </row>
    <row r="24" spans="1:8">
      <c r="A24" s="7" t="s">
        <v>27</v>
      </c>
      <c r="B24" s="31"/>
      <c r="C24" s="36"/>
      <c r="D24" s="31"/>
      <c r="E24" s="36"/>
      <c r="F24" s="31"/>
      <c r="G24" s="35"/>
    </row>
    <row r="25" spans="1:8">
      <c r="A25" s="8" t="s">
        <v>28</v>
      </c>
      <c r="B25" s="37">
        <f>SUM(B16:B24)</f>
        <v>4138318.6</v>
      </c>
      <c r="C25" s="37">
        <f>SUM(C16:C24)</f>
        <v>11203073.77</v>
      </c>
      <c r="D25" s="37"/>
      <c r="E25" s="37"/>
      <c r="F25" s="37"/>
      <c r="G25" s="37">
        <f>SUM(G16:G24)</f>
        <v>15341392.37</v>
      </c>
    </row>
    <row r="26" spans="1:8">
      <c r="A26" s="8" t="s">
        <v>29</v>
      </c>
      <c r="B26" s="30"/>
      <c r="C26" s="30"/>
      <c r="D26" s="30"/>
      <c r="E26" s="30"/>
      <c r="F26" s="30"/>
      <c r="G26" s="30"/>
    </row>
    <row r="27" spans="1:8">
      <c r="A27" s="8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8">
      <c r="A28" s="8" t="s">
        <v>31</v>
      </c>
      <c r="B28" s="30"/>
      <c r="C28" s="30"/>
      <c r="D28" s="30"/>
      <c r="E28" s="30"/>
      <c r="F28" s="30"/>
      <c r="G28" s="30">
        <f>SUM(B28:F28)</f>
        <v>0</v>
      </c>
    </row>
    <row r="29" spans="1:8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8">
      <c r="A30" s="8" t="s">
        <v>33</v>
      </c>
      <c r="B30" s="30"/>
      <c r="C30" s="30">
        <f>18000+22880+11590+95520+18285+34000</f>
        <v>200275</v>
      </c>
      <c r="D30" s="30"/>
      <c r="E30" s="30"/>
      <c r="F30" s="30"/>
      <c r="G30" s="30">
        <f>SUM(B30:F30)</f>
        <v>200275</v>
      </c>
    </row>
    <row r="31" spans="1:8">
      <c r="A31" s="54" t="s">
        <v>34</v>
      </c>
      <c r="B31" s="50"/>
      <c r="C31" s="50"/>
      <c r="D31" s="50"/>
      <c r="E31" s="50"/>
      <c r="F31" s="50"/>
      <c r="G31" s="50">
        <f>SUM(B31:F31)</f>
        <v>0</v>
      </c>
    </row>
    <row r="32" spans="1:8">
      <c r="A32" s="55"/>
      <c r="B32" s="50"/>
      <c r="C32" s="50"/>
      <c r="D32" s="50"/>
      <c r="E32" s="50"/>
      <c r="F32" s="50"/>
      <c r="G32" s="50"/>
    </row>
    <row r="33" spans="1:8">
      <c r="A33" s="8" t="s">
        <v>35</v>
      </c>
      <c r="B33" s="30"/>
      <c r="C33" s="30">
        <f>3395000+107300</f>
        <v>3502300</v>
      </c>
      <c r="D33" s="30"/>
      <c r="E33" s="30"/>
      <c r="F33" s="30"/>
      <c r="G33" s="30">
        <f>SUM(B33:F33)</f>
        <v>3502300</v>
      </c>
    </row>
    <row r="34" spans="1:8">
      <c r="A34" s="8" t="s">
        <v>36</v>
      </c>
      <c r="B34" s="30"/>
      <c r="C34" s="30">
        <v>598897.11</v>
      </c>
      <c r="D34" s="30"/>
      <c r="E34" s="30"/>
      <c r="F34" s="30"/>
      <c r="G34" s="30">
        <f>SUM(B34:F34)</f>
        <v>598897.11</v>
      </c>
    </row>
    <row r="35" spans="1:8">
      <c r="A35" s="8" t="s">
        <v>37</v>
      </c>
      <c r="B35" s="30"/>
      <c r="C35" s="30">
        <f>16265+1800+36800</f>
        <v>54865</v>
      </c>
      <c r="D35" s="30"/>
      <c r="E35" s="30"/>
      <c r="F35" s="30"/>
      <c r="G35" s="30">
        <f>SUM(B35:F35)</f>
        <v>54865</v>
      </c>
    </row>
    <row r="36" spans="1:8">
      <c r="A36" s="8" t="s">
        <v>38</v>
      </c>
      <c r="B36" s="30"/>
      <c r="C36" s="30"/>
      <c r="D36" s="30"/>
      <c r="E36" s="30"/>
      <c r="F36" s="30"/>
      <c r="G36" s="30">
        <f>SUM(B36:F36)</f>
        <v>0</v>
      </c>
    </row>
    <row r="37" spans="1:8">
      <c r="A37" s="8" t="s">
        <v>39</v>
      </c>
      <c r="B37" s="39">
        <f>SUM(B27:B36)</f>
        <v>0</v>
      </c>
      <c r="C37" s="39">
        <f>SUM(C27:C36)</f>
        <v>4356337.11</v>
      </c>
      <c r="D37" s="39"/>
      <c r="E37" s="39"/>
      <c r="F37" s="39"/>
      <c r="G37" s="39">
        <f>SUM(G27:G36)</f>
        <v>4356337.11</v>
      </c>
    </row>
    <row r="38" spans="1:8">
      <c r="A38" s="9" t="s">
        <v>40</v>
      </c>
      <c r="B38" s="38">
        <f>+B25-B37</f>
        <v>4138318.6</v>
      </c>
      <c r="C38" s="38">
        <f>+C25-C37</f>
        <v>6846736.66</v>
      </c>
      <c r="D38" s="38"/>
      <c r="E38" s="38"/>
      <c r="F38" s="38"/>
      <c r="G38" s="38">
        <f>+G25-G37</f>
        <v>10985055.26</v>
      </c>
    </row>
    <row r="39" spans="1:8">
      <c r="A39" s="20"/>
      <c r="B39" s="20"/>
      <c r="C39" s="20"/>
      <c r="D39" s="20"/>
      <c r="E39" s="20"/>
      <c r="F39" s="20"/>
      <c r="G39" s="20"/>
    </row>
    <row r="40" spans="1:8">
      <c r="A40" s="51" t="s">
        <v>41</v>
      </c>
      <c r="B40" s="51"/>
      <c r="C40" s="51"/>
      <c r="D40" s="51"/>
      <c r="E40" s="51"/>
      <c r="F40" s="51"/>
      <c r="G40" s="51"/>
    </row>
    <row r="41" spans="1:8">
      <c r="C41" s="21"/>
      <c r="D41" s="21"/>
      <c r="E41" s="21"/>
      <c r="F41" s="21"/>
      <c r="G41" s="21"/>
    </row>
    <row r="43" spans="1:8">
      <c r="A43" s="52" t="s">
        <v>42</v>
      </c>
      <c r="B43" s="53"/>
    </row>
    <row r="44" spans="1:8">
      <c r="A44" s="49" t="s">
        <v>43</v>
      </c>
      <c r="B44" s="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B44"/>
    <mergeCell ref="F31:F32"/>
    <mergeCell ref="G31:G32"/>
    <mergeCell ref="A40:G40"/>
    <mergeCell ref="A43:B43"/>
    <mergeCell ref="A31:A32"/>
    <mergeCell ref="B31:B32"/>
    <mergeCell ref="C31:C32"/>
    <mergeCell ref="D31:D32"/>
    <mergeCell ref="E31:E32"/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</mergeCells>
  <printOptions gridLines="false" gridLinesSet="true"/>
  <pageMargins left="0.7" right="0.7" top="0.75" bottom="0.75" header="0.3" footer="0.3"/>
  <pageSetup paperSize="9" orientation="landscape" scale="7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44</v>
      </c>
    </row>
    <row r="3" spans="1:1">
      <c r="A3" t="s">
        <v>45</v>
      </c>
    </row>
    <row r="5" spans="1:1">
      <c r="A5" t="s">
        <v>46</v>
      </c>
    </row>
    <row r="6" spans="1:1">
      <c r="A6" s="2" t="s">
        <v>47</v>
      </c>
    </row>
    <row r="9" spans="1:1">
      <c r="A9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2023-07-05T10:24:19+08:00</dcterms:modified>
  <dc:title/>
  <dc:description/>
  <dc:subject/>
  <cp:keywords/>
  <cp:category/>
</cp:coreProperties>
</file>