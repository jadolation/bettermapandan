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ORM 1a - MAYOR" sheetId="1" r:id="rId4"/>
    <sheet name="FORM 1a - MDRRMO " sheetId="2" r:id="rId5"/>
    <sheet name="FORM 1a - VICE MAYOR" sheetId="3" r:id="rId6"/>
    <sheet name="FORM 1a - SANGGUNIANG BAYAN" sheetId="4" r:id="rId7"/>
    <sheet name="FORM 1a - HR" sheetId="5" r:id="rId8"/>
    <sheet name="FORM 1a -MPDC" sheetId="6" r:id="rId9"/>
    <sheet name="FORM 1a - REGISTRAR" sheetId="7" r:id="rId10"/>
    <sheet name="FORM 1a - BUDGET" sheetId="8" r:id="rId11"/>
    <sheet name="FORM 1a - ACCOUNTING" sheetId="9" r:id="rId12"/>
    <sheet name="FORM 1a - TREASURY" sheetId="10" r:id="rId13"/>
    <sheet name="FORM 1a - ASSESSOR" sheetId="11" r:id="rId14"/>
    <sheet name="FORM 1a -   RHU" sheetId="12" r:id="rId15"/>
    <sheet name="FORM 1a -   MSWD" sheetId="13" r:id="rId16"/>
    <sheet name="FORM 1a -   AGRICULTURE" sheetId="14" r:id="rId17"/>
    <sheet name="FORM 1a -  ENGINEERING" sheetId="15" r:id="rId18"/>
    <sheet name="FORM 1a - SPA" sheetId="16" r:id="rId19"/>
    <sheet name="FORM 1a - MARKET" sheetId="17" r:id="rId20"/>
    <sheet name="FORM 1a - SLAUGHTERHOUSE" sheetId="18" r:id="rId21"/>
    <sheet name="FORM 1a - CEMETERY" sheetId="19" r:id="rId22"/>
    <sheet name="FORM 1b - ABR SUMMARY" sheetId="20" r:id="rId23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<sst xmlns="http://schemas.openxmlformats.org/spreadsheetml/2006/main" uniqueCount="369">
  <si>
    <t>PROGRAMMED APPROPRIATION AND OBLIGATION BY OBJECT OF EXPENDITURE</t>
  </si>
  <si>
    <t>Mapandan, Pangasinan</t>
  </si>
  <si>
    <t>REGION: I</t>
  </si>
  <si>
    <t>Calendar Year: 2023</t>
  </si>
  <si>
    <t>PROVINCE: PANGASINAN</t>
  </si>
  <si>
    <t>Office:  OFFICE OF THE MAYOR - 1011</t>
  </si>
  <si>
    <t>CITY/MUNICIPALITY:  MAPANDAN</t>
  </si>
  <si>
    <t>Past Year</t>
  </si>
  <si>
    <t>Current Year (Estimate) 2022</t>
  </si>
  <si>
    <t>Budget Year</t>
  </si>
  <si>
    <t>Object of Expenditure</t>
  </si>
  <si>
    <t>Account Code</t>
  </si>
  <si>
    <t>First Semester</t>
  </si>
  <si>
    <t>Second Semester</t>
  </si>
  <si>
    <t>Total</t>
  </si>
  <si>
    <t>(Actual)</t>
  </si>
  <si>
    <t>(Estimate)</t>
  </si>
  <si>
    <t>(Proposed)</t>
  </si>
  <si>
    <t xml:space="preserve">     Personal Services</t>
  </si>
  <si>
    <t xml:space="preserve">           Salaries &amp; Wages - Regular</t>
  </si>
  <si>
    <t>5-01-01-010</t>
  </si>
  <si>
    <t>P</t>
  </si>
  <si>
    <t xml:space="preserve">     Other Compensation</t>
  </si>
  <si>
    <t xml:space="preserve">           Personnel Economic Relief Allowance (PERA)</t>
  </si>
  <si>
    <t>5-01-02-010</t>
  </si>
  <si>
    <t xml:space="preserve">           Representation Allowance (RA)</t>
  </si>
  <si>
    <t>5-01-02-020</t>
  </si>
  <si>
    <t xml:space="preserve">           Transportation Allowance (TA)</t>
  </si>
  <si>
    <t>5-01-02-030</t>
  </si>
  <si>
    <t xml:space="preserve">           Clothing/Uniform Allowance</t>
  </si>
  <si>
    <t>5-01-02-040</t>
  </si>
  <si>
    <t xml:space="preserve">           Productivity Enhancement Incentive</t>
  </si>
  <si>
    <t>5-01-02-080</t>
  </si>
  <si>
    <t xml:space="preserve">           Service Recognition Incentives</t>
  </si>
  <si>
    <t>5-01-02-081</t>
  </si>
  <si>
    <t xml:space="preserve">           Year End Bonus</t>
  </si>
  <si>
    <t>5-01-02-140</t>
  </si>
  <si>
    <t xml:space="preserve">           Cash Gift</t>
  </si>
  <si>
    <t>5-01-02-150</t>
  </si>
  <si>
    <t xml:space="preserve">           Mid-Year Bonus</t>
  </si>
  <si>
    <t>5-01-02-151</t>
  </si>
  <si>
    <t xml:space="preserve">     Personnel Benefit Contributions</t>
  </si>
  <si>
    <t xml:space="preserve">           Retirement &amp; Life Insurance Premiums</t>
  </si>
  <si>
    <t>5-01-03-010</t>
  </si>
  <si>
    <t xml:space="preserve">           Pag-IBIG Contributions</t>
  </si>
  <si>
    <t>5-01-03-020</t>
  </si>
  <si>
    <t xml:space="preserve">           PhilHealth Contributions</t>
  </si>
  <si>
    <t>5-01-03-030</t>
  </si>
  <si>
    <t xml:space="preserve">           Employees Compensation Insurance Premiums</t>
  </si>
  <si>
    <t>5-01-03-040</t>
  </si>
  <si>
    <t xml:space="preserve">     Other Personnel Benefits</t>
  </si>
  <si>
    <t xml:space="preserve">        Terminal Leave Benefits</t>
  </si>
  <si>
    <t>5-01-04-030</t>
  </si>
  <si>
    <t xml:space="preserve">        Other Personnel Benefits</t>
  </si>
  <si>
    <t>5-01-04-990</t>
  </si>
  <si>
    <t>TOTAL PERSONAL SERVICES</t>
  </si>
  <si>
    <t xml:space="preserve">   Maintenance and Other Operating Expenses</t>
  </si>
  <si>
    <t xml:space="preserve">        Traveling Expenses - Local</t>
  </si>
  <si>
    <t>5-02-01-010</t>
  </si>
  <si>
    <t xml:space="preserve">        Training Expenses</t>
  </si>
  <si>
    <t>5-02-02-010</t>
  </si>
  <si>
    <t xml:space="preserve">        Office Supplies Expenses</t>
  </si>
  <si>
    <t>5-02-03-010</t>
  </si>
  <si>
    <t xml:space="preserve">        Fuel, Oil &amp; Lubricants Expenses</t>
  </si>
  <si>
    <t>5-02-03-090</t>
  </si>
  <si>
    <t xml:space="preserve">        Water Expenses</t>
  </si>
  <si>
    <t>5-02-04-010</t>
  </si>
  <si>
    <t xml:space="preserve">        Electricity Expenses</t>
  </si>
  <si>
    <t>5-02-04-020</t>
  </si>
  <si>
    <t xml:space="preserve">        Postage &amp; Courier Services</t>
  </si>
  <si>
    <t>5-02-05-010</t>
  </si>
  <si>
    <t xml:space="preserve">        Telephone Expenses/Landline/Mobile</t>
  </si>
  <si>
    <t>5-02-05-020</t>
  </si>
  <si>
    <t xml:space="preserve">        Internet Subscription Expenses</t>
  </si>
  <si>
    <t>5-02-05-030</t>
  </si>
  <si>
    <t xml:space="preserve">        Extraordinary and Miscellaneous Expenses</t>
  </si>
  <si>
    <t>5-02-10-030</t>
  </si>
  <si>
    <t xml:space="preserve">        Consultancy Services</t>
  </si>
  <si>
    <t>5-02-11-030</t>
  </si>
  <si>
    <t xml:space="preserve">        Other General Services</t>
  </si>
  <si>
    <t>5-02-12-990</t>
  </si>
  <si>
    <t xml:space="preserve">        Repairs &amp; Maintenance - Machinery &amp; Equipment</t>
  </si>
  <si>
    <t>5-02-13-050</t>
  </si>
  <si>
    <r>
      <t xml:space="preserve">        Repairs &amp; Maintenance - </t>
    </r>
    <r>
      <rPr>
        <rFont val="Calibri"/>
        <b val="false"/>
        <i val="false"/>
        <strike val="false"/>
        <color rgb="FF000000"/>
        <sz val="8"/>
        <u val="none"/>
      </rPr>
      <t xml:space="preserve">Transportation Equipment</t>
    </r>
  </si>
  <si>
    <t>5-02-13-060</t>
  </si>
  <si>
    <t xml:space="preserve">        Fidelity bond Premiums</t>
  </si>
  <si>
    <t>5-02-16-020</t>
  </si>
  <si>
    <t xml:space="preserve">        Insurance Expenses</t>
  </si>
  <si>
    <t>5-02-16-030</t>
  </si>
  <si>
    <t xml:space="preserve">        Advertising Expenses</t>
  </si>
  <si>
    <t>5-02-99-010</t>
  </si>
  <si>
    <t xml:space="preserve">        Other Maintenance and Operating Expenses</t>
  </si>
  <si>
    <t>5-02-99-990</t>
  </si>
  <si>
    <t xml:space="preserve">    TOTAL MAINT. &amp; OTHER OPERATING EXPENSES</t>
  </si>
  <si>
    <t xml:space="preserve">    Capital Outlay</t>
  </si>
  <si>
    <r>
      <t xml:space="preserve">         </t>
    </r>
    <r>
      <rPr>
        <rFont val="Calibri"/>
        <b val="false"/>
        <i val="false"/>
        <strike val="false"/>
        <color rgb="FF000000"/>
        <sz val="9"/>
        <u val="none"/>
      </rPr>
      <t xml:space="preserve">Building &amp; Structure Outlay</t>
    </r>
    <r>
      <rPr>
        <rFont val="Calibri"/>
        <b val="true"/>
        <i val="false"/>
        <strike val="false"/>
        <color rgb="FF000000"/>
        <sz val="9"/>
        <u val="none"/>
      </rPr>
      <t xml:space="preserve"> -</t>
    </r>
    <r>
      <rPr>
        <rFont val="Calibri"/>
        <b val="false"/>
        <i val="false"/>
        <strike val="false"/>
        <color rgb="FF000000"/>
        <sz val="9"/>
        <u val="none"/>
      </rPr>
      <t xml:space="preserve"> Barangay MRF</t>
    </r>
  </si>
  <si>
    <t>1-07-04-990-1</t>
  </si>
  <si>
    <r>
      <t xml:space="preserve">        </t>
    </r>
    <r>
      <rPr>
        <rFont val="Calibri"/>
        <b val="false"/>
        <i val="false"/>
        <strike val="false"/>
        <color rgb="FF000000"/>
        <sz val="9"/>
        <u val="none"/>
      </rPr>
      <t xml:space="preserve"> Building &amp; Structure Outlay - 0ther Structure - MPDP</t>
    </r>
  </si>
  <si>
    <t>1-07-04-990-2</t>
  </si>
  <si>
    <t xml:space="preserve">         Office Equipment</t>
  </si>
  <si>
    <t>1-07-05-020</t>
  </si>
  <si>
    <t xml:space="preserve">         Equipment Outlay &amp; Information  &amp; Communication Technology </t>
  </si>
  <si>
    <t>1-07-05-030</t>
  </si>
  <si>
    <t xml:space="preserve">    TOTAL CAPITAL OUTLAY</t>
  </si>
  <si>
    <t>TOTAL APPROPRIATIONS</t>
  </si>
  <si>
    <t>Prepared by:</t>
  </si>
  <si>
    <t>Reviewed by:</t>
  </si>
  <si>
    <t>Approved by:</t>
  </si>
  <si>
    <t>HON. KARL CHRISTIAN   F. VEGA</t>
  </si>
  <si>
    <t>AMALIA B. CARAMAT</t>
  </si>
  <si>
    <t>HON. KARL CHRISTIAN F. VEGA</t>
  </si>
  <si>
    <t>Municipal Mayor</t>
  </si>
  <si>
    <t>Municipal Budget Officer</t>
  </si>
  <si>
    <r>
      <rPr>
        <rFont val="Calibri"/>
        <b val="true"/>
        <i val="false"/>
        <strike val="false"/>
        <color rgb="FF000000"/>
        <sz val="11"/>
        <u val="none"/>
      </rPr>
      <t xml:space="preserve">Calendar Year:</t>
    </r>
    <r>
      <rPr>
        <rFont val="Calibri"/>
        <b val="false"/>
        <i val="false"/>
        <strike val="false"/>
        <color rgb="FF000000"/>
        <sz val="11"/>
        <u val="none"/>
      </rPr>
      <t xml:space="preserve"> </t>
    </r>
    <r>
      <rPr>
        <rFont val="Calibri"/>
        <b val="true"/>
        <i val="false"/>
        <strike val="false"/>
        <color rgb="FF000000"/>
        <sz val="11"/>
        <u val="none"/>
      </rPr>
      <t xml:space="preserve">2023</t>
    </r>
  </si>
  <si>
    <r>
      <t xml:space="preserve">Office: </t>
    </r>
    <r>
      <rPr>
        <rFont val="Calibri"/>
        <b val="false"/>
        <i val="false"/>
        <strike val="false"/>
        <color rgb="FF000000"/>
        <sz val="11"/>
        <u val="none"/>
      </rPr>
      <t xml:space="preserve"> </t>
    </r>
    <r>
      <rPr>
        <rFont val="Calibri"/>
        <b val="true"/>
        <i val="false"/>
        <strike val="false"/>
        <color rgb="FF000000"/>
        <sz val="11"/>
        <u val="none"/>
      </rPr>
      <t xml:space="preserve">OFFICE OF THE MUNICIPAL DISASTER  RISK REDUCTION AND MANAGEMENT -1011-1</t>
    </r>
  </si>
  <si>
    <t xml:space="preserve">         Equipment Outlay</t>
  </si>
  <si>
    <t>MAIAN JEN M. ARGUELLES</t>
  </si>
  <si>
    <t>HON. KARL CHRISTIAN  F. VEGA</t>
  </si>
  <si>
    <t>MDRRMO</t>
  </si>
  <si>
    <t>Office:  OFFICE OF THE VICE MAYOR - 1016</t>
  </si>
  <si>
    <t>HON. GERALD GLENN L. TAMBAOAN</t>
  </si>
  <si>
    <t>Municipal Vice Mayor</t>
  </si>
  <si>
    <t>Office:  OFFICE OF THE SANGGUNIANG BAYAN -1021</t>
  </si>
  <si>
    <t>Office:   OFFICE OF HUMAN RESOURCE MANAGEMENT  - 1032</t>
  </si>
  <si>
    <t>MADELINE B. FERRER</t>
  </si>
  <si>
    <t>Human Resource Management Officer</t>
  </si>
  <si>
    <t>Office:OFFICE OF THE MUNICIPAL PLANNING &amp; DEVELOPMENT OFFICER - 1041</t>
  </si>
  <si>
    <t>ARCHT. MELCHOR N. SERAPION</t>
  </si>
  <si>
    <t xml:space="preserve"> Municipal Planning &amp; Dev't. Coordinator</t>
  </si>
  <si>
    <t>Office: OFFICE OF THE MUNICIPAL CIVIL REGISTRAR  - 1051</t>
  </si>
  <si>
    <t>KRISTELL MAY Q. SORIANO</t>
  </si>
  <si>
    <t>Municipal Civil Registrar</t>
  </si>
  <si>
    <t>Office: OFFICE OF THE BUDGET OFFICER  - 1071</t>
  </si>
  <si>
    <t xml:space="preserve">         Equipment Outlay (1 set Computer &amp; 2 UPS)</t>
  </si>
  <si>
    <t xml:space="preserve"> </t>
  </si>
  <si>
    <t>Office: OFFICE OF THE MUNICIPAL ACCOUNTANT - 1081</t>
  </si>
  <si>
    <t xml:space="preserve">        Auditing Services</t>
  </si>
  <si>
    <t>5-02-11-020</t>
  </si>
  <si>
    <t>RUTH B. SOTTO, CPA</t>
  </si>
  <si>
    <t>Municipal Accountant</t>
  </si>
  <si>
    <t>Office: OFFICE OF THE MUNICIPAL TREASURER - 1091</t>
  </si>
  <si>
    <t xml:space="preserve">          Terminal Leave Benefits</t>
  </si>
  <si>
    <t xml:space="preserve">          Other Personnel Benefits</t>
  </si>
  <si>
    <t xml:space="preserve">        Accountable Forms Expenses</t>
  </si>
  <si>
    <t>5-02-03-020</t>
  </si>
  <si>
    <t>WILFREDO D. GABRIEL</t>
  </si>
  <si>
    <t>Acting Municipal Treasurer</t>
  </si>
  <si>
    <t>Office: OFFICE OF THE MUNICIPAL ASSESSOR -  1101</t>
  </si>
  <si>
    <t>JONATHAN M. PENULIAR</t>
  </si>
  <si>
    <t xml:space="preserve">Municipal Assessor </t>
  </si>
  <si>
    <t>Office: OFFICE OF THE MUNICIPAL HEALTH OFFICER - 4411</t>
  </si>
  <si>
    <t xml:space="preserve">           Subsistence Allowance</t>
  </si>
  <si>
    <t>5-01-02-050</t>
  </si>
  <si>
    <t xml:space="preserve">           Laundry Allowance</t>
  </si>
  <si>
    <t>5-01-02-060</t>
  </si>
  <si>
    <t xml:space="preserve">           Hazard Pay</t>
  </si>
  <si>
    <t>5-01-02-110</t>
  </si>
  <si>
    <t xml:space="preserve">         Other Personnel Benefits</t>
  </si>
  <si>
    <t xml:space="preserve">        Drugs and Medicines Expenses</t>
  </si>
  <si>
    <t>5-02-03-070</t>
  </si>
  <si>
    <t xml:space="preserve">        Medical, Dental,Family Flanning and Laboratory Supplies</t>
  </si>
  <si>
    <t>5-02-03-080</t>
  </si>
  <si>
    <t xml:space="preserve">        Fuel, Oil and Lubricants Expenses</t>
  </si>
  <si>
    <t xml:space="preserve">        Repairs &amp; Maintenance - Transportation Equipment</t>
  </si>
  <si>
    <t xml:space="preserve">         Procurement of Lot for the Construction of Super RHU 2</t>
  </si>
  <si>
    <t>1-07-01-010</t>
  </si>
  <si>
    <t xml:space="preserve">         Purchase of Generator</t>
  </si>
  <si>
    <t>1-07-05-010</t>
  </si>
  <si>
    <t xml:space="preserve">         Motor Vehicle</t>
  </si>
  <si>
    <t>1-07-06-010</t>
  </si>
  <si>
    <t>DR. CRISTINA L. QUINTO</t>
  </si>
  <si>
    <t>Municipal Health Officer</t>
  </si>
  <si>
    <t>Office: OFFICE OF THE MUNICPAL SOCIAL WELFARE &amp; DEVELOPMENT OFFICER- 7611</t>
  </si>
  <si>
    <t xml:space="preserve">        Repairs &amp; Maintenance - Equipment &amp; Child Development Centers</t>
  </si>
  <si>
    <t xml:space="preserve">        Operations of Day Care Centers/Child Development Workers</t>
  </si>
  <si>
    <t>5-02-99-990-1</t>
  </si>
  <si>
    <t xml:space="preserve">        Operations of Devolved Services &amp; Programs</t>
  </si>
  <si>
    <t>5-02-99-990-2</t>
  </si>
  <si>
    <t xml:space="preserve">        Supplemental Feeding Program - DCC &amp; ECCD</t>
  </si>
  <si>
    <t>5-02-99-990-2b</t>
  </si>
  <si>
    <t xml:space="preserve">        Assistance, Trainings &amp; Other Activities for PWDs</t>
  </si>
  <si>
    <t>5-02-99-990-3a</t>
  </si>
  <si>
    <t xml:space="preserve">        Assistance &amp; Capability Trainings for Solo Parents</t>
  </si>
  <si>
    <t>5-02-99-990-3b</t>
  </si>
  <si>
    <t xml:space="preserve">        Support to CICL, CAR &amp; OSY</t>
  </si>
  <si>
    <t>5-02-99-990-3c</t>
  </si>
  <si>
    <t xml:space="preserve">        Care &amp; Maint. of CICL under Institutional Care @DSWD FO1  RRCY</t>
  </si>
  <si>
    <t>5-02-99-990-3d</t>
  </si>
  <si>
    <t xml:space="preserve">        Office Equipment</t>
  </si>
  <si>
    <t xml:space="preserve">        Motor Vehicle</t>
  </si>
  <si>
    <t>RAMIL S. DE VERA</t>
  </si>
  <si>
    <t>Municipal Social Welfare &amp; Dev't. Officer</t>
  </si>
  <si>
    <t>Office: OFFICE OF THE MUNICPAL AGRICULTURIST - 8711</t>
  </si>
  <si>
    <t xml:space="preserve">        Other MOOE - Assorted Vegetable Seeds</t>
  </si>
  <si>
    <t>5-02-99-990-6a</t>
  </si>
  <si>
    <t xml:space="preserve">        Other MOOE - Anti Rabies Vaccines</t>
  </si>
  <si>
    <t>5-02-99-990-6b</t>
  </si>
  <si>
    <t xml:space="preserve">        Support to Farmers - Palay Seeds Assistance</t>
  </si>
  <si>
    <t>5-02-99-990-6c</t>
  </si>
  <si>
    <t xml:space="preserve">        Support to Farmers - Fertilizer Assistance</t>
  </si>
  <si>
    <t>5-02-99-990-6d</t>
  </si>
  <si>
    <t xml:space="preserve">        Support to Farmers - Provision of Small Irrigation System</t>
  </si>
  <si>
    <t>5-02-99-990-6e</t>
  </si>
  <si>
    <t xml:space="preserve">        Support to Farmers - Hybrid Yellow Corn Assistance</t>
  </si>
  <si>
    <t>5-02-99-990-6f</t>
  </si>
  <si>
    <t xml:space="preserve">        Building &amp; Structure Outlay</t>
  </si>
  <si>
    <t>1-07-04-990</t>
  </si>
  <si>
    <t>MELVIN C. VILLANUEVA</t>
  </si>
  <si>
    <t xml:space="preserve"> Municipal Agriculturist</t>
  </si>
  <si>
    <t>Office: OFFICE OF THE MUNICPAL ENGINEER - 8751</t>
  </si>
  <si>
    <t>.</t>
  </si>
  <si>
    <t>ENGR. ANGELO C. ABROGAR</t>
  </si>
  <si>
    <t>Municipal Engineer</t>
  </si>
  <si>
    <t>Office: NON-OFFICE EXPENDITURES -  SPECIAL PURPOSE APPROPRIATIONS -9999</t>
  </si>
  <si>
    <t xml:space="preserve">   Maintenance and Other Operating Expenses - Other SPA</t>
  </si>
  <si>
    <t xml:space="preserve">           Electricity Expenses for Boulevard Lights</t>
  </si>
  <si>
    <t>5-02-04-020-1</t>
  </si>
  <si>
    <t xml:space="preserve">           Research, Exploration &amp; Development Expenses</t>
  </si>
  <si>
    <t>5-02-07-020</t>
  </si>
  <si>
    <t xml:space="preserve">           Maint. Of Boulevard Lights and Other Facilities</t>
  </si>
  <si>
    <t>5-02-13-030-1</t>
  </si>
  <si>
    <t xml:space="preserve">           Maint. Of Plaza, Parks and Monuments</t>
  </si>
  <si>
    <t>5-02-13-030-2</t>
  </si>
  <si>
    <t xml:space="preserve">           Maint. Of Municipal Builings and Other Facilities</t>
  </si>
  <si>
    <t>5-02-13-040-1</t>
  </si>
  <si>
    <t xml:space="preserve">           Maint. Of Barangay MRF</t>
  </si>
  <si>
    <t>5-02-13040-2</t>
  </si>
  <si>
    <t xml:space="preserve">           Sanitary Landfill Expenses</t>
  </si>
  <si>
    <t>5-02-13-990-1</t>
  </si>
  <si>
    <t xml:space="preserve">           Repairs &amp; Maint. - For the Operation of MRF</t>
  </si>
  <si>
    <t>5-02-13-990-2</t>
  </si>
  <si>
    <t xml:space="preserve">           Subsidy to Philippine National Police (PNP)</t>
  </si>
  <si>
    <t>5-02-14-020-1</t>
  </si>
  <si>
    <t xml:space="preserve">           Subsidy to Municipal Local Government Officer </t>
  </si>
  <si>
    <t>5-02-14-020-2</t>
  </si>
  <si>
    <t xml:space="preserve">           Susidy to Municipal Trial Court (MTC)</t>
  </si>
  <si>
    <t>5-02-14-020-3</t>
  </si>
  <si>
    <t xml:space="preserve">           Subsidy to Bureau of Fire Protection (BFP)</t>
  </si>
  <si>
    <t>5-02-14-020-4</t>
  </si>
  <si>
    <t xml:space="preserve">           Subsidy to Commission on Election</t>
  </si>
  <si>
    <t>5-02-14-020-5</t>
  </si>
  <si>
    <t xml:space="preserve">           Nutrition and Population Services</t>
  </si>
  <si>
    <t>5-02-14-020-9</t>
  </si>
  <si>
    <t xml:space="preserve">           Subsidy to Non-Government Organizations</t>
  </si>
  <si>
    <t>5-02-14-020-7</t>
  </si>
  <si>
    <t xml:space="preserve">           Subsidy to Barangay Health Workers</t>
  </si>
  <si>
    <t>5-02-14-020-8</t>
  </si>
  <si>
    <t xml:space="preserve">           Subsidy to Farmers</t>
  </si>
  <si>
    <t>5-02-14-990</t>
  </si>
  <si>
    <t xml:space="preserve">           Support to Tobacco Farmers</t>
  </si>
  <si>
    <t>5-02-14-990-1</t>
  </si>
  <si>
    <t xml:space="preserve">           Insurance of New Public Market/Mun. Bldgs.</t>
  </si>
  <si>
    <t>5-02-16-030-1</t>
  </si>
  <si>
    <t xml:space="preserve">           Grants and Donations</t>
  </si>
  <si>
    <t>5-02-99-080-1</t>
  </si>
  <si>
    <t xml:space="preserve">           Gender Issues</t>
  </si>
  <si>
    <t xml:space="preserve">           PhilHealth Assistance Contributions</t>
  </si>
  <si>
    <t xml:space="preserve">           Promotion of Culture and Arts</t>
  </si>
  <si>
    <t>5-02-99-990-2a</t>
  </si>
  <si>
    <t xml:space="preserve">           Tax Mapping Expenses</t>
  </si>
  <si>
    <t>5-02-99-990-3</t>
  </si>
  <si>
    <t xml:space="preserve">           Senior Citizens Services</t>
  </si>
  <si>
    <t>5-02-99-990-4</t>
  </si>
  <si>
    <t xml:space="preserve">           PLEB Services</t>
  </si>
  <si>
    <t>5-02-99-990-5</t>
  </si>
  <si>
    <t xml:space="preserve">           Clean and Green Program </t>
  </si>
  <si>
    <t>5-02-99-990-6</t>
  </si>
  <si>
    <t xml:space="preserve">           Sports Development Program</t>
  </si>
  <si>
    <t>5-02-99-990-7</t>
  </si>
  <si>
    <t xml:space="preserve">           Support for Government Affairs</t>
  </si>
  <si>
    <t>5-02-99-990-9</t>
  </si>
  <si>
    <t xml:space="preserve">           Support for Anti-Red Tape</t>
  </si>
  <si>
    <t>5-02-99-990-10</t>
  </si>
  <si>
    <t xml:space="preserve">           Tourism Expenses</t>
  </si>
  <si>
    <t>5-02-99-990-11</t>
  </si>
  <si>
    <t xml:space="preserve">           Lot Rental (Roman Catholic Lot)</t>
  </si>
  <si>
    <t>5-02-99-990-12</t>
  </si>
  <si>
    <t xml:space="preserve">           Local Blood Council</t>
  </si>
  <si>
    <t>5-02-99-990-13</t>
  </si>
  <si>
    <t xml:space="preserve">           Election Expenses</t>
  </si>
  <si>
    <t>5-02-99-990-14</t>
  </si>
  <si>
    <t xml:space="preserve">           Educational Assisstance</t>
  </si>
  <si>
    <t>5-02-99-990-16</t>
  </si>
  <si>
    <t xml:space="preserve">           Local Council for the Protection of Children - LCPC</t>
  </si>
  <si>
    <t>5-02-99-990-25</t>
  </si>
  <si>
    <t xml:space="preserve">           Anti-Drug Abuse Program</t>
  </si>
  <si>
    <t>5-02-99-990-26</t>
  </si>
  <si>
    <t xml:space="preserve">           Funds for COVID 19 related PPAs</t>
  </si>
  <si>
    <t>5-02-99-990-30</t>
  </si>
  <si>
    <t xml:space="preserve">     TOTAL OTHER SPECIAL PURPOSE APPROPRIATIONS</t>
  </si>
  <si>
    <t>Office: OPERATION OF PUBLIC MARKET -8811</t>
  </si>
  <si>
    <t>Office: OPERATION OF SLAUGHTERHOUSE - 8812</t>
  </si>
  <si>
    <t>Office: OPERATION OF CEMETERY - 8841</t>
  </si>
  <si>
    <t>1.0 CURRENT OPERATING EXPENDITURES</t>
  </si>
  <si>
    <t xml:space="preserve">     1.1 Personal Services</t>
  </si>
  <si>
    <t xml:space="preserve">           Service Recognition Incentive (SRI)</t>
  </si>
  <si>
    <t xml:space="preserve">           Terminal Leave Benefits</t>
  </si>
  <si>
    <t xml:space="preserve">           Other Personnel Benefits</t>
  </si>
  <si>
    <t xml:space="preserve">   1.2 Maintenance and Other Operating Expenses</t>
  </si>
  <si>
    <t xml:space="preserve">        Drugs &amp; Medicines Expenses</t>
  </si>
  <si>
    <t xml:space="preserve">        Medical/Family Planning &amp; Laboratory Supplies</t>
  </si>
  <si>
    <t>5-02-03-990</t>
  </si>
  <si>
    <t xml:space="preserve">        Extraordinary &amp; Misc. Expenses(2% of P2,178,498.15)</t>
  </si>
  <si>
    <r>
      <t xml:space="preserve">        Repairs &amp; Maintenance - </t>
    </r>
    <r>
      <rPr>
        <rFont val="Arial"/>
        <b val="false"/>
        <i val="false"/>
        <strike val="false"/>
        <color rgb="FF000000"/>
        <sz val="8"/>
        <u val="none"/>
      </rPr>
      <t xml:space="preserve">Transportation Equipment</t>
    </r>
  </si>
  <si>
    <t xml:space="preserve">        Fidelity Bond Premiums</t>
  </si>
  <si>
    <t xml:space="preserve">        Operations of Day Care Centers</t>
  </si>
  <si>
    <t>5-02-99-991</t>
  </si>
  <si>
    <t xml:space="preserve">        Operation of Devolved Social Service &amp; Programs</t>
  </si>
  <si>
    <t>5-02-99-992</t>
  </si>
  <si>
    <t xml:space="preserve">        Supplemental Feeding Program - DCC  ECCD</t>
  </si>
  <si>
    <t xml:space="preserve">        Maint. Cost of Rehabilitation of CICL from RRCY</t>
  </si>
  <si>
    <t xml:space="preserve">        Other MOE - Assorted Vegetable Seeds</t>
  </si>
  <si>
    <t xml:space="preserve">        Other MOE - Anti Rabies Vaccines</t>
  </si>
  <si>
    <r>
      <t xml:space="preserve">        Support to Farmers - </t>
    </r>
    <r>
      <rPr>
        <rFont val="Arial"/>
        <b val="false"/>
        <i val="false"/>
        <strike val="false"/>
        <color rgb="FF000000"/>
        <sz val="8"/>
        <u val="none"/>
      </rPr>
      <t xml:space="preserve">Provision of Small Irrigation Syst</t>
    </r>
    <r>
      <rPr>
        <rFont val="Arial"/>
        <b val="false"/>
        <i val="false"/>
        <strike val="false"/>
        <color rgb="FF000000"/>
        <sz val="9"/>
        <u val="none"/>
      </rPr>
      <t xml:space="preserve">em</t>
    </r>
  </si>
  <si>
    <t>2.0 Capital Outlay</t>
  </si>
  <si>
    <t xml:space="preserve">         Procurement of Lot for the Constn. Of Super RHU 2</t>
  </si>
  <si>
    <t xml:space="preserve">         Other Structure - Barangay MRF</t>
  </si>
  <si>
    <t xml:space="preserve">         Other Structure - MPDP</t>
  </si>
  <si>
    <t xml:space="preserve">         Building &amp; Structure Outlay</t>
  </si>
  <si>
    <t xml:space="preserve">         Information &amp; Communication Technology Equipt</t>
  </si>
  <si>
    <t>TOTAL CAPITAL OUTLAY</t>
  </si>
  <si>
    <t xml:space="preserve">   Special Purpose Appropriations (SPAS)</t>
  </si>
  <si>
    <t xml:space="preserve">         20% Development Fund</t>
  </si>
  <si>
    <t xml:space="preserve">         5% MDRRMF (Budgetary Reserves)</t>
  </si>
  <si>
    <t xml:space="preserve">            1%  For Local Council for the Protection of Children - LCPC</t>
  </si>
  <si>
    <t xml:space="preserve">         Aid to (15) Barangays</t>
  </si>
  <si>
    <t>5-02-14-030-1</t>
  </si>
  <si>
    <t xml:space="preserve">   TOTAL SPECIAL PURPOSE APPROPRIATIONS</t>
  </si>
  <si>
    <t xml:space="preserve">   Non-Office Expenditures</t>
  </si>
  <si>
    <t xml:space="preserve">    Other Special Purpose Appropriations</t>
  </si>
  <si>
    <t xml:space="preserve">           Maint. Of Municipal Buildings and Other Facilities</t>
  </si>
  <si>
    <t>5-02-13-040-2</t>
  </si>
  <si>
    <t xml:space="preserve">           Rep. &amp; Maint. For the Operation of MRF</t>
  </si>
  <si>
    <t xml:space="preserve">           Subsidy to Commission on Election (COMELEC)</t>
  </si>
  <si>
    <t xml:space="preserve">           Subsidy to Brgy. Health Workers (BHW)</t>
  </si>
  <si>
    <t>5-02-99-990-1a</t>
  </si>
  <si>
    <t>5-02-99-990-23</t>
  </si>
  <si>
    <t>5-02-99-990-28</t>
  </si>
  <si>
    <t xml:space="preserve">           Educational Assistance</t>
  </si>
  <si>
    <t xml:space="preserve">           Relief Goods &amp; Other Exp. Regarding Covid-19</t>
  </si>
  <si>
    <t>TOTAL OTHER SPECIAL PURPOSE APPROPRIATIONS</t>
  </si>
  <si>
    <t>TOTAL SPECIAL PURPOSE APPROPRIATIONS</t>
  </si>
  <si>
    <t>TOTAL EXPENDITURES</t>
  </si>
  <si>
    <t>We hereby certify that the information presented above are true and correct. We further certify that the foregoing estimated receipts are reasonably projected as collectible for the Budget Year.</t>
  </si>
  <si>
    <t>LOCAL FINANCE COMMITTEE</t>
  </si>
  <si>
    <t xml:space="preserve">                         WILFREDO D. GABRIEL                                                       AMALIA B. CARAMAT                                       MELCHOR N. SERAPION                                                            RUTH B. SOTTO</t>
  </si>
  <si>
    <t xml:space="preserve">                          ACTING  MUNICIPAL TREASURER                               MUNICIPAL BUDGET OFFICER             MUNICIPAL PLANNING &amp; DEV'T OFFICER                       MUNICIPAL ACCOUNTANT </t>
  </si>
  <si>
    <t>LBP Form No. 1</t>
  </si>
  <si>
    <t>BUDGET OF EXPENDITURES AND SOURCE OF FINANCING</t>
  </si>
  <si>
    <t>MAPANDAN, PANGASINAN</t>
  </si>
  <si>
    <t>OPERATION OF ECONOMIC ENTERPRISES</t>
  </si>
  <si>
    <t>PARTICULARS</t>
  </si>
  <si>
    <t xml:space="preserve">   PAST YEAR</t>
  </si>
  <si>
    <t>CURRENT YEAR 2022 APPROPRIATION</t>
  </si>
  <si>
    <t>BUDGET YEAR</t>
  </si>
  <si>
    <t>ACCOUNT</t>
  </si>
  <si>
    <t>2nd Semester</t>
  </si>
  <si>
    <t>TOTAL</t>
  </si>
  <si>
    <t>CODE</t>
  </si>
  <si>
    <t>ACTUAL</t>
  </si>
  <si>
    <t>PROPOSED</t>
  </si>
  <si>
    <t>I. CURRENT OPERATING EXPENDITURES</t>
  </si>
  <si>
    <t xml:space="preserve">    1.1 Personal Services</t>
  </si>
  <si>
    <t xml:space="preserve">           Salaries - Regular</t>
  </si>
  <si>
    <t xml:space="preserve">           Wages</t>
  </si>
  <si>
    <t>5-01-01-020</t>
  </si>
  <si>
    <t xml:space="preserve">           Productivity Incentive Allowance</t>
  </si>
  <si>
    <t xml:space="preserve">    TOTAL PERSONAL SERVICES</t>
  </si>
  <si>
    <t xml:space="preserve">   1.2  Maintenance and Other Operating Expenses</t>
  </si>
</sst>
</file>

<file path=xl/styles.xml><?xml version="1.0" encoding="utf-8"?>
<styleSheet xmlns="http://schemas.openxmlformats.org/spreadsheetml/2006/main" xml:space="preserve">
  <numFmts count="0"/>
  <fonts count="1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single"/>
      <sz val="11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48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</border>
    <border>
      <right style="medium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medium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double">
        <color rgb="FF000000"/>
      </bottom>
    </border>
    <border>
      <right style="thin">
        <color rgb="FF000000"/>
      </right>
      <bottom style="double">
        <color rgb="FF000000"/>
      </bottom>
    </border>
    <border>
      <left style="thin">
        <color rgb="FF000000"/>
      </left>
      <bottom style="double">
        <color rgb="FF000000"/>
      </bottom>
    </border>
    <border>
      <bottom style="double">
        <color rgb="FF000000"/>
      </bottom>
    </border>
    <border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bottom style="double">
        <color rgb="FF000000"/>
      </bottom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double">
        <color rgb="FF000000"/>
      </top>
    </border>
    <border>
      <right style="thin">
        <color rgb="FF000000"/>
      </right>
      <top style="double">
        <color rgb="FF000000"/>
      </top>
    </border>
    <border>
      <right style="medium">
        <color rgb="FF000000"/>
      </right>
      <top style="double">
        <color rgb="FF000000"/>
      </top>
    </border>
    <border>
      <top style="medium">
        <color rgb="FF000000"/>
      </top>
    </border>
  </borders>
  <cellStyleXfs count="1">
    <xf numFmtId="0" fontId="0" fillId="0" borderId="0"/>
  </cellStyleXfs>
  <cellXfs count="276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1" applyFont="1" applyNumberFormat="0" applyFill="0" applyBorder="1" applyAlignment="0">
      <alignment horizontal="general" vertical="bottom" textRotation="0" wrapText="false" shrinkToFit="false"/>
    </xf>
    <xf xfId="0" fontId="2" numFmtId="0" fillId="2" borderId="2" applyFont="1" applyNumberFormat="0" applyFill="0" applyBorder="1" applyAlignment="0">
      <alignment horizontal="general" vertical="bottom" textRotation="0" wrapText="false" shrinkToFit="false"/>
    </xf>
    <xf xfId="0" fontId="2" numFmtId="0" fillId="2" borderId="2" applyFont="1" applyNumberFormat="0" applyFill="0" applyBorder="1" applyAlignment="1">
      <alignment horizontal="center" vertical="bottom" textRotation="0" wrapText="false" shrinkToFit="false"/>
    </xf>
    <xf xfId="0" fontId="2" numFmtId="0" fillId="2" borderId="3" applyFont="1" applyNumberFormat="0" applyFill="0" applyBorder="1" applyAlignment="1">
      <alignment horizontal="center" vertical="bottom" textRotation="0" wrapText="false" shrinkToFit="false"/>
    </xf>
    <xf xfId="0" fontId="2" numFmtId="0" fillId="2" borderId="4" applyFont="1" applyNumberFormat="0" applyFill="0" applyBorder="1" applyAlignment="1">
      <alignment horizontal="center" vertical="bottom" textRotation="0" wrapText="false" shrinkToFit="false"/>
    </xf>
    <xf xfId="0" fontId="2" numFmtId="0" fillId="2" borderId="5" applyFont="1" applyNumberFormat="0" applyFill="0" applyBorder="1" applyAlignment="1">
      <alignment horizontal="center" vertical="bottom" textRotation="0" wrapText="false" shrinkToFit="false"/>
    </xf>
    <xf xfId="0" fontId="2" numFmtId="0" fillId="2" borderId="6" applyFont="1" applyNumberFormat="0" applyFill="0" applyBorder="1" applyAlignment="1">
      <alignment horizontal="center" vertical="bottom" textRotation="0" wrapText="false" shrinkToFit="false"/>
    </xf>
    <xf xfId="0" fontId="2" numFmtId="0" fillId="2" borderId="6" applyFont="1" applyNumberFormat="0" applyFill="0" applyBorder="1" applyAlignment="1">
      <alignment horizontal="center" vertical="bottom" textRotation="0" wrapText="false" shrinkToFit="false"/>
    </xf>
    <xf xfId="0" fontId="2" numFmtId="0" fillId="2" borderId="6" applyFont="1" applyNumberFormat="0" applyFill="0" applyBorder="1" applyAlignment="1">
      <alignment horizontal="center" vertical="center" textRotation="0" wrapText="false" shrinkToFit="false"/>
    </xf>
    <xf xfId="0" fontId="2" numFmtId="0" fillId="2" borderId="7" applyFont="1" applyNumberFormat="0" applyFill="0" applyBorder="1" applyAlignment="1">
      <alignment horizontal="center" vertical="bottom" textRotation="0" wrapText="false" shrinkToFit="false"/>
    </xf>
    <xf xfId="0" fontId="2" numFmtId="0" fillId="2" borderId="8" applyFont="1" applyNumberFormat="0" applyFill="0" applyBorder="1" applyAlignment="0">
      <alignment horizontal="general" vertical="bottom" textRotation="0" wrapText="false" shrinkToFit="false"/>
    </xf>
    <xf xfId="0" fontId="2" numFmtId="0" fillId="2" borderId="9" applyFont="1" applyNumberFormat="0" applyFill="0" applyBorder="1" applyAlignment="0">
      <alignment horizontal="general" vertical="bottom" textRotation="0" wrapText="false" shrinkToFit="false"/>
    </xf>
    <xf xfId="0" fontId="2" numFmtId="0" fillId="2" borderId="9" applyFont="1" applyNumberFormat="0" applyFill="0" applyBorder="1" applyAlignment="1">
      <alignment horizontal="center" vertical="bottom" textRotation="0" wrapText="false" shrinkToFit="false"/>
    </xf>
    <xf xfId="0" fontId="2" numFmtId="0" fillId="2" borderId="9" applyFont="1" applyNumberFormat="0" applyFill="0" applyBorder="1" applyAlignment="1">
      <alignment horizontal="center" vertical="center" textRotation="0" wrapText="false" shrinkToFit="false"/>
    </xf>
    <xf xfId="0" fontId="2" numFmtId="0" fillId="2" borderId="10" applyFont="1" applyNumberFormat="0" applyFill="0" applyBorder="1" applyAlignment="1">
      <alignment horizontal="center" vertical="bottom" textRotation="0" wrapText="false" shrinkToFit="false"/>
    </xf>
    <xf xfId="0" fontId="3" numFmtId="0" fillId="2" borderId="5" applyFont="1" applyNumberFormat="0" applyFill="0" applyBorder="1" applyAlignment="1">
      <alignment horizontal="left" vertical="bottom" textRotation="0" wrapText="false" shrinkToFit="false"/>
    </xf>
    <xf xfId="0" fontId="4" numFmtId="0" fillId="2" borderId="6" applyFont="1" applyNumberFormat="0" applyFill="0" applyBorder="1" applyAlignment="1">
      <alignment horizontal="center" vertical="bottom" textRotation="0" wrapText="false" shrinkToFit="false"/>
    </xf>
    <xf xfId="0" fontId="4" numFmtId="0" fillId="2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11" applyFont="1" applyNumberFormat="0" applyFill="0" applyBorder="1" applyAlignment="0">
      <alignment horizontal="general" vertical="bottom" textRotation="0" wrapText="false" shrinkToFit="false"/>
    </xf>
    <xf xfId="0" fontId="4" numFmtId="0" fillId="2" borderId="12" applyFont="1" applyNumberFormat="0" applyFill="0" applyBorder="1" applyAlignment="0">
      <alignment horizontal="general" vertical="bottom" textRotation="0" wrapText="false" shrinkToFit="false"/>
    </xf>
    <xf xfId="0" fontId="4" numFmtId="0" fillId="2" borderId="5" applyFont="1" applyNumberFormat="0" applyFill="0" applyBorder="1" applyAlignment="0">
      <alignment horizontal="general" vertical="bottom" textRotation="0" wrapText="false" shrinkToFit="false"/>
    </xf>
    <xf xfId="0" fontId="4" numFmtId="4" fillId="2" borderId="13" applyFont="1" applyNumberFormat="1" applyFill="0" applyBorder="1" applyAlignment="0">
      <alignment horizontal="general" vertical="bottom" textRotation="0" wrapText="false" shrinkToFit="false"/>
    </xf>
    <xf xfId="0" fontId="4" numFmtId="0" fillId="2" borderId="14" applyFont="1" applyNumberFormat="0" applyFill="0" applyBorder="1" applyAlignment="0">
      <alignment horizontal="general" vertical="bottom" textRotation="0" wrapText="false" shrinkToFit="false"/>
    </xf>
    <xf xfId="0" fontId="4" numFmtId="4" fillId="2" borderId="15" applyFont="1" applyNumberFormat="1" applyFill="0" applyBorder="1" applyAlignment="0">
      <alignment horizontal="general" vertical="bottom" textRotation="0" wrapText="false" shrinkToFit="false"/>
    </xf>
    <xf xfId="0" fontId="3" numFmtId="0" fillId="2" borderId="5" applyFont="1" applyNumberFormat="0" applyFill="0" applyBorder="1" applyAlignment="0">
      <alignment horizontal="general" vertical="bottom" textRotation="0" wrapText="false" shrinkToFit="false"/>
    </xf>
    <xf xfId="0" fontId="4" numFmtId="4" fillId="2" borderId="11" applyFont="1" applyNumberFormat="1" applyFill="0" applyBorder="1" applyAlignment="0">
      <alignment horizontal="general" vertical="bottom" textRotation="0" wrapText="false" shrinkToFit="false"/>
    </xf>
    <xf xfId="0" fontId="4" numFmtId="4" fillId="2" borderId="12" applyFont="1" applyNumberFormat="1" applyFill="0" applyBorder="1" applyAlignment="0">
      <alignment horizontal="general" vertical="bottom" textRotation="0" wrapText="false" shrinkToFit="false"/>
    </xf>
    <xf xfId="0" fontId="4" numFmtId="4" fillId="2" borderId="16" applyFont="1" applyNumberFormat="1" applyFill="0" applyBorder="1" applyAlignment="0">
      <alignment horizontal="general" vertical="bottom" textRotation="0" wrapText="false" shrinkToFit="false"/>
    </xf>
    <xf xfId="0" fontId="4" numFmtId="4" fillId="2" borderId="17" applyFont="1" applyNumberFormat="1" applyFill="0" applyBorder="1" applyAlignment="0">
      <alignment horizontal="general" vertical="bottom" textRotation="0" wrapText="false" shrinkToFit="false"/>
    </xf>
    <xf xfId="0" fontId="5" numFmtId="0" fillId="2" borderId="5" applyFont="1" applyNumberFormat="0" applyFill="0" applyBorder="1" applyAlignment="0">
      <alignment horizontal="general" vertical="bottom" textRotation="0" wrapText="false" shrinkToFit="false"/>
    </xf>
    <xf xfId="0" fontId="4" numFmtId="4" fillId="2" borderId="18" applyFont="1" applyNumberFormat="1" applyFill="0" applyBorder="1" applyAlignment="0">
      <alignment horizontal="general" vertical="bottom" textRotation="0" wrapText="false" shrinkToFit="false"/>
    </xf>
    <xf xfId="0" fontId="4" numFmtId="4" fillId="2" borderId="19" applyFont="1" applyNumberFormat="1" applyFill="0" applyBorder="1" applyAlignment="0">
      <alignment horizontal="general" vertical="bottom" textRotation="0" wrapText="false" shrinkToFit="false"/>
    </xf>
    <xf xfId="0" fontId="4" numFmtId="4" fillId="2" borderId="20" applyFont="1" applyNumberFormat="1" applyFill="0" applyBorder="1" applyAlignment="0">
      <alignment horizontal="general" vertical="bottom" textRotation="0" wrapText="false" shrinkToFit="false"/>
    </xf>
    <xf xfId="0" fontId="3" numFmtId="0" fillId="2" borderId="8" applyFont="1" applyNumberFormat="0" applyFill="0" applyBorder="1" applyAlignment="0">
      <alignment horizontal="general" vertical="bottom" textRotation="0" wrapText="false" shrinkToFit="false"/>
    </xf>
    <xf xfId="0" fontId="4" numFmtId="0" fillId="2" borderId="9" applyFont="1" applyNumberFormat="0" applyFill="0" applyBorder="1" applyAlignment="0">
      <alignment horizontal="general" vertical="bottom" textRotation="0" wrapText="false" shrinkToFit="false"/>
    </xf>
    <xf xfId="0" fontId="3" numFmtId="0" fillId="2" borderId="21" applyFont="1" applyNumberFormat="0" applyFill="0" applyBorder="1" applyAlignment="0">
      <alignment horizontal="general" vertical="bottom" textRotation="0" wrapText="false" shrinkToFit="false"/>
    </xf>
    <xf xfId="0" fontId="3" numFmtId="4" fillId="2" borderId="18" applyFont="1" applyNumberFormat="1" applyFill="0" applyBorder="1" applyAlignment="0">
      <alignment horizontal="general" vertical="bottom" textRotation="0" wrapText="false" shrinkToFit="false"/>
    </xf>
    <xf xfId="0" fontId="3" numFmtId="0" fillId="2" borderId="22" applyFont="1" applyNumberFormat="0" applyFill="0" applyBorder="1" applyAlignment="0">
      <alignment horizontal="general" vertical="bottom" textRotation="0" wrapText="false" shrinkToFit="false"/>
    </xf>
    <xf xfId="0" fontId="3" numFmtId="4" fillId="2" borderId="23" applyFont="1" applyNumberFormat="1" applyFill="0" applyBorder="1" applyAlignment="0">
      <alignment horizontal="general" vertical="bottom" textRotation="0" wrapText="false" shrinkToFit="false"/>
    </xf>
    <xf xfId="0" fontId="6" numFmtId="0" fillId="2" borderId="0" applyFont="1" applyNumberFormat="0" applyFill="0" applyBorder="0" applyAlignment="1">
      <alignment horizontal="center" vertical="bottom" textRotation="0" wrapText="false" shrinkToFit="false"/>
    </xf>
    <xf xfId="0" fontId="4" numFmtId="0" fillId="2" borderId="6" applyFont="1" applyNumberFormat="0" applyFill="0" applyBorder="1" applyAlignment="0">
      <alignment horizontal="general" vertical="bottom" textRotation="0" wrapText="false" shrinkToFit="false"/>
    </xf>
    <xf xfId="0" fontId="4" numFmtId="4" fillId="2" borderId="23" applyFont="1" applyNumberFormat="1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24" applyFont="1" applyNumberFormat="0" applyFill="0" applyBorder="1" applyAlignment="0">
      <alignment horizontal="general" vertical="bottom" textRotation="0" wrapText="false" shrinkToFit="false"/>
    </xf>
    <xf xfId="0" fontId="0" numFmtId="0" fillId="2" borderId="25" applyFont="0" applyNumberFormat="0" applyFill="0" applyBorder="1" applyAlignment="0">
      <alignment horizontal="general" vertical="bottom" textRotation="0" wrapText="false" shrinkToFit="false"/>
    </xf>
    <xf xfId="0" fontId="3" numFmtId="0" fillId="2" borderId="26" applyFont="1" applyNumberFormat="0" applyFill="0" applyBorder="1" applyAlignment="0">
      <alignment horizontal="general" vertical="bottom" textRotation="0" wrapText="false" shrinkToFit="false"/>
    </xf>
    <xf xfId="0" fontId="3" numFmtId="4" fillId="2" borderId="25" applyFont="1" applyNumberFormat="1" applyFill="0" applyBorder="1" applyAlignment="0">
      <alignment horizontal="general" vertical="bottom" textRotation="0" wrapText="false" shrinkToFit="false"/>
    </xf>
    <xf xfId="0" fontId="3" numFmtId="0" fillId="2" borderId="27" applyFont="1" applyNumberFormat="0" applyFill="0" applyBorder="1" applyAlignment="0">
      <alignment horizontal="general" vertical="bottom" textRotation="0" wrapText="false" shrinkToFit="false"/>
    </xf>
    <xf xfId="0" fontId="6" numFmtId="0" fillId="2" borderId="0" applyFont="1" applyNumberFormat="0" applyFill="0" applyBorder="0" applyAlignment="1">
      <alignment horizontal="center" vertical="bottom" textRotation="0" wrapText="false" shrinkToFit="false"/>
    </xf>
    <xf xfId="0" fontId="5" numFmtId="0" fillId="2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0" applyBorder="0" applyAlignment="1">
      <alignment horizontal="center" vertical="bottom" textRotation="0" wrapText="false" shrinkToFit="false"/>
    </xf>
    <xf xfId="0" fontId="4" numFmtId="0" fillId="2" borderId="0" applyFont="1" applyNumberFormat="0" applyFill="0" applyBorder="0" applyAlignment="1">
      <alignment horizontal="center" vertical="bottom" textRotation="0" wrapText="false" shrinkToFit="false"/>
    </xf>
    <xf xfId="0" fontId="3" numFmtId="0" fillId="2" borderId="14" applyFont="1" applyNumberFormat="0" applyFill="0" applyBorder="1" applyAlignment="0">
      <alignment horizontal="general" vertical="bottom" textRotation="0" wrapText="false" shrinkToFit="false"/>
    </xf>
    <xf xfId="0" fontId="3" numFmtId="4" fillId="2" borderId="11" applyFont="1" applyNumberFormat="1" applyFill="0" applyBorder="1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3" numFmtId="4" fillId="2" borderId="12" applyFont="1" applyNumberFormat="1" applyFill="0" applyBorder="1" applyAlignment="0">
      <alignment horizontal="general" vertical="bottom" textRotation="0" wrapText="false" shrinkToFit="false"/>
    </xf>
    <xf xfId="0" fontId="4" numFmtId="4" fillId="2" borderId="28" applyFont="1" applyNumberFormat="1" applyFill="0" applyBorder="1" applyAlignment="0">
      <alignment horizontal="general" vertical="bottom" textRotation="0" wrapText="false" shrinkToFit="false"/>
    </xf>
    <xf xfId="0" fontId="3" numFmtId="4" fillId="2" borderId="29" applyFont="1" applyNumberFormat="1" applyFill="0" applyBorder="1" applyAlignment="0">
      <alignment horizontal="general" vertical="bottom" textRotation="0" wrapText="false" shrinkToFit="false"/>
    </xf>
    <xf xfId="0" fontId="3" numFmtId="4" fillId="2" borderId="30" applyFont="1" applyNumberFormat="1" applyFill="0" applyBorder="1" applyAlignment="0">
      <alignment horizontal="general" vertical="bottom" textRotation="0" wrapText="false" shrinkToFit="false"/>
    </xf>
    <xf xfId="0" fontId="3" numFmtId="4" fillId="2" borderId="31" applyFont="1" applyNumberFormat="1" applyFill="0" applyBorder="1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3" numFmtId="4" fillId="2" borderId="0" applyFont="1" applyNumberFormat="1" applyFill="0" applyBorder="0" applyAlignment="0">
      <alignment horizontal="general" vertical="bottom" textRotation="0" wrapText="false" shrinkToFit="false"/>
    </xf>
    <xf xfId="0" fontId="4" numFmtId="4" fillId="2" borderId="16" applyFont="1" applyNumberFormat="1" applyFill="0" applyBorder="1" applyAlignment="1">
      <alignment horizontal="right" vertical="bottom" textRotation="0" wrapText="false" shrinkToFit="false"/>
    </xf>
    <xf xfId="0" fontId="4" numFmtId="4" fillId="2" borderId="17" applyFont="1" applyNumberFormat="1" applyFill="0" applyBorder="1" applyAlignment="1">
      <alignment horizontal="right" vertical="bottom" textRotation="0" wrapText="false" shrinkToFit="false"/>
    </xf>
    <xf xfId="0" fontId="4" numFmtId="4" fillId="2" borderId="32" applyFont="1" applyNumberFormat="1" applyFill="0" applyBorder="1" applyAlignment="0">
      <alignment horizontal="general" vertical="bottom" textRotation="0" wrapText="false" shrinkToFit="false"/>
    </xf>
    <xf xfId="0" fontId="4" numFmtId="0" fillId="2" borderId="25" applyFont="1" applyNumberFormat="0" applyFill="0" applyBorder="1" applyAlignment="0">
      <alignment horizontal="general" vertical="bottom" textRotation="0" wrapText="false" shrinkToFit="false"/>
    </xf>
    <xf xfId="0" fontId="4" numFmtId="0" fillId="2" borderId="0" applyFont="1" applyNumberFormat="0" applyFill="0" applyBorder="0" applyAlignment="0">
      <alignment horizontal="general" vertical="bottom" textRotation="0" wrapText="false" shrinkToFit="false"/>
    </xf>
    <xf xfId="0" fontId="3" numFmtId="0" fillId="2" borderId="33" applyFont="1" applyNumberFormat="0" applyFill="0" applyBorder="1" applyAlignment="0">
      <alignment horizontal="general" vertical="bottom" textRotation="0" wrapText="false" shrinkToFit="false"/>
    </xf>
    <xf xfId="0" fontId="4" numFmtId="0" fillId="2" borderId="34" applyFont="1" applyNumberFormat="0" applyFill="0" applyBorder="1" applyAlignment="0">
      <alignment horizontal="general" vertical="bottom" textRotation="0" wrapText="false" shrinkToFit="false"/>
    </xf>
    <xf xfId="0" fontId="4" numFmtId="0" fillId="2" borderId="35" applyFont="1" applyNumberFormat="0" applyFill="0" applyBorder="1" applyAlignment="0">
      <alignment horizontal="general" vertical="bottom" textRotation="0" wrapText="false" shrinkToFit="false"/>
    </xf>
    <xf xfId="0" fontId="4" numFmtId="0" fillId="2" borderId="32" applyFont="1" applyNumberFormat="0" applyFill="0" applyBorder="1" applyAlignment="0">
      <alignment horizontal="general" vertical="bottom" textRotation="0" wrapText="false" shrinkToFit="false"/>
    </xf>
    <xf xfId="0" fontId="4" numFmtId="0" fillId="2" borderId="36" applyFont="1" applyNumberFormat="0" applyFill="0" applyBorder="1" applyAlignment="0">
      <alignment horizontal="general" vertical="bottom" textRotation="0" wrapText="false" shrinkToFit="false"/>
    </xf>
    <xf xfId="0" fontId="4" numFmtId="4" fillId="2" borderId="36" applyFont="1" applyNumberFormat="1" applyFill="0" applyBorder="1" applyAlignment="0">
      <alignment horizontal="general" vertical="bottom" textRotation="0" wrapText="false" shrinkToFit="false"/>
    </xf>
    <xf xfId="0" fontId="2" numFmtId="0" fillId="2" borderId="14" applyFont="1" applyNumberFormat="0" applyFill="0" applyBorder="1" applyAlignment="1">
      <alignment horizontal="center" vertical="bottom" textRotation="0" wrapText="false" shrinkToFit="false"/>
    </xf>
    <xf xfId="0" fontId="2" numFmtId="0" fillId="2" borderId="12" applyFont="1" applyNumberFormat="0" applyFill="0" applyBorder="1" applyAlignment="1">
      <alignment horizontal="center" vertical="bottom" textRotation="0" wrapText="false" shrinkToFit="false"/>
    </xf>
    <xf xfId="0" fontId="2" numFmtId="0" fillId="2" borderId="37" applyFont="1" applyNumberFormat="0" applyFill="0" applyBorder="1" applyAlignment="1">
      <alignment horizontal="center" vertical="center" textRotation="0" wrapText="false" shrinkToFit="false"/>
    </xf>
    <xf xfId="0" fontId="2" numFmtId="0" fillId="2" borderId="32" applyFont="1" applyNumberFormat="0" applyFill="0" applyBorder="1" applyAlignment="1">
      <alignment horizontal="center" vertical="center" textRotation="0" wrapText="false" shrinkToFit="false"/>
    </xf>
    <xf xfId="0" fontId="2" numFmtId="0" fillId="2" borderId="21" applyFont="1" applyNumberFormat="0" applyFill="0" applyBorder="1" applyAlignment="1">
      <alignment horizontal="center" vertical="center" textRotation="0" wrapText="false" shrinkToFit="false"/>
    </xf>
    <xf xfId="0" fontId="2" numFmtId="0" fillId="2" borderId="18" applyFont="1" applyNumberFormat="0" applyFill="0" applyBorder="1" applyAlignment="1">
      <alignment horizontal="center" vertical="center" textRotation="0" wrapText="false" shrinkToFit="false"/>
    </xf>
    <xf xfId="0" fontId="2" numFmtId="0" fillId="2" borderId="37" applyFont="1" applyNumberFormat="0" applyFill="0" applyBorder="1" applyAlignment="1">
      <alignment horizontal="center" vertical="bottom" textRotation="0" wrapText="false" shrinkToFit="false"/>
    </xf>
    <xf xfId="0" fontId="2" numFmtId="0" fillId="2" borderId="32" applyFont="1" applyNumberFormat="0" applyFill="0" applyBorder="1" applyAlignment="1">
      <alignment horizontal="center" vertical="bottom" textRotation="0" wrapText="false" shrinkToFit="false"/>
    </xf>
    <xf xfId="0" fontId="2" numFmtId="0" fillId="2" borderId="11" applyFont="1" applyNumberFormat="0" applyFill="0" applyBorder="1" applyAlignment="1">
      <alignment horizontal="center" vertical="bottom" textRotation="0" wrapText="false" shrinkToFit="false"/>
    </xf>
    <xf xfId="0" fontId="2" numFmtId="0" fillId="2" borderId="38" applyFont="1" applyNumberFormat="0" applyFill="0" applyBorder="1" applyAlignment="1">
      <alignment horizontal="center" vertical="bottom" textRotation="0" wrapText="false" shrinkToFit="false"/>
    </xf>
    <xf xfId="0" fontId="2" numFmtId="0" fillId="2" borderId="39" applyFont="1" applyNumberFormat="0" applyFill="0" applyBorder="1" applyAlignment="1">
      <alignment horizontal="center" vertical="bottom" textRotation="0" wrapText="false" shrinkToFit="false"/>
    </xf>
    <xf xfId="0" fontId="2" numFmtId="0" fillId="2" borderId="40" applyFont="1" applyNumberFormat="0" applyFill="0" applyBorder="1" applyAlignment="1">
      <alignment horizontal="center" vertical="bottom" textRotation="0" wrapText="false" shrinkToFit="false"/>
    </xf>
    <xf xfId="0" fontId="2" numFmtId="0" fillId="2" borderId="41" applyFont="1" applyNumberFormat="0" applyFill="0" applyBorder="1" applyAlignment="1">
      <alignment horizontal="center" vertical="bottom" textRotation="0" wrapText="false" shrinkToFit="false"/>
    </xf>
    <xf xfId="0" fontId="2" numFmtId="0" fillId="2" borderId="42" applyFont="1" applyNumberFormat="0" applyFill="0" applyBorder="1" applyAlignment="1">
      <alignment horizontal="center" vertical="bottom" textRotation="0" wrapText="false" shrinkToFit="false"/>
    </xf>
    <xf xfId="0" fontId="2" numFmtId="0" fillId="2" borderId="28" applyFont="1" applyNumberFormat="0" applyFill="0" applyBorder="1" applyAlignment="1">
      <alignment horizontal="center" vertical="bottom" textRotation="0" wrapText="false" shrinkToFit="false"/>
    </xf>
    <xf xfId="0" fontId="2" numFmtId="0" fillId="2" borderId="21" applyFont="1" applyNumberFormat="0" applyFill="0" applyBorder="1" applyAlignment="1">
      <alignment horizontal="center" vertical="bottom" textRotation="0" wrapText="false" shrinkToFit="false"/>
    </xf>
    <xf xfId="0" fontId="2" numFmtId="0" fillId="2" borderId="23" applyFont="1" applyNumberFormat="0" applyFill="0" applyBorder="1" applyAlignment="1">
      <alignment horizontal="center" vertical="bottom" textRotation="0" wrapText="false" shrinkToFit="false"/>
    </xf>
    <xf xfId="0" fontId="2" numFmtId="0" fillId="2" borderId="18" applyFont="1" applyNumberFormat="0" applyFill="0" applyBorder="1" applyAlignment="1">
      <alignment horizontal="center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4" numFmtId="0" fillId="2" borderId="12" applyFont="1" applyNumberFormat="0" applyFill="0" applyBorder="1" applyAlignment="0">
      <alignment horizontal="general" vertical="bottom" textRotation="0" wrapText="false" shrinkToFit="false"/>
    </xf>
    <xf xfId="0" fontId="4" numFmtId="4" fillId="2" borderId="15" applyFont="1" applyNumberFormat="1" applyFill="0" applyBorder="1" applyAlignment="0">
      <alignment horizontal="general" vertical="bottom" textRotation="0" wrapText="false" shrinkToFit="false"/>
    </xf>
    <xf xfId="0" fontId="4" numFmtId="4" fillId="2" borderId="12" applyFont="1" applyNumberFormat="1" applyFill="0" applyBorder="1" applyAlignment="0">
      <alignment horizontal="general" vertical="bottom" textRotation="0" wrapText="false" shrinkToFit="false"/>
    </xf>
    <xf xfId="0" fontId="4" numFmtId="4" fillId="2" borderId="17" applyFont="1" applyNumberFormat="1" applyFill="0" applyBorder="1" applyAlignment="0">
      <alignment horizontal="general" vertical="bottom" textRotation="0" wrapText="false" shrinkToFit="false"/>
    </xf>
    <xf xfId="0" fontId="4" numFmtId="4" fillId="2" borderId="23" applyFont="1" applyNumberFormat="1" applyFill="0" applyBorder="1" applyAlignment="0">
      <alignment horizontal="general" vertical="bottom" textRotation="0" wrapText="false" shrinkToFit="false"/>
    </xf>
    <xf xfId="0" fontId="3" numFmtId="4" fillId="2" borderId="30" applyFont="1" applyNumberFormat="1" applyFill="0" applyBorder="1" applyAlignment="0">
      <alignment horizontal="general" vertical="bottom" textRotation="0" wrapText="false" shrinkToFit="false"/>
    </xf>
    <xf xfId="0" fontId="3" numFmtId="4" fillId="2" borderId="31" applyFont="1" applyNumberFormat="1" applyFill="0" applyBorder="1" applyAlignment="0">
      <alignment horizontal="general" vertical="bottom" textRotation="0" wrapText="false" shrinkToFit="false"/>
    </xf>
    <xf xfId="0" fontId="3" numFmtId="4" fillId="2" borderId="0" applyFont="1" applyNumberFormat="1" applyFill="0" applyBorder="0" applyAlignment="0">
      <alignment horizontal="general" vertical="bottom" textRotation="0" wrapText="false" shrinkToFit="false"/>
    </xf>
    <xf xfId="0" fontId="3" numFmtId="4" fillId="2" borderId="12" applyFont="1" applyNumberFormat="1" applyFill="0" applyBorder="1" applyAlignment="0">
      <alignment horizontal="general" vertical="bottom" textRotation="0" wrapText="false" shrinkToFit="false"/>
    </xf>
    <xf xfId="0" fontId="3" numFmtId="4" fillId="2" borderId="11" applyFont="1" applyNumberFormat="1" applyFill="0" applyBorder="1" applyAlignment="0">
      <alignment horizontal="general" vertical="bottom" textRotation="0" wrapText="false" shrinkToFit="false"/>
    </xf>
    <xf xfId="0" fontId="4" numFmtId="4" fillId="2" borderId="36" applyFont="1" applyNumberFormat="1" applyFill="0" applyBorder="1" applyAlignment="0">
      <alignment horizontal="general" vertical="bottom" textRotation="0" wrapText="false" shrinkToFit="false"/>
    </xf>
    <xf xfId="0" fontId="4" numFmtId="0" fillId="2" borderId="36" applyFont="1" applyNumberFormat="0" applyFill="0" applyBorder="1" applyAlignment="0">
      <alignment horizontal="general" vertical="bottom" textRotation="0" wrapText="false" shrinkToFit="false"/>
    </xf>
    <xf xfId="0" fontId="4" numFmtId="4" fillId="2" borderId="13" applyFont="1" applyNumberFormat="1" applyFill="0" applyBorder="1" applyAlignment="1">
      <alignment horizontal="right" vertical="bottom" textRotation="0" wrapText="false" shrinkToFit="false"/>
    </xf>
    <xf xfId="0" fontId="4" numFmtId="4" fillId="2" borderId="11" applyFont="1" applyNumberFormat="1" applyFill="0" applyBorder="1" applyAlignment="1">
      <alignment horizontal="right" vertical="bottom" textRotation="0" wrapText="false" shrinkToFit="false"/>
    </xf>
    <xf xfId="0" fontId="4" numFmtId="4" fillId="2" borderId="18" applyFont="1" applyNumberFormat="1" applyFill="0" applyBorder="1" applyAlignment="1">
      <alignment horizontal="right" vertical="bottom" textRotation="0" wrapText="false" shrinkToFit="false"/>
    </xf>
    <xf xfId="0" fontId="3" numFmtId="4" fillId="2" borderId="18" applyFont="1" applyNumberFormat="1" applyFill="0" applyBorder="1" applyAlignment="1">
      <alignment horizontal="right" vertical="bottom" textRotation="0" wrapText="false" shrinkToFit="false"/>
    </xf>
    <xf xfId="0" fontId="0" numFmtId="4" fillId="2" borderId="0" applyFont="0" applyNumberFormat="1" applyFill="0" applyBorder="0" applyAlignment="0">
      <alignment horizontal="general" vertical="bottom" textRotation="0" wrapText="false" shrinkToFit="false"/>
    </xf>
    <xf xfId="0" fontId="4" numFmtId="0" fillId="2" borderId="43" applyFont="1" applyNumberFormat="0" applyFill="0" applyBorder="1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4" numFmtId="4" fillId="2" borderId="16" applyFont="1" applyNumberFormat="1" applyFill="0" applyBorder="1" applyAlignment="0">
      <alignment horizontal="general" vertical="bottom" textRotation="0" wrapText="false" shrinkToFit="false"/>
    </xf>
    <xf xfId="0" fontId="4" numFmtId="0" fillId="2" borderId="12" applyFont="1" applyNumberFormat="0" applyFill="0" applyBorder="1" applyAlignment="0">
      <alignment horizontal="general" vertical="bottom" textRotation="0" wrapText="false" shrinkToFit="false"/>
    </xf>
    <xf xfId="0" fontId="4" numFmtId="4" fillId="2" borderId="15" applyFont="1" applyNumberFormat="1" applyFill="0" applyBorder="1" applyAlignment="1">
      <alignment horizontal="right" vertical="bottom" textRotation="0" wrapText="false" shrinkToFit="false"/>
    </xf>
    <xf xfId="0" fontId="4" numFmtId="4" fillId="2" borderId="12" applyFont="1" applyNumberFormat="1" applyFill="0" applyBorder="1" applyAlignment="1">
      <alignment horizontal="right" vertical="bottom" textRotation="0" wrapText="false" shrinkToFit="false"/>
    </xf>
    <xf xfId="0" fontId="4" numFmtId="4" fillId="2" borderId="17" applyFont="1" applyNumberFormat="1" applyFill="0" applyBorder="1" applyAlignment="1">
      <alignment horizontal="right" vertical="bottom" textRotation="0" wrapText="false" shrinkToFit="false"/>
    </xf>
    <xf xfId="0" fontId="4" numFmtId="4" fillId="2" borderId="23" applyFont="1" applyNumberFormat="1" applyFill="0" applyBorder="1" applyAlignment="1">
      <alignment horizontal="right" vertical="bottom" textRotation="0" wrapText="false" shrinkToFit="false"/>
    </xf>
    <xf xfId="0" fontId="3" numFmtId="4" fillId="2" borderId="18" applyFont="1" applyNumberFormat="1" applyFill="0" applyBorder="1" applyAlignment="1">
      <alignment horizontal="right" vertical="bottom" textRotation="0" wrapText="false" shrinkToFit="false"/>
    </xf>
    <xf xfId="0" fontId="4" numFmtId="4" fillId="2" borderId="11" applyFont="1" applyNumberFormat="1" applyFill="0" applyBorder="1" applyAlignment="0">
      <alignment horizontal="general" vertical="bottom" textRotation="0" wrapText="false" shrinkToFit="false"/>
    </xf>
    <xf xfId="0" fontId="4" numFmtId="4" fillId="2" borderId="16" applyFont="1" applyNumberFormat="1" applyFill="0" applyBorder="1" applyAlignment="0">
      <alignment horizontal="general" vertical="bottom" textRotation="0" wrapText="false" shrinkToFit="false"/>
    </xf>
    <xf xfId="0" fontId="4" numFmtId="4" fillId="2" borderId="18" applyFont="1" applyNumberFormat="1" applyFill="0" applyBorder="1" applyAlignment="0">
      <alignment horizontal="general" vertical="bottom" textRotation="0" wrapText="false" shrinkToFit="false"/>
    </xf>
    <xf xfId="0" fontId="3" numFmtId="4" fillId="2" borderId="18" applyFont="1" applyNumberFormat="1" applyFill="0" applyBorder="1" applyAlignment="0">
      <alignment horizontal="general" vertical="bottom" textRotation="0" wrapText="false" shrinkToFit="false"/>
    </xf>
    <xf xfId="0" fontId="4" numFmtId="4" fillId="2" borderId="39" applyFont="1" applyNumberFormat="1" applyFill="0" applyBorder="1" applyAlignment="0">
      <alignment horizontal="general" vertical="bottom" textRotation="0" wrapText="false" shrinkToFit="false"/>
    </xf>
    <xf xfId="0" fontId="4" numFmtId="4" fillId="2" borderId="15" applyFont="1" applyNumberFormat="1" applyFill="0" applyBorder="1" applyAlignment="0">
      <alignment horizontal="general" vertical="bottom" textRotation="0" wrapText="false" shrinkToFit="false"/>
    </xf>
    <xf xfId="0" fontId="4" numFmtId="4" fillId="2" borderId="12" applyFont="1" applyNumberFormat="1" applyFill="0" applyBorder="1" applyAlignment="0">
      <alignment horizontal="general" vertical="bottom" textRotation="0" wrapText="false" shrinkToFit="false"/>
    </xf>
    <xf xfId="0" fontId="3" numFmtId="4" fillId="2" borderId="30" applyFont="1" applyNumberFormat="1" applyFill="0" applyBorder="1" applyAlignment="0">
      <alignment horizontal="general" vertical="bottom" textRotation="0" wrapText="false" shrinkToFit="false"/>
    </xf>
    <xf xfId="0" fontId="3" numFmtId="4" fillId="2" borderId="31" applyFont="1" applyNumberFormat="1" applyFill="0" applyBorder="1" applyAlignment="0">
      <alignment horizontal="general" vertical="bottom" textRotation="0" wrapText="false" shrinkToFit="false"/>
    </xf>
    <xf xfId="0" fontId="3" numFmtId="4" fillId="2" borderId="0" applyFont="1" applyNumberFormat="1" applyFill="0" applyBorder="0" applyAlignment="0">
      <alignment horizontal="general" vertical="bottom" textRotation="0" wrapText="false" shrinkToFit="false"/>
    </xf>
    <xf xfId="0" fontId="4" numFmtId="4" fillId="2" borderId="11" applyFont="1" applyNumberFormat="1" applyFill="0" applyBorder="1" applyAlignment="0">
      <alignment horizontal="general" vertical="bottom" textRotation="0" wrapText="false" shrinkToFit="false"/>
    </xf>
    <xf xfId="0" fontId="4" numFmtId="4" fillId="2" borderId="16" applyFont="1" applyNumberFormat="1" applyFill="0" applyBorder="1" applyAlignment="0">
      <alignment horizontal="general" vertical="bottom" textRotation="0" wrapText="false" shrinkToFit="false"/>
    </xf>
    <xf xfId="0" fontId="4" numFmtId="4" fillId="2" borderId="18" applyFont="1" applyNumberFormat="1" applyFill="0" applyBorder="1" applyAlignment="0">
      <alignment horizontal="general" vertical="bottom" textRotation="0" wrapText="false" shrinkToFit="false"/>
    </xf>
    <xf xfId="0" fontId="0" numFmtId="0" fillId="2" borderId="35" applyFont="0" applyNumberFormat="0" applyFill="0" applyBorder="1" applyAlignment="0">
      <alignment horizontal="general" vertical="bottom" textRotation="0" wrapText="false" shrinkToFit="false"/>
    </xf>
    <xf xfId="0" fontId="0" numFmtId="0" fillId="2" borderId="11" applyFont="0" applyNumberFormat="0" applyFill="0" applyBorder="1" applyAlignment="0">
      <alignment horizontal="general" vertical="bottom" textRotation="0" wrapText="false" shrinkToFit="false"/>
    </xf>
    <xf xfId="0" fontId="0" numFmtId="0" fillId="2" borderId="12" applyFont="0" applyNumberFormat="0" applyFill="0" applyBorder="1" applyAlignment="0">
      <alignment horizontal="general" vertical="bottom" textRotation="0" wrapText="false" shrinkToFit="false"/>
    </xf>
    <xf xfId="0" fontId="4" numFmtId="4" fillId="2" borderId="17" applyFont="1" applyNumberFormat="1" applyFill="0" applyBorder="1" applyAlignment="0">
      <alignment horizontal="general" vertical="bottom" textRotation="0" wrapText="false" shrinkToFit="false"/>
    </xf>
    <xf xfId="0" fontId="4" numFmtId="0" fillId="2" borderId="14" applyFont="1" applyNumberFormat="0" applyFill="0" applyBorder="1" applyAlignment="0">
      <alignment horizontal="general" vertical="bottom" textRotation="0" wrapText="false" shrinkToFit="false"/>
    </xf>
    <xf xfId="0" fontId="4" numFmtId="4" fillId="2" borderId="13" applyFont="1" applyNumberFormat="1" applyFill="0" applyBorder="1" applyAlignment="0">
      <alignment horizontal="general" vertical="bottom" textRotation="0" wrapText="false" shrinkToFit="false"/>
    </xf>
    <xf xfId="0" fontId="4" numFmtId="0" fillId="2" borderId="0" applyFont="1" applyNumberFormat="0" applyFill="0" applyBorder="0" applyAlignment="0">
      <alignment horizontal="general" vertical="bottom" textRotation="0" wrapText="false" shrinkToFit="false"/>
    </xf>
    <xf xfId="0" fontId="4" numFmtId="4" fillId="2" borderId="15" applyFont="1" applyNumberFormat="1" applyFill="0" applyBorder="1" applyAlignment="0">
      <alignment horizontal="general" vertical="bottom" textRotation="0" wrapText="false" shrinkToFit="false"/>
    </xf>
    <xf xfId="0" fontId="4" numFmtId="4" fillId="2" borderId="0" applyFont="1" applyNumberFormat="1" applyFill="0" applyBorder="0" applyAlignment="0">
      <alignment horizontal="general" vertical="bottom" textRotation="0" wrapText="false" shrinkToFit="false"/>
    </xf>
    <xf xfId="0" fontId="4" numFmtId="4" fillId="2" borderId="32" applyFont="1" applyNumberFormat="1" applyFill="0" applyBorder="1" applyAlignment="0">
      <alignment horizontal="general" vertical="bottom" textRotation="0" wrapText="false" shrinkToFit="false"/>
    </xf>
    <xf xfId="0" fontId="4" numFmtId="4" fillId="2" borderId="36" applyFont="1" applyNumberFormat="1" applyFill="0" applyBorder="1" applyAlignment="0">
      <alignment horizontal="general" vertical="bottom" textRotation="0" wrapText="false" shrinkToFit="false"/>
    </xf>
    <xf xfId="0" fontId="0" numFmtId="0" fillId="2" borderId="9" applyFont="0" applyNumberFormat="0" applyFill="0" applyBorder="1" applyAlignment="0">
      <alignment horizontal="general" vertical="bottom" textRotation="0" wrapText="false" shrinkToFit="false"/>
    </xf>
    <xf xfId="0" fontId="3" numFmtId="0" fillId="2" borderId="21" applyFont="1" applyNumberFormat="0" applyFill="0" applyBorder="1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2" borderId="44" applyFont="0" applyNumberFormat="0" applyFill="0" applyBorder="1" applyAlignment="0">
      <alignment horizontal="general" vertical="bottom" textRotation="0" wrapText="false" shrinkToFit="false"/>
    </xf>
    <xf xfId="0" fontId="7" numFmtId="0" fillId="2" borderId="5" applyFont="1" applyNumberFormat="0" applyFill="0" applyBorder="1" applyAlignment="1">
      <alignment horizontal="left" vertical="bottom" textRotation="0" wrapText="false" shrinkToFit="false"/>
    </xf>
    <xf xfId="0" fontId="0" numFmtId="0" fillId="2" borderId="6" applyFont="0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0" numFmtId="0" fillId="2" borderId="45" applyFont="0" applyNumberFormat="0" applyFill="0" applyBorder="1" applyAlignment="1">
      <alignment horizontal="center" vertical="bottom" textRotation="0" wrapText="false" shrinkToFit="false"/>
    </xf>
    <xf xfId="0" fontId="8" numFmtId="0" fillId="2" borderId="0" applyFont="1" applyNumberFormat="0" applyFill="0" applyBorder="0" applyAlignment="1">
      <alignment horizontal="center" vertical="bottom" textRotation="0" wrapText="false" shrinkToFit="false"/>
    </xf>
    <xf xfId="0" fontId="8" numFmtId="0" fillId="2" borderId="45" applyFont="1" applyNumberFormat="0" applyFill="0" applyBorder="1" applyAlignment="1">
      <alignment horizontal="center" vertical="bottom" textRotation="0" wrapText="false" shrinkToFit="false"/>
    </xf>
    <xf xfId="0" fontId="8" numFmtId="4" fillId="2" borderId="45" applyFont="1" applyNumberFormat="1" applyFill="0" applyBorder="1" applyAlignment="1">
      <alignment horizontal="center" vertical="bottom" textRotation="0" wrapText="false" shrinkToFit="false"/>
    </xf>
    <xf xfId="0" fontId="0" numFmtId="4" fillId="2" borderId="45" applyFont="0" applyNumberFormat="1" applyFill="0" applyBorder="1" applyAlignment="0">
      <alignment horizontal="general" vertical="bottom" textRotation="0" wrapText="false" shrinkToFit="false"/>
    </xf>
    <xf xfId="0" fontId="0" numFmtId="4" fillId="2" borderId="46" applyFont="0" applyNumberFormat="1" applyFill="0" applyBorder="1" applyAlignment="0">
      <alignment horizontal="general" vertical="bottom" textRotation="0" wrapText="false" shrinkToFit="false"/>
    </xf>
    <xf xfId="0" fontId="8" numFmtId="0" fillId="2" borderId="6" applyFont="1" applyNumberFormat="0" applyFill="0" applyBorder="1" applyAlignment="1">
      <alignment horizontal="center" vertical="bottom" textRotation="0" wrapText="false" shrinkToFit="false"/>
    </xf>
    <xf xfId="0" fontId="8" numFmtId="0" fillId="2" borderId="11" applyFont="1" applyNumberFormat="0" applyFill="0" applyBorder="1" applyAlignment="1">
      <alignment horizontal="center" vertical="bottom" textRotation="0" wrapText="false" shrinkToFit="false"/>
    </xf>
    <xf xfId="0" fontId="8" numFmtId="4" fillId="2" borderId="11" applyFont="1" applyNumberFormat="1" applyFill="0" applyBorder="1" applyAlignment="1">
      <alignment horizontal="center" vertical="bottom" textRotation="0" wrapText="false" shrinkToFit="false"/>
    </xf>
    <xf xfId="0" fontId="8" numFmtId="0" fillId="2" borderId="0" applyFont="1" applyNumberFormat="0" applyFill="0" applyBorder="0" applyAlignment="0">
      <alignment horizontal="general" vertical="bottom" textRotation="0" wrapText="false" shrinkToFit="false"/>
    </xf>
    <xf xfId="0" fontId="8" numFmtId="4" fillId="2" borderId="11" applyFont="1" applyNumberFormat="1" applyFill="0" applyBorder="1" applyAlignment="0">
      <alignment horizontal="general" vertical="bottom" textRotation="0" wrapText="false" shrinkToFit="false"/>
    </xf>
    <xf xfId="0" fontId="8" numFmtId="4" fillId="2" borderId="12" applyFont="1" applyNumberFormat="1" applyFill="0" applyBorder="1" applyAlignment="0">
      <alignment horizontal="general" vertical="bottom" textRotation="0" wrapText="false" shrinkToFit="false"/>
    </xf>
    <xf xfId="0" fontId="8" numFmtId="0" fillId="2" borderId="5" applyFont="1" applyNumberFormat="0" applyFill="0" applyBorder="1" applyAlignment="0">
      <alignment horizontal="general" vertical="bottom" textRotation="0" wrapText="false" shrinkToFit="false"/>
    </xf>
    <xf xfId="0" fontId="8" numFmtId="0" fillId="2" borderId="6" applyFont="1" applyNumberFormat="0" applyFill="0" applyBorder="1" applyAlignment="0">
      <alignment horizontal="general" vertical="bottom" textRotation="0" wrapText="false" shrinkToFit="false"/>
    </xf>
    <xf xfId="0" fontId="8" numFmtId="4" fillId="2" borderId="13" applyFont="1" applyNumberFormat="1" applyFill="0" applyBorder="1" applyAlignment="0">
      <alignment horizontal="general" vertical="bottom" textRotation="0" wrapText="false" shrinkToFit="false"/>
    </xf>
    <xf xfId="0" fontId="8" numFmtId="4" fillId="2" borderId="15" applyFont="1" applyNumberFormat="1" applyFill="0" applyBorder="1" applyAlignment="0">
      <alignment horizontal="general" vertical="bottom" textRotation="0" wrapText="false" shrinkToFit="false"/>
    </xf>
    <xf xfId="0" fontId="8" numFmtId="4" fillId="2" borderId="16" applyFont="1" applyNumberFormat="1" applyFill="0" applyBorder="1" applyAlignment="0">
      <alignment horizontal="general" vertical="bottom" textRotation="0" wrapText="false" shrinkToFit="false"/>
    </xf>
    <xf xfId="0" fontId="8" numFmtId="4" fillId="2" borderId="17" applyFont="1" applyNumberFormat="1" applyFill="0" applyBorder="1" applyAlignment="0">
      <alignment horizontal="general" vertical="bottom" textRotation="0" wrapText="false" shrinkToFit="false"/>
    </xf>
    <xf xfId="0" fontId="8" numFmtId="4" fillId="2" borderId="19" applyFont="1" applyNumberFormat="1" applyFill="0" applyBorder="1" applyAlignment="0">
      <alignment horizontal="general" vertical="bottom" textRotation="0" wrapText="false" shrinkToFit="false"/>
    </xf>
    <xf xfId="0" fontId="8" numFmtId="4" fillId="2" borderId="20" applyFont="1" applyNumberFormat="1" applyFill="0" applyBorder="1" applyAlignment="0">
      <alignment horizontal="general" vertical="bottom" textRotation="0" wrapText="false" shrinkToFit="false"/>
    </xf>
    <xf xfId="0" fontId="7" numFmtId="0" fillId="2" borderId="8" applyFont="1" applyNumberFormat="0" applyFill="0" applyBorder="1" applyAlignment="0">
      <alignment horizontal="general" vertical="bottom" textRotation="0" wrapText="false" shrinkToFit="false"/>
    </xf>
    <xf xfId="0" fontId="8" numFmtId="0" fillId="2" borderId="9" applyFont="1" applyNumberFormat="0" applyFill="0" applyBorder="1" applyAlignment="0">
      <alignment horizontal="general" vertical="bottom" textRotation="0" wrapText="false" shrinkToFit="false"/>
    </xf>
    <xf xfId="0" fontId="7" numFmtId="0" fillId="2" borderId="21" applyFont="1" applyNumberFormat="0" applyFill="0" applyBorder="1" applyAlignment="0">
      <alignment horizontal="general" vertical="bottom" textRotation="0" wrapText="false" shrinkToFit="false"/>
    </xf>
    <xf xfId="0" fontId="7" numFmtId="4" fillId="2" borderId="18" applyFont="1" applyNumberFormat="1" applyFill="0" applyBorder="1" applyAlignment="0">
      <alignment horizontal="general" vertical="bottom" textRotation="0" wrapText="false" shrinkToFit="false"/>
    </xf>
    <xf xfId="0" fontId="7" numFmtId="0" fillId="2" borderId="22" applyFont="1" applyNumberFormat="0" applyFill="0" applyBorder="1" applyAlignment="0">
      <alignment horizontal="general" vertical="bottom" textRotation="0" wrapText="false" shrinkToFit="false"/>
    </xf>
    <xf xfId="0" fontId="7" numFmtId="4" fillId="2" borderId="23" applyFont="1" applyNumberFormat="1" applyFill="0" applyBorder="1" applyAlignment="0">
      <alignment horizontal="general" vertical="bottom" textRotation="0" wrapText="false" shrinkToFit="false"/>
    </xf>
    <xf xfId="0" fontId="9" numFmtId="0" fillId="2" borderId="0" applyFont="1" applyNumberFormat="0" applyFill="0" applyBorder="0" applyAlignment="1">
      <alignment horizontal="center" vertical="bottom" textRotation="0" wrapText="false" shrinkToFit="false"/>
    </xf>
    <xf xfId="0" fontId="7" numFmtId="0" fillId="2" borderId="1" applyFont="1" applyNumberFormat="0" applyFill="0" applyBorder="1" applyAlignment="1">
      <alignment horizontal="center" vertical="center" textRotation="0" wrapText="false" shrinkToFit="false"/>
    </xf>
    <xf xfId="0" fontId="7" numFmtId="0" fillId="2" borderId="38" applyFont="1" applyNumberFormat="0" applyFill="0" applyBorder="1" applyAlignment="1">
      <alignment horizontal="center" vertical="bottom" textRotation="0" wrapText="false" shrinkToFit="false"/>
    </xf>
    <xf xfId="0" fontId="7" numFmtId="0" fillId="2" borderId="28" applyFont="1" applyNumberFormat="0" applyFill="0" applyBorder="1" applyAlignment="1">
      <alignment horizontal="center" vertical="bottom" textRotation="0" wrapText="false" shrinkToFit="false"/>
    </xf>
    <xf xfId="0" fontId="7" numFmtId="0" fillId="2" borderId="40" applyFont="1" applyNumberFormat="0" applyFill="0" applyBorder="1" applyAlignment="1">
      <alignment horizontal="center" vertical="bottom" textRotation="0" wrapText="false" shrinkToFit="false"/>
    </xf>
    <xf xfId="0" fontId="7" numFmtId="0" fillId="2" borderId="41" applyFont="1" applyNumberFormat="0" applyFill="0" applyBorder="1" applyAlignment="1">
      <alignment horizontal="center" vertical="bottom" textRotation="0" wrapText="false" shrinkToFit="false"/>
    </xf>
    <xf xfId="0" fontId="7" numFmtId="0" fillId="2" borderId="42" applyFont="1" applyNumberFormat="0" applyFill="0" applyBorder="1" applyAlignment="1">
      <alignment horizontal="center" vertical="bottom" textRotation="0" wrapText="false" shrinkToFit="false"/>
    </xf>
    <xf xfId="0" fontId="7" numFmtId="0" fillId="2" borderId="47" applyFont="1" applyNumberFormat="0" applyFill="0" applyBorder="1" applyAlignment="1">
      <alignment horizontal="center" vertical="bottom" textRotation="0" wrapText="false" shrinkToFit="false"/>
    </xf>
    <xf xfId="0" fontId="7" numFmtId="0" fillId="2" borderId="39" applyFont="1" applyNumberFormat="0" applyFill="0" applyBorder="1" applyAlignment="1">
      <alignment horizontal="center" vertical="bottom" textRotation="0" wrapText="false" shrinkToFit="false"/>
    </xf>
    <xf xfId="0" fontId="7" numFmtId="0" fillId="2" borderId="5" applyFont="1" applyNumberFormat="0" applyFill="0" applyBorder="1" applyAlignment="1">
      <alignment horizontal="center" vertical="center" textRotation="0" wrapText="false" shrinkToFit="false"/>
    </xf>
    <xf xfId="0" fontId="7" numFmtId="0" fillId="2" borderId="6" applyFont="1" applyNumberFormat="0" applyFill="0" applyBorder="1" applyAlignment="1">
      <alignment horizontal="center" vertical="bottom" textRotation="0" wrapText="false" shrinkToFit="false"/>
    </xf>
    <xf xfId="0" fontId="7" numFmtId="0" fillId="2" borderId="14" applyFont="1" applyNumberFormat="0" applyFill="0" applyBorder="1" applyAlignment="1">
      <alignment horizontal="center" vertical="bottom" textRotation="0" wrapText="false" shrinkToFit="false"/>
    </xf>
    <xf xfId="0" fontId="7" numFmtId="0" fillId="2" borderId="11" applyFont="1" applyNumberFormat="0" applyFill="0" applyBorder="1" applyAlignment="1">
      <alignment horizontal="center" vertical="bottom" textRotation="0" wrapText="false" shrinkToFit="false"/>
    </xf>
    <xf xfId="0" fontId="7" numFmtId="0" fillId="2" borderId="14" applyFont="1" applyNumberFormat="0" applyFill="0" applyBorder="1" applyAlignment="1">
      <alignment horizontal="center" vertical="bottom" textRotation="0" wrapText="false" shrinkToFit="true"/>
    </xf>
    <xf xfId="0" fontId="7" numFmtId="0" fillId="2" borderId="11" applyFont="1" applyNumberFormat="0" applyFill="0" applyBorder="1" applyAlignment="1">
      <alignment horizontal="center" vertical="bottom" textRotation="0" wrapText="false" shrinkToFit="true"/>
    </xf>
    <xf xfId="0" fontId="10" numFmtId="0" fillId="2" borderId="14" applyFont="1" applyNumberFormat="0" applyFill="0" applyBorder="1" applyAlignment="1">
      <alignment horizontal="center" vertical="bottom" textRotation="0" wrapText="false" shrinkToFit="false"/>
    </xf>
    <xf xfId="0" fontId="10" numFmtId="0" fillId="2" borderId="11" applyFont="1" applyNumberFormat="0" applyFill="0" applyBorder="1" applyAlignment="1">
      <alignment horizontal="center" vertical="bottom" textRotation="0" wrapText="false" shrinkToFit="false"/>
    </xf>
    <xf xfId="0" fontId="7" numFmtId="0" fillId="2" borderId="37" applyFont="1" applyNumberFormat="0" applyFill="0" applyBorder="1" applyAlignment="1">
      <alignment horizontal="center" vertical="center" textRotation="0" wrapText="false" shrinkToFit="false"/>
    </xf>
    <xf xfId="0" fontId="7" numFmtId="0" fillId="2" borderId="32" applyFont="1" applyNumberFormat="0" applyFill="0" applyBorder="1" applyAlignment="1">
      <alignment horizontal="center" vertical="center" textRotation="0" wrapText="false" shrinkToFit="false"/>
    </xf>
    <xf xfId="0" fontId="7" numFmtId="0" fillId="2" borderId="0" applyFont="1" applyNumberFormat="0" applyFill="0" applyBorder="0" applyAlignment="1">
      <alignment horizontal="center" vertical="bottom" textRotation="0" wrapText="false" shrinkToFit="false"/>
    </xf>
    <xf xfId="0" fontId="7" numFmtId="0" fillId="2" borderId="12" applyFont="1" applyNumberFormat="0" applyFill="0" applyBorder="1" applyAlignment="1">
      <alignment horizontal="center" vertical="bottom" textRotation="0" wrapText="false" shrinkToFit="false"/>
    </xf>
    <xf xfId="0" fontId="7" numFmtId="0" fillId="2" borderId="8" applyFont="1" applyNumberFormat="0" applyFill="0" applyBorder="1" applyAlignment="1">
      <alignment horizontal="center" vertical="center" textRotation="0" wrapText="false" shrinkToFit="false"/>
    </xf>
    <xf xfId="0" fontId="7" numFmtId="0" fillId="2" borderId="9" applyFont="1" applyNumberFormat="0" applyFill="0" applyBorder="1" applyAlignment="1">
      <alignment horizontal="center" vertical="bottom" textRotation="0" wrapText="false" shrinkToFit="false"/>
    </xf>
    <xf xfId="0" fontId="7" numFmtId="0" fillId="2" borderId="21" applyFont="1" applyNumberFormat="0" applyFill="0" applyBorder="1" applyAlignment="1">
      <alignment horizontal="center" vertical="bottom" textRotation="0" wrapText="false" shrinkToFit="false"/>
    </xf>
    <xf xfId="0" fontId="7" numFmtId="0" fillId="2" borderId="18" applyFont="1" applyNumberFormat="0" applyFill="0" applyBorder="1" applyAlignment="1">
      <alignment horizontal="center" vertical="bottom" textRotation="0" wrapText="false" shrinkToFit="false"/>
    </xf>
    <xf xfId="0" fontId="7" numFmtId="0" fillId="2" borderId="21" applyFont="1" applyNumberFormat="0" applyFill="0" applyBorder="1" applyAlignment="1">
      <alignment horizontal="center" vertical="center" textRotation="0" wrapText="false" shrinkToFit="false"/>
    </xf>
    <xf xfId="0" fontId="7" numFmtId="0" fillId="2" borderId="18" applyFont="1" applyNumberFormat="0" applyFill="0" applyBorder="1" applyAlignment="1">
      <alignment horizontal="center" vertical="center" textRotation="0" wrapText="false" shrinkToFit="false"/>
    </xf>
    <xf xfId="0" fontId="7" numFmtId="0" fillId="2" borderId="22" applyFont="1" applyNumberFormat="0" applyFill="0" applyBorder="1" applyAlignment="1">
      <alignment horizontal="center" vertical="bottom" textRotation="0" wrapText="false" shrinkToFit="false"/>
    </xf>
    <xf xfId="0" fontId="7" numFmtId="0" fillId="2" borderId="23" applyFont="1" applyNumberFormat="0" applyFill="0" applyBorder="1" applyAlignment="1">
      <alignment horizontal="center" vertical="bottom" textRotation="0" wrapText="false" shrinkToFit="false"/>
    </xf>
    <xf xfId="0" fontId="7" numFmtId="0" fillId="2" borderId="5" applyFont="1" applyNumberFormat="0" applyFill="0" applyBorder="1" applyAlignment="0">
      <alignment horizontal="general" vertical="bottom" textRotation="0" wrapText="false" shrinkToFit="false"/>
    </xf>
    <xf xfId="0" fontId="8" numFmtId="0" fillId="2" borderId="11" applyFont="1" applyNumberFormat="0" applyFill="0" applyBorder="1" applyAlignment="0">
      <alignment horizontal="general" vertical="bottom" textRotation="0" wrapText="false" shrinkToFit="false"/>
    </xf>
    <xf xfId="0" fontId="8" numFmtId="0" fillId="2" borderId="12" applyFont="1" applyNumberFormat="0" applyFill="0" applyBorder="1" applyAlignment="0">
      <alignment horizontal="general" vertical="bottom" textRotation="0" wrapText="false" shrinkToFit="false"/>
    </xf>
    <xf xfId="0" fontId="11" numFmtId="0" fillId="2" borderId="5" applyFont="1" applyNumberFormat="0" applyFill="0" applyBorder="1" applyAlignment="0">
      <alignment horizontal="general" vertical="bottom" textRotation="0" wrapText="false" shrinkToFit="false"/>
    </xf>
    <xf xfId="0" fontId="8" numFmtId="0" fillId="2" borderId="14" applyFont="1" applyNumberFormat="0" applyFill="0" applyBorder="1" applyAlignment="0">
      <alignment horizontal="general" vertical="bottom" textRotation="0" wrapText="false" shrinkToFit="false"/>
    </xf>
    <xf xfId="0" fontId="8" numFmtId="4" fillId="2" borderId="32" applyFont="1" applyNumberFormat="1" applyFill="0" applyBorder="1" applyAlignment="0">
      <alignment horizontal="general" vertical="bottom" textRotation="0" wrapText="false" shrinkToFit="false"/>
    </xf>
    <xf xfId="0" fontId="8" numFmtId="4" fillId="2" borderId="36" applyFont="1" applyNumberFormat="1" applyFill="0" applyBorder="1" applyAlignment="0">
      <alignment horizontal="general" vertical="bottom" textRotation="0" wrapText="false" shrinkToFit="false"/>
    </xf>
    <xf xfId="0" fontId="8" numFmtId="0" fillId="2" borderId="43" applyFont="1" applyNumberFormat="0" applyFill="0" applyBorder="1" applyAlignment="0">
      <alignment horizontal="general" vertical="bottom" textRotation="0" wrapText="false" shrinkToFit="false"/>
    </xf>
    <xf xfId="0" fontId="8" numFmtId="4" fillId="2" borderId="18" applyFont="1" applyNumberFormat="1" applyFill="0" applyBorder="1" applyAlignment="0">
      <alignment horizontal="general" vertical="bottom" textRotation="0" wrapText="false" shrinkToFit="false"/>
    </xf>
    <xf xfId="0" fontId="8" numFmtId="4" fillId="2" borderId="23" applyFont="1" applyNumberFormat="1" applyFill="0" applyBorder="1" applyAlignment="0">
      <alignment horizontal="general" vertical="bottom" textRotation="0" wrapText="false" shrinkToFit="false"/>
    </xf>
    <xf xfId="0" fontId="7" numFmtId="0" fillId="2" borderId="14" applyFont="1" applyNumberFormat="0" applyFill="0" applyBorder="1" applyAlignment="0">
      <alignment horizontal="general" vertical="bottom" textRotation="0" wrapText="false" shrinkToFit="false"/>
    </xf>
    <xf xfId="0" fontId="7" numFmtId="4" fillId="2" borderId="29" applyFont="1" applyNumberFormat="1" applyFill="0" applyBorder="1" applyAlignment="0">
      <alignment horizontal="general" vertical="bottom" textRotation="0" wrapText="false" shrinkToFit="false"/>
    </xf>
    <xf xfId="0" fontId="7" numFmtId="4" fillId="2" borderId="30" applyFont="1" applyNumberFormat="1" applyFill="0" applyBorder="1" applyAlignment="0">
      <alignment horizontal="general" vertical="bottom" textRotation="0" wrapText="false" shrinkToFit="false"/>
    </xf>
    <xf xfId="0" fontId="7" numFmtId="0" fillId="2" borderId="0" applyFont="1" applyNumberFormat="0" applyFill="0" applyBorder="0" applyAlignment="0">
      <alignment horizontal="general" vertical="bottom" textRotation="0" wrapText="false" shrinkToFit="false"/>
    </xf>
    <xf xfId="0" fontId="7" numFmtId="4" fillId="2" borderId="11" applyFont="1" applyNumberFormat="1" applyFill="0" applyBorder="1" applyAlignment="0">
      <alignment horizontal="general" vertical="bottom" textRotation="0" wrapText="false" shrinkToFit="false"/>
    </xf>
    <xf xfId="0" fontId="7" numFmtId="4" fillId="2" borderId="12" applyFont="1" applyNumberFormat="1" applyFill="0" applyBorder="1" applyAlignment="0">
      <alignment horizontal="general" vertical="bottom" textRotation="0" wrapText="false" shrinkToFit="false"/>
    </xf>
    <xf xfId="0" fontId="8" numFmtId="4" fillId="2" borderId="16" applyFont="1" applyNumberFormat="1" applyFill="0" applyBorder="1" applyAlignment="0">
      <alignment horizontal="general" vertical="bottom" textRotation="0" wrapText="false" shrinkToFit="false"/>
    </xf>
    <xf xfId="0" fontId="8" numFmtId="4" fillId="2" borderId="17" applyFont="1" applyNumberFormat="1" applyFill="0" applyBorder="1" applyAlignment="0">
      <alignment horizontal="general" vertical="bottom" textRotation="0" wrapText="false" shrinkToFit="false"/>
    </xf>
    <xf xfId="0" fontId="8" numFmtId="0" fillId="2" borderId="5" applyFont="1" applyNumberFormat="0" applyFill="0" applyBorder="1" applyAlignment="1">
      <alignment horizontal="left" vertical="center" textRotation="0" wrapText="false" shrinkToFit="false"/>
    </xf>
    <xf xfId="0" fontId="7" numFmtId="0" fillId="2" borderId="14" applyFont="1" applyNumberFormat="0" applyFill="0" applyBorder="1" applyAlignment="1">
      <alignment horizontal="center" vertical="bottom" textRotation="0" wrapText="false" shrinkToFit="false"/>
    </xf>
    <xf xfId="0" fontId="8" numFmtId="4" fillId="2" borderId="16" applyFont="1" applyNumberFormat="1" applyFill="0" applyBorder="1" applyAlignment="1">
      <alignment horizontal="right" vertical="bottom" textRotation="0" wrapText="false" shrinkToFit="false"/>
    </xf>
    <xf xfId="0" fontId="8" numFmtId="0" fillId="2" borderId="14" applyFont="1" applyNumberFormat="0" applyFill="0" applyBorder="1" applyAlignment="1">
      <alignment horizontal="center" vertical="bottom" textRotation="0" wrapText="false" shrinkToFit="false"/>
    </xf>
    <xf xfId="0" fontId="8" numFmtId="0" fillId="2" borderId="14" applyFont="1" applyNumberFormat="0" applyFill="0" applyBorder="1" applyAlignment="1">
      <alignment horizontal="center" vertical="center" textRotation="0" wrapText="false" shrinkToFit="false"/>
    </xf>
    <xf xfId="0" fontId="8" numFmtId="4" fillId="2" borderId="17" applyFont="1" applyNumberFormat="1" applyFill="0" applyBorder="1" applyAlignment="1">
      <alignment horizontal="right" vertical="bottom" textRotation="0" wrapText="false" shrinkToFit="false"/>
    </xf>
    <xf xfId="0" fontId="8" numFmtId="4" fillId="2" borderId="19" applyFont="1" applyNumberFormat="1" applyFill="0" applyBorder="1" applyAlignment="1">
      <alignment horizontal="right" vertical="bottom" textRotation="0" wrapText="false" shrinkToFit="false"/>
    </xf>
    <xf xfId="0" fontId="8" numFmtId="4" fillId="2" borderId="20" applyFont="1" applyNumberFormat="1" applyFill="0" applyBorder="1" applyAlignment="1">
      <alignment horizontal="right" vertical="bottom" textRotation="0" wrapText="false" shrinkToFit="false"/>
    </xf>
    <xf xfId="0" fontId="7" numFmtId="4" fillId="2" borderId="18" applyFont="1" applyNumberFormat="1" applyFill="0" applyBorder="1" applyAlignment="1">
      <alignment horizontal="right" vertical="bottom" textRotation="0" wrapText="false" shrinkToFit="false"/>
    </xf>
    <xf xfId="0" fontId="7" numFmtId="0" fillId="2" borderId="0" applyFont="1" applyNumberFormat="0" applyFill="0" applyBorder="0" applyAlignment="1">
      <alignment horizontal="center" vertical="bottom" textRotation="0" wrapText="false" shrinkToFit="false"/>
    </xf>
    <xf xfId="0" fontId="7" numFmtId="4" fillId="2" borderId="30" applyFont="1" applyNumberFormat="1" applyFill="0" applyBorder="1" applyAlignment="1">
      <alignment horizontal="right" vertical="bottom" textRotation="0" wrapText="false" shrinkToFit="false"/>
    </xf>
    <xf xfId="0" fontId="7" numFmtId="0" fillId="2" borderId="5" applyFont="1" applyNumberFormat="0" applyFill="0" applyBorder="1" applyAlignment="1">
      <alignment horizontal="center" vertical="bottom" textRotation="0" wrapText="false" shrinkToFit="false"/>
    </xf>
    <xf xfId="0" fontId="11" numFmtId="0" fillId="2" borderId="44" applyFont="1" applyNumberFormat="0" applyFill="0" applyBorder="1" applyAlignment="1">
      <alignment horizontal="center" vertical="bottom" textRotation="0" wrapText="false" shrinkToFit="false"/>
    </xf>
    <xf xfId="0" fontId="8" numFmtId="0" fillId="2" borderId="0" applyFont="1" applyNumberFormat="0" applyFill="0" applyBorder="0" applyAlignment="1">
      <alignment horizontal="center" vertical="bottom" textRotation="0" wrapText="false" shrinkToFit="false"/>
    </xf>
    <xf xfId="0" fontId="8" numFmtId="0" fillId="2" borderId="0" applyFont="1" applyNumberFormat="0" applyFill="0" applyBorder="0" applyAlignment="1">
      <alignment horizontal="right" vertical="bottom" textRotation="0" wrapText="false" shrinkToFit="false"/>
    </xf>
    <xf xfId="0" fontId="12" numFmtId="0" fillId="2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2" numFmtId="0" fillId="2" borderId="0" applyFont="1" applyNumberFormat="0" applyFill="0" applyBorder="0" applyAlignment="1">
      <alignment horizontal="center" vertical="bottom" textRotation="0" wrapText="false" shrinkToFit="false"/>
    </xf>
    <xf xfId="0" fontId="9" numFmtId="0" fillId="2" borderId="0" applyFont="1" applyNumberFormat="0" applyFill="0" applyBorder="0" applyAlignment="0">
      <alignment horizontal="general" vertical="bottom" textRotation="0" wrapText="false" shrinkToFit="false"/>
    </xf>
    <xf xfId="0" fontId="13" numFmtId="0" fillId="2" borderId="0" applyFont="1" applyNumberFormat="0" applyFill="0" applyBorder="0" applyAlignment="1">
      <alignment horizontal="center" vertical="bottom" textRotation="0" wrapText="false" shrinkToFit="false"/>
    </xf>
    <xf xfId="0" fontId="13" numFmtId="0" fillId="2" borderId="22" applyFont="1" applyNumberFormat="0" applyFill="0" applyBorder="1" applyAlignment="1">
      <alignment horizontal="center" vertical="bottom" textRotation="0" wrapText="false" shrinkToFit="false"/>
    </xf>
    <xf xfId="0" fontId="0" numFmtId="0" fillId="2" borderId="6" applyFont="0" applyNumberFormat="0" applyFill="0" applyBorder="1" applyAlignment="0">
      <alignment horizontal="general" vertical="bottom" textRotation="0" wrapText="false" shrinkToFit="false"/>
    </xf>
    <xf xfId="0" fontId="8" numFmtId="4" fillId="2" borderId="14" applyFont="1" applyNumberFormat="1" applyFill="0" applyBorder="1" applyAlignment="0">
      <alignment horizontal="general" vertical="bottom" textRotation="0" wrapText="false" shrinkToFit="false"/>
    </xf>
    <xf xfId="0" fontId="7" numFmtId="4" fillId="2" borderId="14" applyFont="1" applyNumberFormat="1" applyFill="0" applyBorder="1" applyAlignment="0">
      <alignment horizontal="general" vertical="bottom" textRotation="0" wrapText="false" shrinkToFit="false"/>
    </xf>
    <xf xfId="0" fontId="8" numFmtId="4" fillId="2" borderId="0" applyFont="1" applyNumberFormat="1" applyFill="0" applyBorder="0" applyAlignment="0">
      <alignment horizontal="general" vertical="bottom" textRotation="0" wrapText="false" shrinkToFit="false"/>
    </xf>
    <xf xfId="0" fontId="12" numFmtId="0" fillId="2" borderId="5" applyFont="1" applyNumberFormat="0" applyFill="0" applyBorder="1" applyAlignment="0">
      <alignment horizontal="general" vertical="bottom" textRotation="0" wrapText="false" shrinkToFit="false"/>
    </xf>
    <xf xfId="0" fontId="7" numFmtId="0" fillId="2" borderId="0" applyFont="1" applyNumberFormat="0" applyFill="0" applyBorder="0" applyAlignment="1">
      <alignment horizontal="center" vertical="center" textRotation="0" wrapText="false" shrinkToFit="false"/>
    </xf>
    <xf xfId="0" fontId="8" numFmtId="4" fillId="2" borderId="13" applyFont="1" applyNumberFormat="1" applyFill="0" applyBorder="1" applyAlignment="1">
      <alignment horizontal="right" vertical="bottom" textRotation="0" wrapText="false" shrinkToFit="false"/>
    </xf>
    <xf xfId="0" fontId="8" numFmtId="0" fillId="2" borderId="0" applyFont="1" applyNumberFormat="0" applyFill="0" applyBorder="0" applyAlignment="1">
      <alignment horizontal="center" vertical="center" textRotation="0" wrapText="false" shrinkToFit="false"/>
    </xf>
    <xf xfId="0" fontId="8" numFmtId="4" fillId="2" borderId="15" applyFont="1" applyNumberFormat="1" applyFill="0" applyBorder="1" applyAlignment="1">
      <alignment horizontal="right" vertical="bottom" textRotation="0" wrapText="false" shrinkToFit="false"/>
    </xf>
    <xf xfId="0" fontId="8" numFmtId="4" fillId="2" borderId="11" applyFont="1" applyNumberFormat="1" applyFill="0" applyBorder="1" applyAlignment="1">
      <alignment horizontal="right" vertical="bottom" textRotation="0" wrapText="false" shrinkToFit="false"/>
    </xf>
    <xf xfId="0" fontId="8" numFmtId="4" fillId="2" borderId="12" applyFont="1" applyNumberFormat="1" applyFill="0" applyBorder="1" applyAlignment="1">
      <alignment horizontal="right" vertical="bottom" textRotation="0" wrapText="false" shrinkToFit="false"/>
    </xf>
    <xf xfId="0" fontId="7" numFmtId="4" fillId="2" borderId="29" applyFont="1" applyNumberFormat="1" applyFill="0" applyBorder="1" applyAlignment="1">
      <alignment horizontal="right" vertical="bottom" textRotation="0" wrapText="false" shrinkToFit="false"/>
    </xf>
    <xf xfId="0" fontId="8" numFmtId="0" fillId="2" borderId="44" applyFont="1" applyNumberFormat="0" applyFill="0" applyBorder="1" applyAlignment="1">
      <alignment horizontal="left" vertical="center" textRotation="0" wrapText="false" shrinkToFit="false"/>
    </xf>
    <xf xfId="0" fontId="7" numFmtId="0" fillId="2" borderId="44" applyFont="1" applyNumberFormat="0" applyFill="0" applyBorder="1" applyAlignment="1">
      <alignment horizontal="center" vertical="bottom" textRotation="0" wrapText="false" shrinkToFit="false"/>
    </xf>
    <xf xfId="0" fontId="7" numFmtId="4" fillId="2" borderId="44" applyFont="1" applyNumberFormat="1" applyFill="0" applyBorder="1" applyAlignment="1">
      <alignment horizontal="center" vertical="bottom" textRotation="0" wrapText="false" shrinkToFit="false"/>
    </xf>
    <xf xfId="0" fontId="7" numFmtId="0" fillId="2" borderId="44" applyFont="1" applyNumberFormat="0" applyFill="0" applyBorder="1" applyAlignment="1">
      <alignment horizontal="center" vertical="center" textRotation="0" wrapText="false" shrinkToFit="false"/>
    </xf>
    <xf xfId="0" fontId="7" numFmtId="0" fillId="2" borderId="32" applyFont="1" applyNumberFormat="0" applyFill="0" applyBorder="1" applyAlignment="1">
      <alignment horizontal="center" vertical="center" textRotation="0" wrapText="false" shrinkToFit="false"/>
    </xf>
    <xf xfId="0" fontId="7" numFmtId="0" fillId="2" borderId="0" applyFont="1" applyNumberFormat="0" applyFill="0" applyBorder="0" applyAlignment="0">
      <alignment horizontal="general" vertical="bottom" textRotation="0" wrapText="false" shrinkToFit="false"/>
    </xf>
    <xf xfId="0" fontId="7" numFmtId="0" fillId="2" borderId="33" applyFont="1" applyNumberFormat="0" applyFill="0" applyBorder="1" applyAlignment="1">
      <alignment horizontal="left" vertical="center" textRotation="0" wrapText="false" shrinkToFit="false"/>
    </xf>
    <xf xfId="0" fontId="7" numFmtId="0" fillId="2" borderId="34" applyFont="1" applyNumberFormat="0" applyFill="0" applyBorder="1" applyAlignment="1">
      <alignment horizontal="center" vertical="bottom" textRotation="0" wrapText="false" shrinkToFit="false"/>
    </xf>
    <xf xfId="0" fontId="7" numFmtId="0" fillId="2" borderId="35" applyFont="1" applyNumberFormat="0" applyFill="0" applyBorder="1" applyAlignment="1">
      <alignment horizontal="center" vertical="bottom" textRotation="0" wrapText="false" shrinkToFit="false"/>
    </xf>
    <xf xfId="0" fontId="7" numFmtId="0" fillId="2" borderId="32" applyFont="1" applyNumberFormat="0" applyFill="0" applyBorder="1" applyAlignment="1">
      <alignment horizontal="center" vertical="bottom" textRotation="0" wrapText="false" shrinkToFit="false"/>
    </xf>
    <xf xfId="0" fontId="7" numFmtId="0" fillId="2" borderId="35" applyFont="1" applyNumberFormat="0" applyFill="0" applyBorder="1" applyAlignment="1">
      <alignment horizontal="center" vertical="center" textRotation="0" wrapText="false" shrinkToFit="false"/>
    </xf>
    <xf xfId="0" fontId="7" numFmtId="0" fillId="2" borderId="36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3"/>
  <sheetViews>
    <sheetView tabSelected="1" workbookViewId="0" showGridLines="true" showRowColHeaders="1">
      <selection activeCell="A21" sqref="A21"/>
    </sheetView>
  </sheetViews>
  <sheetFormatPr defaultRowHeight="14.4" outlineLevelRow="0" outlineLevelCol="0"/>
  <cols>
    <col min="1" max="1" width="54.42578125" customWidth="true" style="0"/>
    <col min="2" max="2" width="13.28515625" customWidth="true" style="0"/>
    <col min="3" max="3" width="2.140625" customWidth="true" style="0"/>
    <col min="4" max="4" width="11.28515625" customWidth="true" style="0"/>
    <col min="5" max="5" width="2.7109375" customWidth="true" style="0"/>
    <col min="6" max="6" width="11.7109375" customWidth="true" style="0"/>
    <col min="7" max="7" width="2.7109375" customWidth="true" style="0"/>
    <col min="8" max="8" width="13.140625" customWidth="true" style="0"/>
    <col min="9" max="9" width="2.28515625" customWidth="true" style="0"/>
    <col min="10" max="10" width="11.5703125" customWidth="true" style="0"/>
    <col min="11" max="11" width="2.140625" customWidth="true" style="0"/>
    <col min="12" max="12" width="11.5703125" customWidth="true" style="0"/>
  </cols>
  <sheetData>
    <row r="1" spans="1:12" customHeight="1" ht="15.7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>
      <c r="A4" s="4" t="s">
        <v>2</v>
      </c>
      <c r="D4" s="4" t="s">
        <v>3</v>
      </c>
    </row>
    <row r="5" spans="1:12">
      <c r="A5" s="4" t="s">
        <v>4</v>
      </c>
      <c r="D5" s="4" t="s">
        <v>5</v>
      </c>
    </row>
    <row r="6" spans="1:12">
      <c r="A6" s="4" t="s">
        <v>6</v>
      </c>
      <c r="F6" s="4"/>
    </row>
    <row r="7" spans="1:12" customHeight="1" ht="15.75"/>
    <row r="8" spans="1:12">
      <c r="A8" s="5"/>
      <c r="B8" s="6"/>
      <c r="C8" s="7" t="s">
        <v>7</v>
      </c>
      <c r="D8" s="7"/>
      <c r="E8" s="8" t="s">
        <v>8</v>
      </c>
      <c r="F8" s="8"/>
      <c r="G8" s="8"/>
      <c r="H8" s="8"/>
      <c r="I8" s="8"/>
      <c r="J8" s="8"/>
      <c r="K8" s="7" t="s">
        <v>9</v>
      </c>
      <c r="L8" s="9"/>
    </row>
    <row r="9" spans="1:12">
      <c r="A9" s="10" t="s">
        <v>10</v>
      </c>
      <c r="B9" s="11" t="s">
        <v>11</v>
      </c>
      <c r="C9" s="12">
        <v>2021</v>
      </c>
      <c r="D9" s="12"/>
      <c r="E9" s="12" t="s">
        <v>12</v>
      </c>
      <c r="F9" s="12"/>
      <c r="G9" s="12" t="s">
        <v>13</v>
      </c>
      <c r="H9" s="12"/>
      <c r="I9" s="13" t="s">
        <v>14</v>
      </c>
      <c r="J9" s="13"/>
      <c r="K9" s="12">
        <v>2023</v>
      </c>
      <c r="L9" s="14"/>
    </row>
    <row r="10" spans="1:12" customHeight="1" ht="15.75">
      <c r="A10" s="15"/>
      <c r="B10" s="16"/>
      <c r="C10" s="17" t="s">
        <v>15</v>
      </c>
      <c r="D10" s="17"/>
      <c r="E10" s="17" t="s">
        <v>15</v>
      </c>
      <c r="F10" s="17"/>
      <c r="G10" s="17" t="s">
        <v>16</v>
      </c>
      <c r="H10" s="17"/>
      <c r="I10" s="18"/>
      <c r="J10" s="18"/>
      <c r="K10" s="17" t="s">
        <v>17</v>
      </c>
      <c r="L10" s="19"/>
    </row>
    <row r="11" spans="1:12">
      <c r="A11" s="20" t="s">
        <v>18</v>
      </c>
      <c r="B11" s="21"/>
      <c r="C11" s="22"/>
      <c r="D11" s="23"/>
      <c r="E11" s="22"/>
      <c r="F11" s="23"/>
      <c r="G11" s="22"/>
      <c r="H11" s="23"/>
      <c r="I11" s="22"/>
      <c r="J11" s="23"/>
      <c r="K11" s="22"/>
      <c r="L11" s="24"/>
    </row>
    <row r="12" spans="1:12">
      <c r="A12" s="25" t="s">
        <v>19</v>
      </c>
      <c r="B12" s="21" t="s">
        <v>20</v>
      </c>
      <c r="C12" s="22" t="s">
        <v>21</v>
      </c>
      <c r="D12" s="26">
        <v>1885962</v>
      </c>
      <c r="E12" s="22" t="s">
        <v>21</v>
      </c>
      <c r="F12" s="26">
        <v>1089737</v>
      </c>
      <c r="G12" s="27" t="s">
        <v>21</v>
      </c>
      <c r="H12" s="26">
        <f>J12-F12</f>
        <v>1869709.49</v>
      </c>
      <c r="I12" s="22" t="s">
        <v>21</v>
      </c>
      <c r="J12" s="28">
        <v>2959446.49</v>
      </c>
      <c r="K12" s="22" t="s">
        <v>21</v>
      </c>
      <c r="L12" s="28">
        <v>3496482</v>
      </c>
    </row>
    <row r="13" spans="1:12">
      <c r="A13" s="29" t="s">
        <v>22</v>
      </c>
      <c r="B13" s="21"/>
      <c r="C13" s="22"/>
      <c r="D13" s="30"/>
      <c r="E13" s="27"/>
      <c r="F13" s="30"/>
      <c r="G13" s="27"/>
      <c r="H13" s="30"/>
      <c r="I13" s="27"/>
      <c r="J13" s="31"/>
      <c r="K13" s="22"/>
      <c r="L13" s="31"/>
    </row>
    <row r="14" spans="1:12">
      <c r="A14" s="25" t="s">
        <v>23</v>
      </c>
      <c r="B14" s="21" t="s">
        <v>24</v>
      </c>
      <c r="C14" s="22"/>
      <c r="D14" s="30">
        <v>114000</v>
      </c>
      <c r="E14" s="27"/>
      <c r="F14" s="30">
        <v>70000</v>
      </c>
      <c r="G14" s="27"/>
      <c r="H14" s="26">
        <f>J14-F14</f>
        <v>145161.3</v>
      </c>
      <c r="I14" s="27"/>
      <c r="J14" s="31">
        <v>215161.3</v>
      </c>
      <c r="K14" s="22"/>
      <c r="L14" s="31">
        <v>264000</v>
      </c>
    </row>
    <row r="15" spans="1:12">
      <c r="A15" s="25" t="s">
        <v>25</v>
      </c>
      <c r="B15" s="21" t="s">
        <v>26</v>
      </c>
      <c r="C15" s="22"/>
      <c r="D15" s="32">
        <v>86400</v>
      </c>
      <c r="E15" s="27"/>
      <c r="F15" s="32">
        <v>43200</v>
      </c>
      <c r="G15" s="27"/>
      <c r="H15" s="26">
        <f>J15-F15</f>
        <v>43200</v>
      </c>
      <c r="I15" s="27"/>
      <c r="J15" s="33">
        <v>86400</v>
      </c>
      <c r="K15" s="22"/>
      <c r="L15" s="33">
        <v>86400</v>
      </c>
    </row>
    <row r="16" spans="1:12">
      <c r="A16" s="25" t="s">
        <v>27</v>
      </c>
      <c r="B16" s="21" t="s">
        <v>28</v>
      </c>
      <c r="C16" s="22"/>
      <c r="D16" s="32">
        <v>86400</v>
      </c>
      <c r="E16" s="27"/>
      <c r="F16" s="32">
        <v>43200</v>
      </c>
      <c r="G16" s="27"/>
      <c r="H16" s="26">
        <f>J16-F16</f>
        <v>43200</v>
      </c>
      <c r="I16" s="27"/>
      <c r="J16" s="33">
        <v>86400</v>
      </c>
      <c r="K16" s="22"/>
      <c r="L16" s="33">
        <v>86400</v>
      </c>
    </row>
    <row r="17" spans="1:12">
      <c r="A17" s="25" t="s">
        <v>29</v>
      </c>
      <c r="B17" s="21" t="s">
        <v>30</v>
      </c>
      <c r="C17" s="22"/>
      <c r="D17" s="32">
        <v>24000</v>
      </c>
      <c r="E17" s="27"/>
      <c r="F17" s="32">
        <v>30000</v>
      </c>
      <c r="G17" s="27"/>
      <c r="H17" s="26">
        <f>J17-F17</f>
        <v>30000</v>
      </c>
      <c r="I17" s="27"/>
      <c r="J17" s="33">
        <v>60000</v>
      </c>
      <c r="K17" s="22"/>
      <c r="L17" s="33">
        <v>66000</v>
      </c>
    </row>
    <row r="18" spans="1:12">
      <c r="A18" s="25" t="s">
        <v>31</v>
      </c>
      <c r="B18" s="21" t="s">
        <v>32</v>
      </c>
      <c r="C18" s="22"/>
      <c r="D18" s="32">
        <v>25000</v>
      </c>
      <c r="E18" s="27"/>
      <c r="F18" s="32">
        <v>0</v>
      </c>
      <c r="G18" s="27"/>
      <c r="H18" s="26">
        <f>J18-F18</f>
        <v>50000</v>
      </c>
      <c r="I18" s="27"/>
      <c r="J18" s="33">
        <v>50000</v>
      </c>
      <c r="K18" s="22"/>
      <c r="L18" s="33">
        <v>55000</v>
      </c>
    </row>
    <row r="19" spans="1:12">
      <c r="A19" s="25" t="s">
        <v>33</v>
      </c>
      <c r="B19" s="21" t="s">
        <v>34</v>
      </c>
      <c r="C19" s="22"/>
      <c r="D19" s="32">
        <v>40000</v>
      </c>
      <c r="E19" s="27"/>
      <c r="F19" s="32">
        <v>0</v>
      </c>
      <c r="G19" s="27"/>
      <c r="H19" s="26">
        <f>J19-F19</f>
        <v>50000</v>
      </c>
      <c r="I19" s="27"/>
      <c r="J19" s="33">
        <v>50000</v>
      </c>
      <c r="K19" s="22"/>
      <c r="L19" s="33">
        <v>110000</v>
      </c>
    </row>
    <row r="20" spans="1:12">
      <c r="A20" s="25" t="s">
        <v>35</v>
      </c>
      <c r="B20" s="21" t="s">
        <v>36</v>
      </c>
      <c r="C20" s="22"/>
      <c r="D20" s="32">
        <v>159878</v>
      </c>
      <c r="E20" s="27"/>
      <c r="F20" s="32">
        <v>0</v>
      </c>
      <c r="G20" s="27"/>
      <c r="H20" s="26">
        <f>J20-F20</f>
        <v>268140</v>
      </c>
      <c r="I20" s="27"/>
      <c r="J20" s="33">
        <v>268140</v>
      </c>
      <c r="K20" s="22"/>
      <c r="L20" s="33">
        <v>291374</v>
      </c>
    </row>
    <row r="21" spans="1:12">
      <c r="A21" s="25" t="s">
        <v>37</v>
      </c>
      <c r="B21" s="21" t="s">
        <v>38</v>
      </c>
      <c r="C21" s="22"/>
      <c r="D21" s="32">
        <v>25000</v>
      </c>
      <c r="E21" s="27"/>
      <c r="F21" s="32">
        <v>0</v>
      </c>
      <c r="G21" s="27"/>
      <c r="H21" s="26">
        <f>J21-F21</f>
        <v>50000</v>
      </c>
      <c r="I21" s="27"/>
      <c r="J21" s="33">
        <v>50000</v>
      </c>
      <c r="K21" s="22"/>
      <c r="L21" s="33">
        <v>55000</v>
      </c>
    </row>
    <row r="22" spans="1:12">
      <c r="A22" s="25" t="s">
        <v>39</v>
      </c>
      <c r="B22" s="21" t="s">
        <v>40</v>
      </c>
      <c r="C22" s="22"/>
      <c r="D22" s="32">
        <v>159878</v>
      </c>
      <c r="E22" s="27"/>
      <c r="F22" s="32">
        <v>164337</v>
      </c>
      <c r="G22" s="27"/>
      <c r="H22" s="26">
        <f>J22-F22</f>
        <v>88</v>
      </c>
      <c r="I22" s="27"/>
      <c r="J22" s="33">
        <v>164425</v>
      </c>
      <c r="K22" s="22"/>
      <c r="L22" s="33">
        <v>291374</v>
      </c>
    </row>
    <row r="23" spans="1:12">
      <c r="A23" s="29" t="s">
        <v>41</v>
      </c>
      <c r="B23" s="21"/>
      <c r="C23" s="22"/>
      <c r="D23" s="30"/>
      <c r="E23" s="27"/>
      <c r="F23" s="30"/>
      <c r="G23" s="27"/>
      <c r="H23" s="30"/>
      <c r="I23" s="27"/>
      <c r="J23" s="31"/>
      <c r="K23" s="22"/>
      <c r="L23" s="31"/>
    </row>
    <row r="24" spans="1:12">
      <c r="A24" s="25" t="s">
        <v>42</v>
      </c>
      <c r="B24" s="21" t="s">
        <v>43</v>
      </c>
      <c r="C24" s="22"/>
      <c r="D24" s="30">
        <v>226315.44</v>
      </c>
      <c r="E24" s="27"/>
      <c r="F24" s="30">
        <v>126783.72</v>
      </c>
      <c r="G24" s="27"/>
      <c r="H24" s="26">
        <f>J24-F24</f>
        <v>228349.86</v>
      </c>
      <c r="I24" s="27"/>
      <c r="J24" s="31">
        <v>355133.58</v>
      </c>
      <c r="K24" s="22"/>
      <c r="L24" s="31">
        <v>419577.84</v>
      </c>
    </row>
    <row r="25" spans="1:12">
      <c r="A25" s="25" t="s">
        <v>44</v>
      </c>
      <c r="B25" s="21" t="s">
        <v>45</v>
      </c>
      <c r="C25" s="22"/>
      <c r="D25" s="32">
        <v>5700</v>
      </c>
      <c r="E25" s="27"/>
      <c r="F25" s="32">
        <v>3500</v>
      </c>
      <c r="G25" s="27"/>
      <c r="H25" s="26">
        <f>J25-F25</f>
        <v>7258.05</v>
      </c>
      <c r="I25" s="27"/>
      <c r="J25" s="33">
        <v>10758.05</v>
      </c>
      <c r="K25" s="22"/>
      <c r="L25" s="33">
        <v>13200</v>
      </c>
    </row>
    <row r="26" spans="1:12">
      <c r="A26" s="25" t="s">
        <v>46</v>
      </c>
      <c r="B26" s="21" t="s">
        <v>47</v>
      </c>
      <c r="C26" s="22"/>
      <c r="D26" s="32">
        <v>20906.91</v>
      </c>
      <c r="E26" s="27"/>
      <c r="F26" s="32">
        <v>14005.45</v>
      </c>
      <c r="G26" s="27"/>
      <c r="H26" s="26">
        <f>J26-F26</f>
        <v>22654.1</v>
      </c>
      <c r="I26" s="27"/>
      <c r="J26" s="33">
        <v>36659.55</v>
      </c>
      <c r="K26" s="22"/>
      <c r="L26" s="33">
        <v>74648.12</v>
      </c>
    </row>
    <row r="27" spans="1:12">
      <c r="A27" s="25" t="s">
        <v>48</v>
      </c>
      <c r="B27" s="21" t="s">
        <v>49</v>
      </c>
      <c r="C27" s="22"/>
      <c r="D27" s="32">
        <v>5700</v>
      </c>
      <c r="E27" s="27"/>
      <c r="F27" s="32">
        <v>3500</v>
      </c>
      <c r="G27" s="27"/>
      <c r="H27" s="26">
        <f>J27-F27</f>
        <v>7258.05</v>
      </c>
      <c r="I27" s="27"/>
      <c r="J27" s="33">
        <v>10758.05</v>
      </c>
      <c r="K27" s="22"/>
      <c r="L27" s="33">
        <v>13200</v>
      </c>
    </row>
    <row r="28" spans="1:12">
      <c r="A28" s="29" t="s">
        <v>50</v>
      </c>
      <c r="B28" s="21"/>
      <c r="C28" s="22"/>
      <c r="D28" s="30"/>
      <c r="E28" s="27"/>
      <c r="F28" s="30"/>
      <c r="G28" s="27"/>
      <c r="H28" s="30"/>
      <c r="I28" s="27"/>
      <c r="J28" s="31"/>
      <c r="K28" s="22"/>
      <c r="L28" s="31"/>
    </row>
    <row r="29" spans="1:12">
      <c r="A29" s="34" t="s">
        <v>51</v>
      </c>
      <c r="B29" s="21" t="s">
        <v>52</v>
      </c>
      <c r="C29" s="22"/>
      <c r="D29" s="26">
        <v>0</v>
      </c>
      <c r="E29" s="27"/>
      <c r="F29" s="26">
        <v>0</v>
      </c>
      <c r="G29" s="27"/>
      <c r="H29" s="26">
        <f>J29-F29</f>
        <v>1323279.87</v>
      </c>
      <c r="I29" s="27"/>
      <c r="J29" s="28">
        <v>1323279.87</v>
      </c>
      <c r="K29" s="22"/>
      <c r="L29" s="28">
        <v>0</v>
      </c>
    </row>
    <row r="30" spans="1:12" customHeight="1" ht="15.75">
      <c r="A30" s="34" t="s">
        <v>53</v>
      </c>
      <c r="B30" s="21" t="s">
        <v>54</v>
      </c>
      <c r="C30" s="22"/>
      <c r="D30" s="35">
        <v>20000</v>
      </c>
      <c r="E30" s="22"/>
      <c r="F30" s="35">
        <v>0</v>
      </c>
      <c r="G30" s="22"/>
      <c r="H30" s="36">
        <f>J30-F30</f>
        <v>0</v>
      </c>
      <c r="I30" s="22"/>
      <c r="J30" s="37">
        <v>0</v>
      </c>
      <c r="K30" s="22"/>
      <c r="L30" s="37">
        <v>0</v>
      </c>
    </row>
    <row r="31" spans="1:12">
      <c r="A31" s="29" t="s">
        <v>55</v>
      </c>
      <c r="B31" s="45"/>
      <c r="C31" s="58" t="s">
        <v>21</v>
      </c>
      <c r="D31" s="59">
        <f>SUM(D12:D30)</f>
        <v>2885140.35</v>
      </c>
      <c r="E31" s="60" t="s">
        <v>21</v>
      </c>
      <c r="F31" s="59">
        <f>SUM(F12:F30)</f>
        <v>1588263.17</v>
      </c>
      <c r="G31" s="60" t="s">
        <v>21</v>
      </c>
      <c r="H31" s="59">
        <f>SUM(H12:H30)</f>
        <v>4138298.72</v>
      </c>
      <c r="I31" s="60" t="s">
        <v>21</v>
      </c>
      <c r="J31" s="59">
        <f>SUM(J12:J30)</f>
        <v>5726561.89</v>
      </c>
      <c r="K31" s="60" t="s">
        <v>21</v>
      </c>
      <c r="L31" s="61">
        <f>SUM(L12:L30)</f>
        <v>5322655.96</v>
      </c>
    </row>
    <row r="32" spans="1:12">
      <c r="A32" s="74" t="s">
        <v>56</v>
      </c>
      <c r="B32" s="75"/>
      <c r="C32" s="76"/>
      <c r="D32" s="77"/>
      <c r="E32" s="76"/>
      <c r="F32" s="77"/>
      <c r="G32" s="76"/>
      <c r="H32" s="77"/>
      <c r="I32" s="76"/>
      <c r="J32" s="77"/>
      <c r="K32" s="76"/>
      <c r="L32" s="78"/>
    </row>
    <row r="33" spans="1:12">
      <c r="A33" s="25" t="s">
        <v>57</v>
      </c>
      <c r="B33" s="21" t="s">
        <v>58</v>
      </c>
      <c r="C33" s="22" t="s">
        <v>21</v>
      </c>
      <c r="D33" s="26">
        <v>225627.78</v>
      </c>
      <c r="E33" s="22" t="s">
        <v>21</v>
      </c>
      <c r="F33" s="26">
        <v>382760.84</v>
      </c>
      <c r="G33" s="22" t="s">
        <v>21</v>
      </c>
      <c r="H33" s="26">
        <f>J33-F33</f>
        <v>240989.16</v>
      </c>
      <c r="I33" s="22" t="s">
        <v>21</v>
      </c>
      <c r="J33" s="26">
        <v>623750</v>
      </c>
      <c r="K33" s="22" t="s">
        <v>21</v>
      </c>
      <c r="L33" s="28">
        <v>400000</v>
      </c>
    </row>
    <row r="34" spans="1:12">
      <c r="A34" s="25" t="s">
        <v>59</v>
      </c>
      <c r="B34" s="21" t="s">
        <v>60</v>
      </c>
      <c r="C34" s="22"/>
      <c r="D34" s="32">
        <v>0</v>
      </c>
      <c r="E34" s="27"/>
      <c r="F34" s="32">
        <v>200000</v>
      </c>
      <c r="G34" s="27"/>
      <c r="H34" s="26">
        <f>J34-F34</f>
        <v>0</v>
      </c>
      <c r="I34" s="27"/>
      <c r="J34" s="32">
        <v>200000</v>
      </c>
      <c r="K34" s="22"/>
      <c r="L34" s="33">
        <v>200000</v>
      </c>
    </row>
    <row r="35" spans="1:12">
      <c r="A35" s="25" t="s">
        <v>61</v>
      </c>
      <c r="B35" s="21" t="s">
        <v>62</v>
      </c>
      <c r="C35" s="22"/>
      <c r="D35" s="32">
        <v>564288.31</v>
      </c>
      <c r="E35" s="27"/>
      <c r="F35" s="32">
        <v>307335</v>
      </c>
      <c r="G35" s="27"/>
      <c r="H35" s="26">
        <f>J35-F35</f>
        <v>192665</v>
      </c>
      <c r="I35" s="27"/>
      <c r="J35" s="32">
        <v>500000</v>
      </c>
      <c r="K35" s="22"/>
      <c r="L35" s="33">
        <v>300000</v>
      </c>
    </row>
    <row r="36" spans="1:12">
      <c r="A36" s="25" t="s">
        <v>63</v>
      </c>
      <c r="B36" s="21" t="s">
        <v>64</v>
      </c>
      <c r="C36" s="22"/>
      <c r="D36" s="32">
        <v>5365821.47</v>
      </c>
      <c r="E36" s="27"/>
      <c r="F36" s="32">
        <v>1678456.22</v>
      </c>
      <c r="G36" s="27"/>
      <c r="H36" s="26">
        <f>J36-F36</f>
        <v>821543.78</v>
      </c>
      <c r="I36" s="27"/>
      <c r="J36" s="32">
        <v>2500000</v>
      </c>
      <c r="K36" s="22"/>
      <c r="L36" s="33">
        <v>2000000</v>
      </c>
    </row>
    <row r="37" spans="1:12">
      <c r="A37" s="25" t="s">
        <v>65</v>
      </c>
      <c r="B37" s="21" t="s">
        <v>66</v>
      </c>
      <c r="C37" s="22"/>
      <c r="D37" s="32">
        <v>581003.64</v>
      </c>
      <c r="E37" s="27"/>
      <c r="F37" s="32">
        <v>410464.36</v>
      </c>
      <c r="G37" s="27"/>
      <c r="H37" s="26">
        <f>J37-F37</f>
        <v>189535.64</v>
      </c>
      <c r="I37" s="27"/>
      <c r="J37" s="32">
        <v>600000</v>
      </c>
      <c r="K37" s="22"/>
      <c r="L37" s="33">
        <v>600000</v>
      </c>
    </row>
    <row r="38" spans="1:12">
      <c r="A38" s="25" t="s">
        <v>67</v>
      </c>
      <c r="B38" s="21" t="s">
        <v>68</v>
      </c>
      <c r="C38" s="22"/>
      <c r="D38" s="32">
        <v>2172499.7</v>
      </c>
      <c r="E38" s="27"/>
      <c r="F38" s="32">
        <v>1576238.77</v>
      </c>
      <c r="G38" s="27"/>
      <c r="H38" s="26">
        <f>J38-F38</f>
        <v>423761.23</v>
      </c>
      <c r="I38" s="27"/>
      <c r="J38" s="32">
        <v>2000000</v>
      </c>
      <c r="K38" s="22"/>
      <c r="L38" s="33">
        <v>2500000</v>
      </c>
    </row>
    <row r="39" spans="1:12">
      <c r="A39" s="25" t="s">
        <v>69</v>
      </c>
      <c r="B39" s="21" t="s">
        <v>70</v>
      </c>
      <c r="C39" s="22"/>
      <c r="D39" s="32">
        <v>655</v>
      </c>
      <c r="E39" s="27"/>
      <c r="F39" s="32">
        <v>0</v>
      </c>
      <c r="G39" s="27"/>
      <c r="H39" s="26">
        <f>J39-F39</f>
        <v>2500</v>
      </c>
      <c r="I39" s="27"/>
      <c r="J39" s="32">
        <v>2500</v>
      </c>
      <c r="K39" s="22"/>
      <c r="L39" s="33">
        <v>5000</v>
      </c>
    </row>
    <row r="40" spans="1:12">
      <c r="A40" s="25" t="s">
        <v>71</v>
      </c>
      <c r="B40" s="21" t="s">
        <v>72</v>
      </c>
      <c r="C40" s="22"/>
      <c r="D40" s="32">
        <v>120770.21</v>
      </c>
      <c r="E40" s="27"/>
      <c r="F40" s="32">
        <v>58908.57</v>
      </c>
      <c r="G40" s="27"/>
      <c r="H40" s="26">
        <f>J40-F40</f>
        <v>73091.43</v>
      </c>
      <c r="I40" s="27"/>
      <c r="J40" s="32">
        <v>132000</v>
      </c>
      <c r="K40" s="22"/>
      <c r="L40" s="33">
        <v>156000</v>
      </c>
    </row>
    <row r="41" spans="1:12">
      <c r="A41" s="25" t="s">
        <v>73</v>
      </c>
      <c r="B41" s="21" t="s">
        <v>74</v>
      </c>
      <c r="C41" s="22"/>
      <c r="D41" s="32">
        <v>46210.02</v>
      </c>
      <c r="E41" s="27"/>
      <c r="F41" s="32">
        <v>26975.36</v>
      </c>
      <c r="G41" s="27"/>
      <c r="H41" s="26">
        <f>J41-F41</f>
        <v>113024.64</v>
      </c>
      <c r="I41" s="27"/>
      <c r="J41" s="32">
        <v>140000</v>
      </c>
      <c r="K41" s="22"/>
      <c r="L41" s="33">
        <v>100000</v>
      </c>
    </row>
    <row r="42" spans="1:12">
      <c r="A42" s="25" t="s">
        <v>75</v>
      </c>
      <c r="B42" s="21" t="s">
        <v>76</v>
      </c>
      <c r="C42" s="22"/>
      <c r="D42" s="32">
        <v>40136.37</v>
      </c>
      <c r="E42" s="27"/>
      <c r="F42" s="32">
        <v>39182.33</v>
      </c>
      <c r="G42" s="27"/>
      <c r="H42" s="26">
        <f>J42-F42</f>
        <v>0</v>
      </c>
      <c r="I42" s="27"/>
      <c r="J42" s="32">
        <v>39182.33</v>
      </c>
      <c r="K42" s="22"/>
      <c r="L42" s="33">
        <v>43569.96</v>
      </c>
    </row>
    <row r="43" spans="1:12">
      <c r="A43" s="25" t="s">
        <v>77</v>
      </c>
      <c r="B43" s="21" t="s">
        <v>78</v>
      </c>
      <c r="C43" s="22"/>
      <c r="D43" s="32">
        <v>204000</v>
      </c>
      <c r="E43" s="27"/>
      <c r="F43" s="32">
        <v>204000</v>
      </c>
      <c r="G43" s="27"/>
      <c r="H43" s="26">
        <f>J43-F43</f>
        <v>228000</v>
      </c>
      <c r="I43" s="27"/>
      <c r="J43" s="32">
        <v>432000</v>
      </c>
      <c r="K43" s="22"/>
      <c r="L43" s="33">
        <v>492000</v>
      </c>
    </row>
    <row r="44" spans="1:12">
      <c r="A44" s="25" t="s">
        <v>79</v>
      </c>
      <c r="B44" s="21" t="s">
        <v>80</v>
      </c>
      <c r="C44" s="22"/>
      <c r="D44" s="32">
        <v>6684195.78</v>
      </c>
      <c r="E44" s="27"/>
      <c r="F44" s="32">
        <v>4364751.25</v>
      </c>
      <c r="G44" s="27"/>
      <c r="H44" s="26">
        <f>J44-F44</f>
        <v>1101803.99</v>
      </c>
      <c r="I44" s="27"/>
      <c r="J44" s="32">
        <v>5466555.24</v>
      </c>
      <c r="K44" s="22"/>
      <c r="L44" s="33">
        <v>5400000</v>
      </c>
    </row>
    <row r="45" spans="1:12">
      <c r="A45" s="25" t="s">
        <v>81</v>
      </c>
      <c r="B45" s="21" t="s">
        <v>82</v>
      </c>
      <c r="C45" s="22"/>
      <c r="D45" s="32">
        <v>25750</v>
      </c>
      <c r="E45" s="27"/>
      <c r="F45" s="32">
        <v>29750</v>
      </c>
      <c r="G45" s="27"/>
      <c r="H45" s="26">
        <f>J45-F45</f>
        <v>50250</v>
      </c>
      <c r="I45" s="27"/>
      <c r="J45" s="32">
        <v>80000</v>
      </c>
      <c r="K45" s="22"/>
      <c r="L45" s="33">
        <v>75000</v>
      </c>
    </row>
    <row r="46" spans="1:12">
      <c r="A46" s="25" t="s">
        <v>83</v>
      </c>
      <c r="B46" s="21" t="s">
        <v>84</v>
      </c>
      <c r="C46" s="22"/>
      <c r="D46" s="32">
        <v>1330132</v>
      </c>
      <c r="E46" s="27"/>
      <c r="F46" s="32">
        <v>985937.5</v>
      </c>
      <c r="G46" s="27"/>
      <c r="H46" s="26">
        <f>J46-F46</f>
        <v>14062.5</v>
      </c>
      <c r="I46" s="27"/>
      <c r="J46" s="32">
        <v>1000000</v>
      </c>
      <c r="K46" s="22"/>
      <c r="L46" s="33">
        <v>750000</v>
      </c>
    </row>
    <row r="47" spans="1:12">
      <c r="A47" s="25" t="s">
        <v>85</v>
      </c>
      <c r="B47" s="21" t="s">
        <v>86</v>
      </c>
      <c r="C47" s="22"/>
      <c r="D47" s="32">
        <v>0</v>
      </c>
      <c r="E47" s="22"/>
      <c r="F47" s="32">
        <v>0</v>
      </c>
      <c r="G47" s="22"/>
      <c r="H47" s="32">
        <f>J47-F47</f>
        <v>26250</v>
      </c>
      <c r="I47" s="22"/>
      <c r="J47" s="32">
        <v>26250</v>
      </c>
      <c r="K47" s="22"/>
      <c r="L47" s="33">
        <v>52500</v>
      </c>
    </row>
    <row r="48" spans="1:12">
      <c r="A48" s="25" t="s">
        <v>87</v>
      </c>
      <c r="B48" s="21" t="s">
        <v>88</v>
      </c>
      <c r="C48" s="22"/>
      <c r="D48" s="32">
        <v>141153.99</v>
      </c>
      <c r="E48" s="27"/>
      <c r="F48" s="32">
        <v>116127.54</v>
      </c>
      <c r="G48" s="27"/>
      <c r="H48" s="26">
        <f>J48-F48</f>
        <v>33872.46</v>
      </c>
      <c r="I48" s="27"/>
      <c r="J48" s="32">
        <v>150000</v>
      </c>
      <c r="K48" s="22"/>
      <c r="L48" s="33">
        <v>150000</v>
      </c>
    </row>
    <row r="49" spans="1:12">
      <c r="A49" s="25" t="s">
        <v>89</v>
      </c>
      <c r="B49" s="21" t="s">
        <v>90</v>
      </c>
      <c r="C49" s="22"/>
      <c r="D49" s="32">
        <v>50000</v>
      </c>
      <c r="E49" s="27"/>
      <c r="F49" s="32">
        <v>0</v>
      </c>
      <c r="G49" s="27"/>
      <c r="H49" s="26">
        <f>J49-F49</f>
        <v>75000</v>
      </c>
      <c r="I49" s="27"/>
      <c r="J49" s="32">
        <v>75000</v>
      </c>
      <c r="K49" s="22"/>
      <c r="L49" s="33">
        <v>75000</v>
      </c>
    </row>
    <row r="50" spans="1:12" customHeight="1" ht="15.75">
      <c r="A50" s="25" t="s">
        <v>91</v>
      </c>
      <c r="B50" s="21" t="s">
        <v>92</v>
      </c>
      <c r="C50" s="22"/>
      <c r="D50" s="35">
        <v>3531148.07</v>
      </c>
      <c r="E50" s="22"/>
      <c r="F50" s="35">
        <v>2039795.83</v>
      </c>
      <c r="G50" s="22"/>
      <c r="H50" s="36">
        <f>J50-F50</f>
        <v>946963.57</v>
      </c>
      <c r="I50" s="22"/>
      <c r="J50" s="35">
        <v>2986759.4</v>
      </c>
      <c r="K50" s="22"/>
      <c r="L50" s="46">
        <v>2022852.8</v>
      </c>
    </row>
    <row r="51" spans="1:12">
      <c r="A51" s="29" t="s">
        <v>93</v>
      </c>
      <c r="B51" s="45"/>
      <c r="C51" s="58" t="s">
        <v>21</v>
      </c>
      <c r="D51" s="59">
        <f>SUM(D33:D50)</f>
        <v>21083392.34</v>
      </c>
      <c r="E51" s="60" t="s">
        <v>21</v>
      </c>
      <c r="F51" s="59">
        <f>SUM(F33:F50)</f>
        <v>12420683.57</v>
      </c>
      <c r="G51" s="60" t="s">
        <v>21</v>
      </c>
      <c r="H51" s="59">
        <f>SUM(H33:H50)</f>
        <v>4533313.4</v>
      </c>
      <c r="I51" s="60" t="s">
        <v>21</v>
      </c>
      <c r="J51" s="59">
        <f>SUM(J33:J50)</f>
        <v>16953996.97</v>
      </c>
      <c r="K51" s="60" t="s">
        <v>21</v>
      </c>
      <c r="L51" s="61">
        <f>SUM(L33:L50)</f>
        <v>15321922.76</v>
      </c>
    </row>
    <row r="52" spans="1:12">
      <c r="A52" s="74" t="s">
        <v>94</v>
      </c>
      <c r="B52" s="75"/>
      <c r="C52" s="76"/>
      <c r="D52" s="71"/>
      <c r="E52" s="76"/>
      <c r="F52" s="71"/>
      <c r="G52" s="76"/>
      <c r="H52" s="71"/>
      <c r="I52" s="76"/>
      <c r="J52" s="71"/>
      <c r="K52" s="76"/>
      <c r="L52" s="79"/>
    </row>
    <row r="53" spans="1:12">
      <c r="A53" s="29" t="s">
        <v>95</v>
      </c>
      <c r="B53" s="21" t="s">
        <v>96</v>
      </c>
      <c r="C53" s="22" t="s">
        <v>21</v>
      </c>
      <c r="D53" s="26">
        <v>408684.67</v>
      </c>
      <c r="E53" s="22" t="s">
        <v>21</v>
      </c>
      <c r="F53" s="26">
        <v>0</v>
      </c>
      <c r="G53" s="22" t="s">
        <v>21</v>
      </c>
      <c r="H53" s="26">
        <f>J53-F53</f>
        <v>720000</v>
      </c>
      <c r="I53" s="22" t="s">
        <v>21</v>
      </c>
      <c r="J53" s="26">
        <v>720000</v>
      </c>
      <c r="K53" s="22" t="s">
        <v>21</v>
      </c>
      <c r="L53" s="28">
        <v>0</v>
      </c>
    </row>
    <row r="54" spans="1:12">
      <c r="A54" s="29" t="s">
        <v>97</v>
      </c>
      <c r="B54" s="21" t="s">
        <v>98</v>
      </c>
      <c r="C54" s="22"/>
      <c r="D54" s="26">
        <v>0</v>
      </c>
      <c r="E54" s="22"/>
      <c r="F54" s="26">
        <v>0</v>
      </c>
      <c r="G54" s="22"/>
      <c r="H54" s="26">
        <f>J54-F54</f>
        <v>534415</v>
      </c>
      <c r="I54" s="22"/>
      <c r="J54" s="26">
        <v>534415</v>
      </c>
      <c r="K54" s="22"/>
      <c r="L54" s="28">
        <v>0</v>
      </c>
    </row>
    <row r="55" spans="1:12">
      <c r="A55" s="25" t="s">
        <v>99</v>
      </c>
      <c r="B55" s="21" t="s">
        <v>100</v>
      </c>
      <c r="C55" s="22"/>
      <c r="D55" s="26">
        <v>493382</v>
      </c>
      <c r="E55" s="22"/>
      <c r="F55" s="26">
        <v>672394</v>
      </c>
      <c r="G55" s="22"/>
      <c r="H55" s="26">
        <f>J55-F55</f>
        <v>827606</v>
      </c>
      <c r="I55" s="22"/>
      <c r="J55" s="26">
        <v>1500000</v>
      </c>
      <c r="K55" s="22"/>
      <c r="L55" s="28">
        <v>500000</v>
      </c>
    </row>
    <row r="56" spans="1:12" customHeight="1" ht="15.75">
      <c r="A56" s="25" t="s">
        <v>101</v>
      </c>
      <c r="B56" s="21" t="s">
        <v>102</v>
      </c>
      <c r="C56" s="22"/>
      <c r="D56" s="35">
        <v>2884960</v>
      </c>
      <c r="E56" s="22"/>
      <c r="F56" s="35">
        <v>0</v>
      </c>
      <c r="G56" s="22"/>
      <c r="H56" s="36">
        <v>0</v>
      </c>
      <c r="I56" s="22"/>
      <c r="J56" s="36">
        <v>0</v>
      </c>
      <c r="K56" s="22"/>
      <c r="L56" s="46">
        <v>0</v>
      </c>
    </row>
    <row r="57" spans="1:12" customHeight="1" ht="15.75">
      <c r="A57" s="29" t="s">
        <v>103</v>
      </c>
      <c r="B57" s="21"/>
      <c r="C57" s="48" t="s">
        <v>21</v>
      </c>
      <c r="D57" s="41">
        <f>SUM(D53:D56)</f>
        <v>3787026.67</v>
      </c>
      <c r="E57" s="48" t="s">
        <v>21</v>
      </c>
      <c r="F57" s="41">
        <f>SUM(F53:F56)</f>
        <v>672394</v>
      </c>
      <c r="G57" s="48" t="s">
        <v>21</v>
      </c>
      <c r="H57" s="41">
        <f>SUM(H53:H56)</f>
        <v>2082021</v>
      </c>
      <c r="I57" s="48" t="s">
        <v>21</v>
      </c>
      <c r="J57" s="41">
        <f>SUM(J53:J56)</f>
        <v>2754415</v>
      </c>
      <c r="K57" s="48" t="s">
        <v>21</v>
      </c>
      <c r="L57" s="43">
        <f>SUM(L53:L56)</f>
        <v>500000</v>
      </c>
    </row>
    <row r="58" spans="1:12" customHeight="1" ht="15.75">
      <c r="A58" s="49" t="s">
        <v>104</v>
      </c>
      <c r="B58" s="50"/>
      <c r="C58" s="51" t="s">
        <v>21</v>
      </c>
      <c r="D58" s="52">
        <f>D31+D51+D57</f>
        <v>27755559.36</v>
      </c>
      <c r="E58" s="53" t="s">
        <v>21</v>
      </c>
      <c r="F58" s="52">
        <f>F31+F51+F57</f>
        <v>14681340.74</v>
      </c>
      <c r="G58" s="53" t="s">
        <v>21</v>
      </c>
      <c r="H58" s="52">
        <f>H31+H51+H57</f>
        <v>10753633.12</v>
      </c>
      <c r="I58" s="53" t="s">
        <v>21</v>
      </c>
      <c r="J58" s="52">
        <f>J31+J51+J57</f>
        <v>25434973.86</v>
      </c>
      <c r="K58" s="53" t="s">
        <v>21</v>
      </c>
      <c r="L58" s="52">
        <f>L31+L51+L57</f>
        <v>21144578.72</v>
      </c>
    </row>
    <row r="59" spans="1:12" customHeight="1" ht="15.75"/>
    <row r="60" spans="1:12">
      <c r="A60" s="22" t="s">
        <v>105</v>
      </c>
      <c r="B60" s="22" t="s">
        <v>106</v>
      </c>
      <c r="C60" s="22"/>
      <c r="D60" s="22"/>
      <c r="E60" s="22"/>
      <c r="F60" s="22"/>
      <c r="G60" s="22" t="s">
        <v>107</v>
      </c>
      <c r="H60" s="22"/>
    </row>
    <row r="62" spans="1:12">
      <c r="A62" s="44" t="s">
        <v>108</v>
      </c>
      <c r="B62" s="54" t="s">
        <v>109</v>
      </c>
      <c r="C62" s="54"/>
      <c r="D62" s="54"/>
      <c r="E62" s="54"/>
      <c r="F62" s="54"/>
      <c r="G62" s="55"/>
      <c r="H62" s="54" t="s">
        <v>110</v>
      </c>
      <c r="I62" s="54"/>
      <c r="J62" s="54"/>
      <c r="K62" s="54"/>
      <c r="L62" s="54"/>
    </row>
    <row r="63" spans="1:12">
      <c r="A63" s="56" t="s">
        <v>111</v>
      </c>
      <c r="B63" s="57" t="s">
        <v>112</v>
      </c>
      <c r="C63" s="57"/>
      <c r="D63" s="57"/>
      <c r="E63" s="57"/>
      <c r="F63" s="57"/>
      <c r="G63" s="22"/>
      <c r="H63" s="57" t="s">
        <v>111</v>
      </c>
      <c r="I63" s="57"/>
      <c r="J63" s="57"/>
      <c r="K63" s="57"/>
      <c r="L63" s="5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62:F62"/>
    <mergeCell ref="H62:L62"/>
    <mergeCell ref="I9:J10"/>
    <mergeCell ref="B63:F63"/>
    <mergeCell ref="H63:L63"/>
    <mergeCell ref="A1:L1"/>
    <mergeCell ref="C8:D8"/>
    <mergeCell ref="E8:J8"/>
    <mergeCell ref="K8:L8"/>
    <mergeCell ref="E9:F9"/>
    <mergeCell ref="G9:H9"/>
    <mergeCell ref="A2:L2"/>
    <mergeCell ref="C9:D9"/>
    <mergeCell ref="K9:L9"/>
    <mergeCell ref="C10:D10"/>
    <mergeCell ref="E10:F10"/>
    <mergeCell ref="G10:H10"/>
    <mergeCell ref="K10:L1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6"/>
  <sheetViews>
    <sheetView tabSelected="0" workbookViewId="0" showGridLines="true" showRowColHeaders="1">
      <selection activeCell="L41" sqref="L41"/>
    </sheetView>
  </sheetViews>
  <sheetFormatPr defaultRowHeight="14.4" outlineLevelRow="0" outlineLevelCol="0"/>
  <cols>
    <col min="1" max="1" width="54.42578125" customWidth="true" style="0"/>
    <col min="2" max="2" width="13.28515625" customWidth="true" style="0"/>
    <col min="3" max="3" width="2.140625" customWidth="true" style="0"/>
    <col min="4" max="4" width="11.28515625" customWidth="true" style="0"/>
    <col min="5" max="5" width="2.7109375" customWidth="true" style="0"/>
    <col min="6" max="6" width="11.7109375" customWidth="true" style="0"/>
    <col min="7" max="7" width="2.7109375" customWidth="true" style="0"/>
    <col min="8" max="8" width="13.140625" customWidth="true" style="0"/>
    <col min="9" max="9" width="2.28515625" customWidth="true" style="0"/>
    <col min="10" max="10" width="11.5703125" customWidth="true" style="0"/>
    <col min="11" max="11" width="2.140625" customWidth="true" style="0"/>
    <col min="12" max="12" width="11.5703125" customWidth="true" style="0"/>
  </cols>
  <sheetData>
    <row r="1" spans="1:12" customHeight="1" ht="15.7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>
      <c r="A4" s="4" t="s">
        <v>2</v>
      </c>
      <c r="D4" t="s">
        <v>113</v>
      </c>
    </row>
    <row r="5" spans="1:12">
      <c r="A5" s="4" t="s">
        <v>4</v>
      </c>
      <c r="D5" s="4" t="s">
        <v>114</v>
      </c>
    </row>
    <row r="6" spans="1:12">
      <c r="A6" s="4" t="s">
        <v>6</v>
      </c>
      <c r="F6" s="4"/>
    </row>
    <row r="7" spans="1:12" customHeight="1" ht="15.75"/>
    <row r="8" spans="1:12">
      <c r="A8" s="5"/>
      <c r="B8" s="6"/>
      <c r="C8" s="7" t="s">
        <v>7</v>
      </c>
      <c r="D8" s="7"/>
      <c r="E8" s="8" t="s">
        <v>8</v>
      </c>
      <c r="F8" s="8"/>
      <c r="G8" s="8"/>
      <c r="H8" s="8"/>
      <c r="I8" s="8"/>
      <c r="J8" s="8"/>
      <c r="K8" s="7" t="s">
        <v>9</v>
      </c>
      <c r="L8" s="9"/>
    </row>
    <row r="9" spans="1:12">
      <c r="A9" s="10" t="s">
        <v>10</v>
      </c>
      <c r="B9" s="11" t="s">
        <v>11</v>
      </c>
      <c r="C9" s="12">
        <v>2021</v>
      </c>
      <c r="D9" s="12"/>
      <c r="E9" s="12" t="s">
        <v>12</v>
      </c>
      <c r="F9" s="12"/>
      <c r="G9" s="12" t="s">
        <v>13</v>
      </c>
      <c r="H9" s="12"/>
      <c r="I9" s="13" t="s">
        <v>14</v>
      </c>
      <c r="J9" s="13"/>
      <c r="K9" s="12">
        <v>2023</v>
      </c>
      <c r="L9" s="14"/>
    </row>
    <row r="10" spans="1:12" customHeight="1" ht="15.75">
      <c r="A10" s="15"/>
      <c r="B10" s="16"/>
      <c r="C10" s="17" t="s">
        <v>15</v>
      </c>
      <c r="D10" s="17"/>
      <c r="E10" s="17" t="s">
        <v>15</v>
      </c>
      <c r="F10" s="17"/>
      <c r="G10" s="17" t="s">
        <v>16</v>
      </c>
      <c r="H10" s="17"/>
      <c r="I10" s="18"/>
      <c r="J10" s="18"/>
      <c r="K10" s="17" t="s">
        <v>17</v>
      </c>
      <c r="L10" s="19"/>
    </row>
    <row r="11" spans="1:12">
      <c r="A11" s="20" t="s">
        <v>18</v>
      </c>
      <c r="B11" s="21"/>
      <c r="C11" s="22"/>
      <c r="D11" s="23"/>
      <c r="E11" s="22"/>
      <c r="F11" s="23"/>
      <c r="G11" s="22"/>
      <c r="H11" s="23"/>
      <c r="I11" s="22"/>
      <c r="J11" s="23"/>
      <c r="K11" s="22"/>
      <c r="L11" s="24"/>
    </row>
    <row r="12" spans="1:12">
      <c r="A12" s="25" t="s">
        <v>19</v>
      </c>
      <c r="B12" s="21" t="s">
        <v>20</v>
      </c>
      <c r="C12" s="22" t="s">
        <v>21</v>
      </c>
      <c r="D12" s="26">
        <v>349334.22</v>
      </c>
      <c r="E12" s="22" t="s">
        <v>21</v>
      </c>
      <c r="F12" s="26">
        <v>232170</v>
      </c>
      <c r="G12" s="27" t="s">
        <v>21</v>
      </c>
      <c r="H12" s="26">
        <f>J12-F12</f>
        <v>346400.13</v>
      </c>
      <c r="I12" s="22" t="s">
        <v>21</v>
      </c>
      <c r="J12" s="26">
        <v>578570.13</v>
      </c>
      <c r="K12" s="22" t="s">
        <v>21</v>
      </c>
      <c r="L12" s="28">
        <v>806604</v>
      </c>
    </row>
    <row r="13" spans="1:12">
      <c r="A13" s="29" t="s">
        <v>22</v>
      </c>
      <c r="B13" s="21"/>
      <c r="C13" s="22"/>
      <c r="D13" s="30"/>
      <c r="E13" s="27"/>
      <c r="F13" s="30"/>
      <c r="G13" s="27"/>
      <c r="H13" s="30"/>
      <c r="I13" s="27"/>
      <c r="J13" s="30"/>
      <c r="K13" s="22"/>
      <c r="L13" s="31"/>
    </row>
    <row r="14" spans="1:12">
      <c r="A14" s="25" t="s">
        <v>23</v>
      </c>
      <c r="B14" s="21" t="s">
        <v>24</v>
      </c>
      <c r="C14" s="22"/>
      <c r="D14" s="30">
        <v>19935.48</v>
      </c>
      <c r="E14" s="27"/>
      <c r="F14" s="30">
        <v>14000</v>
      </c>
      <c r="G14" s="27"/>
      <c r="H14" s="26">
        <f>J14-F14</f>
        <v>29032.26</v>
      </c>
      <c r="I14" s="27"/>
      <c r="J14" s="30">
        <v>43032.26</v>
      </c>
      <c r="K14" s="22"/>
      <c r="L14" s="31">
        <v>72000</v>
      </c>
    </row>
    <row r="15" spans="1:12">
      <c r="A15" s="25" t="s">
        <v>29</v>
      </c>
      <c r="B15" s="21" t="s">
        <v>30</v>
      </c>
      <c r="C15" s="22"/>
      <c r="D15" s="32">
        <v>6000</v>
      </c>
      <c r="E15" s="27"/>
      <c r="F15" s="32">
        <v>6000</v>
      </c>
      <c r="G15" s="27"/>
      <c r="H15" s="26">
        <f>J15-F15</f>
        <v>6000</v>
      </c>
      <c r="I15" s="27"/>
      <c r="J15" s="32">
        <v>12000</v>
      </c>
      <c r="K15" s="22"/>
      <c r="L15" s="33">
        <v>18000</v>
      </c>
    </row>
    <row r="16" spans="1:12">
      <c r="A16" s="25" t="s">
        <v>31</v>
      </c>
      <c r="B16" s="21" t="s">
        <v>32</v>
      </c>
      <c r="C16" s="22"/>
      <c r="D16" s="32">
        <v>2000</v>
      </c>
      <c r="E16" s="27"/>
      <c r="F16" s="32">
        <v>0</v>
      </c>
      <c r="G16" s="27"/>
      <c r="H16" s="26">
        <f>J16-F16</f>
        <v>10000</v>
      </c>
      <c r="I16" s="27"/>
      <c r="J16" s="32">
        <v>10000</v>
      </c>
      <c r="K16" s="22"/>
      <c r="L16" s="33">
        <v>15000</v>
      </c>
    </row>
    <row r="17" spans="1:12">
      <c r="A17" s="25" t="s">
        <v>33</v>
      </c>
      <c r="B17" s="21" t="s">
        <v>34</v>
      </c>
      <c r="C17" s="22"/>
      <c r="D17" s="32">
        <v>0</v>
      </c>
      <c r="E17" s="27"/>
      <c r="F17" s="32">
        <v>0</v>
      </c>
      <c r="G17" s="27"/>
      <c r="H17" s="26">
        <f>J17-F17</f>
        <v>10000</v>
      </c>
      <c r="I17" s="27"/>
      <c r="J17" s="32">
        <v>10000</v>
      </c>
      <c r="K17" s="22"/>
      <c r="L17" s="33">
        <v>30000</v>
      </c>
    </row>
    <row r="18" spans="1:12">
      <c r="A18" s="25" t="s">
        <v>35</v>
      </c>
      <c r="B18" s="21" t="s">
        <v>36</v>
      </c>
      <c r="C18" s="22"/>
      <c r="D18" s="32">
        <v>31812.3</v>
      </c>
      <c r="E18" s="27"/>
      <c r="F18" s="32">
        <v>0</v>
      </c>
      <c r="G18" s="27"/>
      <c r="H18" s="26">
        <f>J18-F18</f>
        <v>51360</v>
      </c>
      <c r="I18" s="27"/>
      <c r="J18" s="32">
        <v>51360</v>
      </c>
      <c r="K18" s="22"/>
      <c r="L18" s="33">
        <v>67217</v>
      </c>
    </row>
    <row r="19" spans="1:12">
      <c r="A19" s="25" t="s">
        <v>37</v>
      </c>
      <c r="B19" s="21" t="s">
        <v>38</v>
      </c>
      <c r="C19" s="22"/>
      <c r="D19" s="32">
        <v>4500</v>
      </c>
      <c r="E19" s="27"/>
      <c r="F19" s="32">
        <v>0</v>
      </c>
      <c r="G19" s="27"/>
      <c r="H19" s="26">
        <f>J19-F19</f>
        <v>10000</v>
      </c>
      <c r="I19" s="27"/>
      <c r="J19" s="32">
        <v>10000</v>
      </c>
      <c r="K19" s="22"/>
      <c r="L19" s="33">
        <v>15000</v>
      </c>
    </row>
    <row r="20" spans="1:12">
      <c r="A20" s="25" t="s">
        <v>39</v>
      </c>
      <c r="B20" s="21" t="s">
        <v>40</v>
      </c>
      <c r="C20" s="22"/>
      <c r="D20" s="32">
        <v>34945</v>
      </c>
      <c r="E20" s="27"/>
      <c r="F20" s="32">
        <v>36162</v>
      </c>
      <c r="G20" s="27"/>
      <c r="H20" s="26">
        <f>J20-F20</f>
        <v>0</v>
      </c>
      <c r="I20" s="27"/>
      <c r="J20" s="32">
        <v>36162</v>
      </c>
      <c r="K20" s="22"/>
      <c r="L20" s="33">
        <v>67217</v>
      </c>
    </row>
    <row r="21" spans="1:12">
      <c r="A21" s="29" t="s">
        <v>41</v>
      </c>
      <c r="B21" s="21"/>
      <c r="C21" s="22"/>
      <c r="D21" s="30"/>
      <c r="E21" s="27"/>
      <c r="F21" s="30"/>
      <c r="G21" s="27"/>
      <c r="H21" s="30"/>
      <c r="I21" s="27"/>
      <c r="J21" s="30"/>
      <c r="K21" s="22"/>
      <c r="L21" s="31"/>
    </row>
    <row r="22" spans="1:12">
      <c r="A22" s="25" t="s">
        <v>42</v>
      </c>
      <c r="B22" s="21" t="s">
        <v>43</v>
      </c>
      <c r="C22" s="22"/>
      <c r="D22" s="30">
        <v>41920.11</v>
      </c>
      <c r="E22" s="27"/>
      <c r="F22" s="30">
        <v>27860.4</v>
      </c>
      <c r="G22" s="27"/>
      <c r="H22" s="26">
        <f>J22-F22</f>
        <v>41568.02</v>
      </c>
      <c r="I22" s="27"/>
      <c r="J22" s="30">
        <v>69428.42</v>
      </c>
      <c r="K22" s="22"/>
      <c r="L22" s="31">
        <v>96792.48</v>
      </c>
    </row>
    <row r="23" spans="1:12">
      <c r="A23" s="25" t="s">
        <v>44</v>
      </c>
      <c r="B23" s="21" t="s">
        <v>45</v>
      </c>
      <c r="C23" s="22"/>
      <c r="D23" s="32">
        <v>1000</v>
      </c>
      <c r="E23" s="27"/>
      <c r="F23" s="32">
        <v>700</v>
      </c>
      <c r="G23" s="27"/>
      <c r="H23" s="26">
        <f>J23-F23</f>
        <v>1451.61</v>
      </c>
      <c r="I23" s="27"/>
      <c r="J23" s="32">
        <v>2151.61</v>
      </c>
      <c r="K23" s="22"/>
      <c r="L23" s="33">
        <v>3600</v>
      </c>
    </row>
    <row r="24" spans="1:12">
      <c r="A24" s="25" t="s">
        <v>46</v>
      </c>
      <c r="B24" s="21" t="s">
        <v>47</v>
      </c>
      <c r="C24" s="22"/>
      <c r="D24" s="32">
        <v>5240.06</v>
      </c>
      <c r="E24" s="27"/>
      <c r="F24" s="32">
        <v>3739.35</v>
      </c>
      <c r="G24" s="27"/>
      <c r="H24" s="26">
        <f>J24-F24</f>
        <v>4939.2</v>
      </c>
      <c r="I24" s="27"/>
      <c r="J24" s="32">
        <v>8678.55</v>
      </c>
      <c r="K24" s="22"/>
      <c r="L24" s="33">
        <v>18148.59</v>
      </c>
    </row>
    <row r="25" spans="1:12">
      <c r="A25" s="25" t="s">
        <v>48</v>
      </c>
      <c r="B25" s="21" t="s">
        <v>49</v>
      </c>
      <c r="C25" s="22"/>
      <c r="D25" s="32">
        <v>1000</v>
      </c>
      <c r="E25" s="22"/>
      <c r="F25" s="32">
        <v>700</v>
      </c>
      <c r="G25" s="22"/>
      <c r="H25" s="26">
        <f>J25-F25</f>
        <v>1451.61</v>
      </c>
      <c r="I25" s="22"/>
      <c r="J25" s="32">
        <v>2151.61</v>
      </c>
      <c r="K25" s="22"/>
      <c r="L25" s="33">
        <v>3600</v>
      </c>
    </row>
    <row r="26" spans="1:12">
      <c r="A26" s="29" t="s">
        <v>50</v>
      </c>
      <c r="B26" s="21"/>
      <c r="C26" s="27"/>
      <c r="D26" s="30"/>
      <c r="E26" s="22"/>
      <c r="F26" s="30"/>
      <c r="G26" s="22"/>
      <c r="H26" s="30"/>
      <c r="I26" s="22"/>
      <c r="J26" s="30"/>
      <c r="K26" s="22"/>
      <c r="L26" s="31"/>
    </row>
    <row r="27" spans="1:12">
      <c r="A27" s="34" t="s">
        <v>51</v>
      </c>
      <c r="B27" s="21" t="s">
        <v>52</v>
      </c>
      <c r="C27" s="22"/>
      <c r="D27" s="26">
        <v>0</v>
      </c>
      <c r="E27" s="22"/>
      <c r="F27" s="26">
        <v>182087.03</v>
      </c>
      <c r="G27" s="22"/>
      <c r="H27" s="26">
        <v>0</v>
      </c>
      <c r="I27" s="22"/>
      <c r="J27" s="26">
        <v>182087.03</v>
      </c>
      <c r="K27" s="22"/>
      <c r="L27" s="28">
        <v>0</v>
      </c>
    </row>
    <row r="28" spans="1:12" customHeight="1" ht="15.75">
      <c r="A28" s="34" t="s">
        <v>53</v>
      </c>
      <c r="B28" s="21" t="s">
        <v>54</v>
      </c>
      <c r="C28" s="22"/>
      <c r="D28" s="36">
        <v>0</v>
      </c>
      <c r="E28" s="22"/>
      <c r="F28" s="36">
        <v>0</v>
      </c>
      <c r="G28" s="22"/>
      <c r="H28" s="36">
        <v>0</v>
      </c>
      <c r="I28" s="22"/>
      <c r="J28" s="36">
        <v>0</v>
      </c>
      <c r="K28" s="22"/>
      <c r="L28" s="37">
        <v>0</v>
      </c>
    </row>
    <row r="29" spans="1:12">
      <c r="A29" s="29" t="s">
        <v>55</v>
      </c>
      <c r="B29" s="45"/>
      <c r="C29" s="58" t="s">
        <v>21</v>
      </c>
      <c r="D29" s="59">
        <f>SUM(D12:D28)</f>
        <v>497687.17</v>
      </c>
      <c r="E29" s="60" t="s">
        <v>21</v>
      </c>
      <c r="F29" s="59">
        <f>SUM(F12:F28)</f>
        <v>503418.78</v>
      </c>
      <c r="G29" s="60" t="s">
        <v>21</v>
      </c>
      <c r="H29" s="59">
        <f>J29-F29</f>
        <v>512202.83</v>
      </c>
      <c r="I29" s="60" t="s">
        <v>21</v>
      </c>
      <c r="J29" s="59">
        <f>SUM(J12:J28)</f>
        <v>1015621.61</v>
      </c>
      <c r="K29" s="60" t="s">
        <v>21</v>
      </c>
      <c r="L29" s="61">
        <f>SUM(L12:L28)</f>
        <v>1213179.07</v>
      </c>
    </row>
    <row r="30" spans="1:12">
      <c r="A30" s="74" t="s">
        <v>56</v>
      </c>
      <c r="B30" s="75"/>
      <c r="C30" s="76"/>
      <c r="D30" s="77"/>
      <c r="E30" s="76"/>
      <c r="F30" s="77"/>
      <c r="G30" s="76"/>
      <c r="H30" s="77"/>
      <c r="I30" s="76"/>
      <c r="J30" s="77"/>
      <c r="K30" s="76"/>
      <c r="L30" s="78"/>
    </row>
    <row r="31" spans="1:12">
      <c r="A31" s="25" t="s">
        <v>57</v>
      </c>
      <c r="B31" s="21" t="s">
        <v>58</v>
      </c>
      <c r="C31" s="22" t="s">
        <v>21</v>
      </c>
      <c r="D31" s="30">
        <v>3600</v>
      </c>
      <c r="E31" s="22" t="s">
        <v>21</v>
      </c>
      <c r="F31" s="30">
        <v>27470</v>
      </c>
      <c r="G31" s="22" t="s">
        <v>21</v>
      </c>
      <c r="H31" s="26">
        <f>J31-F31</f>
        <v>32530</v>
      </c>
      <c r="I31" s="22" t="s">
        <v>21</v>
      </c>
      <c r="J31" s="30">
        <v>60000</v>
      </c>
      <c r="K31" s="22" t="s">
        <v>21</v>
      </c>
      <c r="L31" s="31">
        <v>60000</v>
      </c>
    </row>
    <row r="32" spans="1:12">
      <c r="A32" s="25" t="s">
        <v>61</v>
      </c>
      <c r="B32" s="21" t="s">
        <v>62</v>
      </c>
      <c r="C32" s="22"/>
      <c r="D32" s="32">
        <v>28667.59</v>
      </c>
      <c r="E32" s="22"/>
      <c r="F32" s="32">
        <v>17521</v>
      </c>
      <c r="G32" s="22"/>
      <c r="H32" s="32">
        <f>J32-F32</f>
        <v>22479</v>
      </c>
      <c r="I32" s="22"/>
      <c r="J32" s="32">
        <v>40000</v>
      </c>
      <c r="K32" s="22"/>
      <c r="L32" s="33">
        <v>40000</v>
      </c>
    </row>
    <row r="33" spans="1:12">
      <c r="A33" s="25" t="s">
        <v>71</v>
      </c>
      <c r="B33" s="21" t="s">
        <v>72</v>
      </c>
      <c r="C33" s="22"/>
      <c r="D33" s="32">
        <v>37500</v>
      </c>
      <c r="E33" s="22"/>
      <c r="F33" s="32">
        <v>24000</v>
      </c>
      <c r="G33" s="22"/>
      <c r="H33" s="32">
        <f>J33-F33</f>
        <v>24000</v>
      </c>
      <c r="I33" s="22"/>
      <c r="J33" s="32">
        <v>48000</v>
      </c>
      <c r="K33" s="22"/>
      <c r="L33" s="33">
        <v>48000</v>
      </c>
    </row>
    <row r="34" spans="1:12">
      <c r="A34" s="25" t="s">
        <v>73</v>
      </c>
      <c r="B34" s="21" t="s">
        <v>74</v>
      </c>
      <c r="C34" s="22"/>
      <c r="D34" s="32">
        <v>24540.12</v>
      </c>
      <c r="E34" s="22"/>
      <c r="F34" s="32">
        <v>12000.06</v>
      </c>
      <c r="G34" s="22"/>
      <c r="H34" s="32">
        <f>J34-F34</f>
        <v>12999.94</v>
      </c>
      <c r="I34" s="22"/>
      <c r="J34" s="32">
        <v>25000</v>
      </c>
      <c r="K34" s="22"/>
      <c r="L34" s="33">
        <v>25000</v>
      </c>
    </row>
    <row r="35" spans="1:12">
      <c r="A35" s="25" t="s">
        <v>81</v>
      </c>
      <c r="B35" s="21" t="s">
        <v>82</v>
      </c>
      <c r="C35" s="22"/>
      <c r="D35" s="32">
        <v>1000</v>
      </c>
      <c r="E35" s="22"/>
      <c r="F35" s="32">
        <v>0</v>
      </c>
      <c r="G35" s="22"/>
      <c r="H35" s="32">
        <f>J35-F35</f>
        <v>10000</v>
      </c>
      <c r="I35" s="22"/>
      <c r="J35" s="32">
        <v>10000</v>
      </c>
      <c r="K35" s="22"/>
      <c r="L35" s="33">
        <v>5000</v>
      </c>
    </row>
    <row r="36" spans="1:12" customHeight="1" ht="15.75">
      <c r="A36" s="25" t="s">
        <v>91</v>
      </c>
      <c r="B36" s="21" t="s">
        <v>92</v>
      </c>
      <c r="C36" s="22"/>
      <c r="D36" s="35">
        <v>4900</v>
      </c>
      <c r="E36" s="22"/>
      <c r="F36" s="35">
        <v>7800</v>
      </c>
      <c r="G36" s="22"/>
      <c r="H36" s="36">
        <f>J36-F36</f>
        <v>17200</v>
      </c>
      <c r="I36" s="22"/>
      <c r="J36" s="35">
        <v>25000</v>
      </c>
      <c r="K36" s="22"/>
      <c r="L36" s="46">
        <v>19600</v>
      </c>
    </row>
    <row r="37" spans="1:12">
      <c r="A37" s="29" t="s">
        <v>93</v>
      </c>
      <c r="B37" s="45"/>
      <c r="C37" s="48" t="s">
        <v>21</v>
      </c>
      <c r="D37" s="59">
        <f>SUM(D31:D36)</f>
        <v>100207.71</v>
      </c>
      <c r="E37" s="48" t="s">
        <v>21</v>
      </c>
      <c r="F37" s="59">
        <f>SUM(F31:F36)</f>
        <v>88791.06</v>
      </c>
      <c r="G37" s="48" t="s">
        <v>21</v>
      </c>
      <c r="H37" s="59">
        <f>SUM(H31:H36)</f>
        <v>119208.94</v>
      </c>
      <c r="I37" s="48" t="s">
        <v>21</v>
      </c>
      <c r="J37" s="59">
        <f>SUM(J31:J36)</f>
        <v>208000</v>
      </c>
      <c r="K37" s="48" t="s">
        <v>21</v>
      </c>
      <c r="L37" s="61">
        <f>SUM(L31:L36)</f>
        <v>197600</v>
      </c>
    </row>
    <row r="38" spans="1:12">
      <c r="A38" s="74" t="s">
        <v>94</v>
      </c>
      <c r="B38" s="75"/>
      <c r="C38" s="76"/>
      <c r="D38" s="71"/>
      <c r="E38" s="76"/>
      <c r="F38" s="71"/>
      <c r="G38" s="76"/>
      <c r="H38" s="71"/>
      <c r="I38" s="76"/>
      <c r="J38" s="71"/>
      <c r="K38" s="76"/>
      <c r="L38" s="79"/>
    </row>
    <row r="39" spans="1:12" customHeight="1" ht="15.75">
      <c r="A39" s="25" t="s">
        <v>115</v>
      </c>
      <c r="B39" s="21" t="s">
        <v>100</v>
      </c>
      <c r="C39" s="22" t="s">
        <v>21</v>
      </c>
      <c r="D39" s="30">
        <v>0</v>
      </c>
      <c r="E39" s="22" t="s">
        <v>21</v>
      </c>
      <c r="F39" s="30">
        <v>0</v>
      </c>
      <c r="G39" s="22" t="s">
        <v>21</v>
      </c>
      <c r="H39" s="30">
        <v>0</v>
      </c>
      <c r="I39" s="22" t="s">
        <v>21</v>
      </c>
      <c r="J39" s="30">
        <v>0</v>
      </c>
      <c r="K39" s="22" t="s">
        <v>21</v>
      </c>
      <c r="L39" s="31">
        <v>0</v>
      </c>
    </row>
    <row r="40" spans="1:12" customHeight="1" ht="15.75">
      <c r="A40" s="29" t="s">
        <v>103</v>
      </c>
      <c r="B40" s="21"/>
      <c r="C40" s="48" t="s">
        <v>21</v>
      </c>
      <c r="D40" s="63">
        <f>SUM(D39)</f>
        <v>0</v>
      </c>
      <c r="E40" s="48" t="s">
        <v>21</v>
      </c>
      <c r="F40" s="63">
        <f>SUM(F39)</f>
        <v>0</v>
      </c>
      <c r="G40" s="48" t="s">
        <v>21</v>
      </c>
      <c r="H40" s="63">
        <f>SUM(H39)</f>
        <v>0</v>
      </c>
      <c r="I40" s="48" t="s">
        <v>21</v>
      </c>
      <c r="J40" s="63">
        <f>SUM(J39)</f>
        <v>0</v>
      </c>
      <c r="K40" s="48" t="s">
        <v>21</v>
      </c>
      <c r="L40" s="64">
        <f>SUM(L39)</f>
        <v>0</v>
      </c>
    </row>
    <row r="41" spans="1:12" customHeight="1" ht="15.75">
      <c r="A41" s="49" t="s">
        <v>104</v>
      </c>
      <c r="B41" s="50"/>
      <c r="C41" s="51" t="s">
        <v>21</v>
      </c>
      <c r="D41" s="52">
        <f>D29+D37+D40</f>
        <v>597894.88</v>
      </c>
      <c r="E41" s="53" t="s">
        <v>21</v>
      </c>
      <c r="F41" s="52">
        <f>F29+F37+F40</f>
        <v>592209.84</v>
      </c>
      <c r="G41" s="53" t="s">
        <v>21</v>
      </c>
      <c r="H41" s="52">
        <f>H29+H37+H40</f>
        <v>631411.77</v>
      </c>
      <c r="I41" s="53" t="s">
        <v>21</v>
      </c>
      <c r="J41" s="52">
        <f>J29+J37+J40</f>
        <v>1223621.61</v>
      </c>
      <c r="K41" s="53" t="s">
        <v>21</v>
      </c>
      <c r="L41" s="65">
        <f>L29+L37+L40</f>
        <v>1410779.07</v>
      </c>
    </row>
    <row r="42" spans="1:12" customHeight="1" ht="15.75">
      <c r="A42" s="66"/>
      <c r="B42" s="67"/>
      <c r="C42" s="60"/>
      <c r="D42" s="68"/>
      <c r="E42" s="60"/>
      <c r="F42" s="68"/>
      <c r="G42" s="60"/>
      <c r="H42" s="68"/>
      <c r="I42" s="60"/>
      <c r="J42" s="68"/>
      <c r="K42" s="60"/>
      <c r="L42" s="68"/>
    </row>
    <row r="43" spans="1:12">
      <c r="A43" s="22" t="s">
        <v>105</v>
      </c>
      <c r="B43" s="22" t="s">
        <v>106</v>
      </c>
      <c r="C43" s="22"/>
      <c r="D43" s="22"/>
      <c r="E43" s="22"/>
      <c r="F43" s="22"/>
      <c r="G43" s="22" t="s">
        <v>107</v>
      </c>
      <c r="H43" s="22"/>
    </row>
    <row r="45" spans="1:12">
      <c r="A45" s="44" t="s">
        <v>116</v>
      </c>
      <c r="B45" s="54" t="s">
        <v>109</v>
      </c>
      <c r="C45" s="54"/>
      <c r="D45" s="54"/>
      <c r="E45" s="54"/>
      <c r="F45" s="54"/>
      <c r="G45" s="55"/>
      <c r="H45" s="54" t="s">
        <v>117</v>
      </c>
      <c r="I45" s="54"/>
      <c r="J45" s="54"/>
      <c r="K45" s="54"/>
      <c r="L45" s="54"/>
    </row>
    <row r="46" spans="1:12">
      <c r="A46" s="56" t="s">
        <v>118</v>
      </c>
      <c r="B46" s="57" t="s">
        <v>112</v>
      </c>
      <c r="C46" s="57"/>
      <c r="D46" s="57"/>
      <c r="E46" s="57"/>
      <c r="F46" s="57"/>
      <c r="G46" s="22"/>
      <c r="H46" s="57" t="s">
        <v>111</v>
      </c>
      <c r="I46" s="57"/>
      <c r="J46" s="57"/>
      <c r="K46" s="57"/>
      <c r="L46" s="5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45:F45"/>
    <mergeCell ref="H45:L45"/>
    <mergeCell ref="B46:F46"/>
    <mergeCell ref="H46:L46"/>
    <mergeCell ref="C10:D10"/>
    <mergeCell ref="E10:F10"/>
    <mergeCell ref="G10:H10"/>
    <mergeCell ref="K10:L10"/>
    <mergeCell ref="A1:L1"/>
    <mergeCell ref="A2:L2"/>
    <mergeCell ref="C8:D8"/>
    <mergeCell ref="E8:J8"/>
    <mergeCell ref="K8:L8"/>
    <mergeCell ref="C9:D9"/>
    <mergeCell ref="E9:F9"/>
    <mergeCell ref="G9:H9"/>
    <mergeCell ref="I9:J10"/>
    <mergeCell ref="K9:L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0" workbookViewId="0" showGridLines="true" showRowColHeaders="1">
      <selection activeCell="Q57" sqref="Q57"/>
    </sheetView>
  </sheetViews>
  <sheetFormatPr defaultRowHeight="14.4" outlineLevelRow="0" outlineLevelCol="0"/>
  <cols>
    <col min="1" max="1" width="54.42578125" customWidth="true" style="0"/>
    <col min="2" max="2" width="13.28515625" customWidth="true" style="0"/>
    <col min="3" max="3" width="2.140625" customWidth="true" style="0"/>
    <col min="4" max="4" width="11.28515625" customWidth="true" style="0"/>
    <col min="5" max="5" width="2.7109375" customWidth="true" style="0"/>
    <col min="6" max="6" width="11.7109375" customWidth="true" style="0"/>
    <col min="7" max="7" width="2.7109375" customWidth="true" style="0"/>
    <col min="8" max="8" width="13.140625" customWidth="true" style="0"/>
    <col min="9" max="9" width="2.28515625" customWidth="true" style="0"/>
    <col min="10" max="10" width="11.5703125" customWidth="true" style="0"/>
    <col min="11" max="11" width="2.140625" customWidth="true" style="0"/>
    <col min="12" max="12" width="11.5703125" customWidth="true" style="0"/>
  </cols>
  <sheetData>
    <row r="1" spans="1:12" customHeight="1" ht="15.7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>
      <c r="A4" s="4" t="s">
        <v>2</v>
      </c>
      <c r="D4" t="s">
        <v>113</v>
      </c>
    </row>
    <row r="5" spans="1:12">
      <c r="A5" s="4" t="s">
        <v>4</v>
      </c>
      <c r="D5" s="4" t="s">
        <v>119</v>
      </c>
    </row>
    <row r="6" spans="1:12">
      <c r="A6" s="4" t="s">
        <v>6</v>
      </c>
      <c r="F6" s="4"/>
    </row>
    <row r="7" spans="1:12" customHeight="1" ht="15.75"/>
    <row r="8" spans="1:12">
      <c r="A8" s="5"/>
      <c r="B8" s="6"/>
      <c r="C8" s="7" t="s">
        <v>7</v>
      </c>
      <c r="D8" s="7"/>
      <c r="E8" s="8" t="s">
        <v>8</v>
      </c>
      <c r="F8" s="8"/>
      <c r="G8" s="8"/>
      <c r="H8" s="8"/>
      <c r="I8" s="8"/>
      <c r="J8" s="8"/>
      <c r="K8" s="7" t="s">
        <v>9</v>
      </c>
      <c r="L8" s="9"/>
    </row>
    <row r="9" spans="1:12">
      <c r="A9" s="10" t="s">
        <v>10</v>
      </c>
      <c r="B9" s="11" t="s">
        <v>11</v>
      </c>
      <c r="C9" s="12">
        <v>2021</v>
      </c>
      <c r="D9" s="12"/>
      <c r="E9" s="12" t="s">
        <v>12</v>
      </c>
      <c r="F9" s="12"/>
      <c r="G9" s="12" t="s">
        <v>13</v>
      </c>
      <c r="H9" s="12"/>
      <c r="I9" s="13" t="s">
        <v>14</v>
      </c>
      <c r="J9" s="13"/>
      <c r="K9" s="12">
        <v>2023</v>
      </c>
      <c r="L9" s="14"/>
    </row>
    <row r="10" spans="1:12" customHeight="1" ht="15.75">
      <c r="A10" s="15"/>
      <c r="B10" s="16"/>
      <c r="C10" s="17" t="s">
        <v>15</v>
      </c>
      <c r="D10" s="17"/>
      <c r="E10" s="17" t="s">
        <v>15</v>
      </c>
      <c r="F10" s="17"/>
      <c r="G10" s="17" t="s">
        <v>16</v>
      </c>
      <c r="H10" s="17"/>
      <c r="I10" s="18"/>
      <c r="J10" s="18"/>
      <c r="K10" s="17" t="s">
        <v>17</v>
      </c>
      <c r="L10" s="19"/>
    </row>
    <row r="11" spans="1:12">
      <c r="A11" s="20" t="s">
        <v>18</v>
      </c>
      <c r="B11" s="21"/>
      <c r="C11" s="73"/>
      <c r="D11" s="23"/>
      <c r="E11" s="73"/>
      <c r="F11" s="23"/>
      <c r="G11" s="73"/>
      <c r="H11" s="23"/>
      <c r="I11" s="73"/>
      <c r="J11" s="23"/>
      <c r="K11" s="73"/>
      <c r="L11" s="24"/>
    </row>
    <row r="12" spans="1:12">
      <c r="A12" s="25" t="s">
        <v>19</v>
      </c>
      <c r="B12" s="21" t="s">
        <v>20</v>
      </c>
      <c r="C12" s="73" t="s">
        <v>21</v>
      </c>
      <c r="D12" s="26">
        <v>2127573.33</v>
      </c>
      <c r="E12" s="73" t="s">
        <v>21</v>
      </c>
      <c r="F12" s="26">
        <v>1109198</v>
      </c>
      <c r="G12" s="73" t="s">
        <v>21</v>
      </c>
      <c r="H12" s="26">
        <f>J12-F12</f>
        <v>1262760.91</v>
      </c>
      <c r="I12" s="73" t="s">
        <v>21</v>
      </c>
      <c r="J12" s="26">
        <v>2371958.91</v>
      </c>
      <c r="K12" s="73" t="s">
        <v>21</v>
      </c>
      <c r="L12" s="28">
        <v>2452680</v>
      </c>
    </row>
    <row r="13" spans="1:12">
      <c r="A13" s="29" t="s">
        <v>22</v>
      </c>
      <c r="B13" s="21"/>
      <c r="C13" s="73"/>
      <c r="D13" s="30"/>
      <c r="E13" s="73"/>
      <c r="F13" s="30"/>
      <c r="G13" s="73"/>
      <c r="H13" s="30"/>
      <c r="I13" s="73"/>
      <c r="J13" s="30"/>
      <c r="K13" s="73"/>
      <c r="L13" s="31"/>
    </row>
    <row r="14" spans="1:12">
      <c r="A14" s="25" t="s">
        <v>23</v>
      </c>
      <c r="B14" s="21" t="s">
        <v>24</v>
      </c>
      <c r="C14" s="73"/>
      <c r="D14" s="26">
        <v>96000</v>
      </c>
      <c r="E14" s="73"/>
      <c r="F14" s="30">
        <v>50000</v>
      </c>
      <c r="G14" s="73"/>
      <c r="H14" s="26">
        <f>J14-F14</f>
        <v>65032.26</v>
      </c>
      <c r="I14" s="73"/>
      <c r="J14" s="30">
        <v>115032.26</v>
      </c>
      <c r="K14" s="73"/>
      <c r="L14" s="31">
        <v>120000</v>
      </c>
    </row>
    <row r="15" spans="1:12">
      <c r="A15" s="25" t="s">
        <v>25</v>
      </c>
      <c r="B15" s="21" t="s">
        <v>26</v>
      </c>
      <c r="C15" s="73"/>
      <c r="D15" s="32">
        <v>153600</v>
      </c>
      <c r="E15" s="73"/>
      <c r="F15" s="32">
        <v>76800</v>
      </c>
      <c r="G15" s="73"/>
      <c r="H15" s="26">
        <f>J15-F15</f>
        <v>76800</v>
      </c>
      <c r="I15" s="73"/>
      <c r="J15" s="32">
        <v>153600</v>
      </c>
      <c r="K15" s="73"/>
      <c r="L15" s="33">
        <v>153600</v>
      </c>
    </row>
    <row r="16" spans="1:12">
      <c r="A16" s="25" t="s">
        <v>27</v>
      </c>
      <c r="B16" s="21" t="s">
        <v>28</v>
      </c>
      <c r="C16" s="73"/>
      <c r="D16" s="32">
        <v>153600</v>
      </c>
      <c r="E16" s="73"/>
      <c r="F16" s="32">
        <v>76800</v>
      </c>
      <c r="G16" s="73"/>
      <c r="H16" s="26">
        <f>J16-F16</f>
        <v>76800</v>
      </c>
      <c r="I16" s="73"/>
      <c r="J16" s="32">
        <v>153600</v>
      </c>
      <c r="K16" s="73"/>
      <c r="L16" s="33">
        <v>153600</v>
      </c>
    </row>
    <row r="17" spans="1:12">
      <c r="A17" s="25" t="s">
        <v>29</v>
      </c>
      <c r="B17" s="21" t="s">
        <v>30</v>
      </c>
      <c r="C17" s="73"/>
      <c r="D17" s="32">
        <v>24000</v>
      </c>
      <c r="E17" s="73"/>
      <c r="F17" s="32">
        <v>24000</v>
      </c>
      <c r="G17" s="73"/>
      <c r="H17" s="26">
        <f>J17-F17</f>
        <v>6000</v>
      </c>
      <c r="I17" s="73"/>
      <c r="J17" s="32">
        <v>30000</v>
      </c>
      <c r="K17" s="73"/>
      <c r="L17" s="33">
        <v>30000</v>
      </c>
    </row>
    <row r="18" spans="1:12">
      <c r="A18" s="25" t="s">
        <v>31</v>
      </c>
      <c r="B18" s="21" t="s">
        <v>32</v>
      </c>
      <c r="C18" s="73"/>
      <c r="D18" s="32">
        <v>20000</v>
      </c>
      <c r="E18" s="73"/>
      <c r="F18" s="32">
        <v>0</v>
      </c>
      <c r="G18" s="73"/>
      <c r="H18" s="26">
        <f>J18-F18</f>
        <v>25000</v>
      </c>
      <c r="I18" s="73"/>
      <c r="J18" s="69">
        <v>25000</v>
      </c>
      <c r="K18" s="73"/>
      <c r="L18" s="70">
        <v>25000</v>
      </c>
    </row>
    <row r="19" spans="1:12">
      <c r="A19" s="25" t="s">
        <v>33</v>
      </c>
      <c r="B19" s="21" t="s">
        <v>34</v>
      </c>
      <c r="C19" s="73"/>
      <c r="D19" s="32">
        <v>40000</v>
      </c>
      <c r="E19" s="73"/>
      <c r="F19" s="32">
        <v>0</v>
      </c>
      <c r="G19" s="73"/>
      <c r="H19" s="26">
        <f>J19-F19</f>
        <v>10000</v>
      </c>
      <c r="I19" s="73"/>
      <c r="J19" s="69">
        <v>10000</v>
      </c>
      <c r="K19" s="73"/>
      <c r="L19" s="70">
        <v>50000</v>
      </c>
    </row>
    <row r="20" spans="1:12">
      <c r="A20" s="25" t="s">
        <v>35</v>
      </c>
      <c r="B20" s="21" t="s">
        <v>36</v>
      </c>
      <c r="C20" s="73"/>
      <c r="D20" s="32">
        <v>177607</v>
      </c>
      <c r="E20" s="73"/>
      <c r="F20" s="32">
        <v>0</v>
      </c>
      <c r="G20" s="73"/>
      <c r="H20" s="26">
        <f>J20-F20</f>
        <v>201983</v>
      </c>
      <c r="I20" s="73"/>
      <c r="J20" s="32">
        <v>201983</v>
      </c>
      <c r="K20" s="73"/>
      <c r="L20" s="33">
        <v>204390</v>
      </c>
    </row>
    <row r="21" spans="1:12">
      <c r="A21" s="25" t="s">
        <v>37</v>
      </c>
      <c r="B21" s="21" t="s">
        <v>38</v>
      </c>
      <c r="C21" s="73"/>
      <c r="D21" s="32">
        <v>20000</v>
      </c>
      <c r="E21" s="73"/>
      <c r="F21" s="32">
        <v>0</v>
      </c>
      <c r="G21" s="73"/>
      <c r="H21" s="26">
        <f>J21-F21</f>
        <v>25000</v>
      </c>
      <c r="I21" s="73"/>
      <c r="J21" s="32">
        <v>25000</v>
      </c>
      <c r="K21" s="73"/>
      <c r="L21" s="33">
        <v>25000</v>
      </c>
    </row>
    <row r="22" spans="1:12">
      <c r="A22" s="25" t="s">
        <v>39</v>
      </c>
      <c r="B22" s="21" t="s">
        <v>40</v>
      </c>
      <c r="C22" s="73"/>
      <c r="D22" s="32">
        <v>177607</v>
      </c>
      <c r="E22" s="73"/>
      <c r="F22" s="32">
        <v>180186</v>
      </c>
      <c r="G22" s="73"/>
      <c r="H22" s="26">
        <f>J22-F22</f>
        <v>0</v>
      </c>
      <c r="I22" s="73"/>
      <c r="J22" s="32">
        <v>180186</v>
      </c>
      <c r="K22" s="73"/>
      <c r="L22" s="33">
        <v>204390</v>
      </c>
    </row>
    <row r="23" spans="1:12">
      <c r="A23" s="29" t="s">
        <v>41</v>
      </c>
      <c r="B23" s="21"/>
      <c r="C23" s="73"/>
      <c r="D23" s="30"/>
      <c r="E23" s="73"/>
      <c r="F23" s="30"/>
      <c r="G23" s="73"/>
      <c r="H23" s="71"/>
      <c r="I23" s="73"/>
      <c r="J23" s="30"/>
      <c r="K23" s="73"/>
      <c r="L23" s="31"/>
    </row>
    <row r="24" spans="1:12">
      <c r="A24" s="25" t="s">
        <v>42</v>
      </c>
      <c r="B24" s="21" t="s">
        <v>43</v>
      </c>
      <c r="C24" s="73"/>
      <c r="D24" s="30">
        <v>255308.8</v>
      </c>
      <c r="E24" s="73"/>
      <c r="F24" s="30">
        <v>133103.76</v>
      </c>
      <c r="G24" s="73"/>
      <c r="H24" s="26">
        <f>J24-F24</f>
        <v>151531.31</v>
      </c>
      <c r="I24" s="73"/>
      <c r="J24" s="30">
        <v>284635.07</v>
      </c>
      <c r="K24" s="73"/>
      <c r="L24" s="31">
        <v>294321.6</v>
      </c>
    </row>
    <row r="25" spans="1:12">
      <c r="A25" s="25" t="s">
        <v>44</v>
      </c>
      <c r="B25" s="21" t="s">
        <v>45</v>
      </c>
      <c r="C25" s="73"/>
      <c r="D25" s="32">
        <v>4800</v>
      </c>
      <c r="E25" s="73"/>
      <c r="F25" s="32">
        <v>2500</v>
      </c>
      <c r="G25" s="73"/>
      <c r="H25" s="26">
        <f>J25-F25</f>
        <v>3251.61</v>
      </c>
      <c r="I25" s="73"/>
      <c r="J25" s="32">
        <v>5751.61</v>
      </c>
      <c r="K25" s="73"/>
      <c r="L25" s="33">
        <v>6000</v>
      </c>
    </row>
    <row r="26" spans="1:12">
      <c r="A26" s="25" t="s">
        <v>46</v>
      </c>
      <c r="B26" s="21" t="s">
        <v>47</v>
      </c>
      <c r="C26" s="73"/>
      <c r="D26" s="32">
        <v>25369.56</v>
      </c>
      <c r="E26" s="73"/>
      <c r="F26" s="32">
        <v>14583.59</v>
      </c>
      <c r="G26" s="73"/>
      <c r="H26" s="26">
        <f>J26-F26</f>
        <v>13800.22</v>
      </c>
      <c r="I26" s="73"/>
      <c r="J26" s="32">
        <v>28383.81</v>
      </c>
      <c r="K26" s="73"/>
      <c r="L26" s="33">
        <v>55185.3</v>
      </c>
    </row>
    <row r="27" spans="1:12">
      <c r="A27" s="25" t="s">
        <v>48</v>
      </c>
      <c r="B27" s="21" t="s">
        <v>49</v>
      </c>
      <c r="C27" s="73"/>
      <c r="D27" s="32">
        <v>4764.84</v>
      </c>
      <c r="E27" s="73"/>
      <c r="F27" s="32">
        <v>2500</v>
      </c>
      <c r="G27" s="73"/>
      <c r="H27" s="26">
        <f>J27-F27</f>
        <v>3251.61</v>
      </c>
      <c r="I27" s="73"/>
      <c r="J27" s="32">
        <v>5751.61</v>
      </c>
      <c r="K27" s="73"/>
      <c r="L27" s="33">
        <v>6000</v>
      </c>
    </row>
    <row r="28" spans="1:12">
      <c r="A28" s="29" t="s">
        <v>50</v>
      </c>
      <c r="B28" s="21"/>
      <c r="C28" s="27"/>
      <c r="D28" s="30"/>
      <c r="E28" s="73"/>
      <c r="F28" s="30"/>
      <c r="G28" s="73"/>
      <c r="H28" s="71"/>
      <c r="I28" s="73"/>
      <c r="J28" s="30"/>
      <c r="K28" s="73"/>
      <c r="L28" s="31"/>
    </row>
    <row r="29" spans="1:12">
      <c r="A29" s="34" t="s">
        <v>51</v>
      </c>
      <c r="B29" s="21" t="s">
        <v>52</v>
      </c>
      <c r="C29" s="73"/>
      <c r="D29" s="26">
        <v>0</v>
      </c>
      <c r="E29" s="73"/>
      <c r="F29" s="26">
        <v>0</v>
      </c>
      <c r="G29" s="73"/>
      <c r="H29" s="26">
        <f>J29-F29</f>
        <v>561915.32</v>
      </c>
      <c r="I29" s="73"/>
      <c r="J29" s="26">
        <v>561915.32</v>
      </c>
      <c r="K29" s="73"/>
      <c r="L29" s="28">
        <v>0</v>
      </c>
    </row>
    <row r="30" spans="1:12" customHeight="1" ht="15.75">
      <c r="A30" s="34" t="s">
        <v>53</v>
      </c>
      <c r="B30" s="21" t="s">
        <v>54</v>
      </c>
      <c r="C30" s="73"/>
      <c r="D30" s="35">
        <v>5000</v>
      </c>
      <c r="E30" s="73"/>
      <c r="F30" s="35">
        <v>0</v>
      </c>
      <c r="G30" s="73"/>
      <c r="H30" s="35">
        <v>0</v>
      </c>
      <c r="I30" s="73"/>
      <c r="J30" s="35">
        <v>0</v>
      </c>
      <c r="K30" s="73"/>
      <c r="L30" s="46">
        <v>0</v>
      </c>
    </row>
    <row r="31" spans="1:12">
      <c r="A31" s="29" t="s">
        <v>55</v>
      </c>
      <c r="B31" s="45"/>
      <c r="C31" s="58" t="s">
        <v>21</v>
      </c>
      <c r="D31" s="59">
        <f>SUM(D12:D30)</f>
        <v>3285230.53</v>
      </c>
      <c r="E31" s="60" t="s">
        <v>21</v>
      </c>
      <c r="F31" s="59">
        <f>SUM(F12:F30)</f>
        <v>1669671.35</v>
      </c>
      <c r="G31" s="60" t="s">
        <v>21</v>
      </c>
      <c r="H31" s="59">
        <f>SUM(H12:H30)</f>
        <v>2483126.24</v>
      </c>
      <c r="I31" s="60" t="s">
        <v>21</v>
      </c>
      <c r="J31" s="59">
        <f>SUM(J12:J30)</f>
        <v>4152797.59</v>
      </c>
      <c r="K31" s="60" t="s">
        <v>21</v>
      </c>
      <c r="L31" s="61">
        <f>SUM(L12:L30)</f>
        <v>3780166.9</v>
      </c>
    </row>
    <row r="32" spans="1:12">
      <c r="A32" s="74" t="s">
        <v>56</v>
      </c>
      <c r="B32" s="75"/>
      <c r="C32" s="76"/>
      <c r="D32" s="77"/>
      <c r="E32" s="76"/>
      <c r="F32" s="77"/>
      <c r="G32" s="76"/>
      <c r="H32" s="77"/>
      <c r="I32" s="76"/>
      <c r="J32" s="77"/>
      <c r="K32" s="76"/>
      <c r="L32" s="78"/>
    </row>
    <row r="33" spans="1:12">
      <c r="A33" s="25" t="s">
        <v>57</v>
      </c>
      <c r="B33" s="21" t="s">
        <v>58</v>
      </c>
      <c r="C33" s="73" t="s">
        <v>21</v>
      </c>
      <c r="D33" s="30">
        <v>6900</v>
      </c>
      <c r="E33" s="73" t="s">
        <v>21</v>
      </c>
      <c r="F33" s="30">
        <v>93961</v>
      </c>
      <c r="G33" s="73" t="s">
        <v>21</v>
      </c>
      <c r="H33" s="30">
        <f>J33-F33</f>
        <v>75489</v>
      </c>
      <c r="I33" s="73" t="s">
        <v>21</v>
      </c>
      <c r="J33" s="30">
        <v>169450</v>
      </c>
      <c r="K33" s="73" t="s">
        <v>21</v>
      </c>
      <c r="L33" s="31">
        <v>150000</v>
      </c>
    </row>
    <row r="34" spans="1:12">
      <c r="A34" s="25" t="s">
        <v>59</v>
      </c>
      <c r="B34" s="21" t="s">
        <v>60</v>
      </c>
      <c r="C34" s="73"/>
      <c r="D34" s="32">
        <v>0</v>
      </c>
      <c r="E34" s="73"/>
      <c r="F34" s="32">
        <v>11000</v>
      </c>
      <c r="G34" s="73"/>
      <c r="H34" s="32">
        <f>J34-F34</f>
        <v>11000</v>
      </c>
      <c r="I34" s="73"/>
      <c r="J34" s="32">
        <v>22000</v>
      </c>
      <c r="K34" s="73"/>
      <c r="L34" s="33">
        <v>22000</v>
      </c>
    </row>
    <row r="35" spans="1:12">
      <c r="A35" s="25" t="s">
        <v>61</v>
      </c>
      <c r="B35" s="21" t="s">
        <v>62</v>
      </c>
      <c r="C35" s="73"/>
      <c r="D35" s="32">
        <v>399999.98</v>
      </c>
      <c r="E35" s="73"/>
      <c r="F35" s="32">
        <v>207732</v>
      </c>
      <c r="G35" s="73"/>
      <c r="H35" s="32">
        <f>J35-F35</f>
        <v>150268</v>
      </c>
      <c r="I35" s="73"/>
      <c r="J35" s="32">
        <v>358000</v>
      </c>
      <c r="K35" s="73"/>
      <c r="L35" s="33">
        <v>300000</v>
      </c>
    </row>
    <row r="36" spans="1:12">
      <c r="A36" s="25" t="s">
        <v>63</v>
      </c>
      <c r="B36" s="21" t="s">
        <v>64</v>
      </c>
      <c r="C36" s="73"/>
      <c r="D36" s="32">
        <v>117450</v>
      </c>
      <c r="E36" s="73"/>
      <c r="F36" s="32">
        <v>60400</v>
      </c>
      <c r="G36" s="73"/>
      <c r="H36" s="32">
        <f>J36-F36</f>
        <v>39600</v>
      </c>
      <c r="I36" s="73"/>
      <c r="J36" s="32">
        <v>100000</v>
      </c>
      <c r="K36" s="73"/>
      <c r="L36" s="33">
        <v>100000</v>
      </c>
    </row>
    <row r="37" spans="1:12">
      <c r="A37" s="25" t="s">
        <v>69</v>
      </c>
      <c r="B37" s="21" t="s">
        <v>70</v>
      </c>
      <c r="C37" s="73"/>
      <c r="D37" s="32">
        <v>0</v>
      </c>
      <c r="E37" s="73"/>
      <c r="F37" s="32">
        <v>0</v>
      </c>
      <c r="G37" s="73"/>
      <c r="H37" s="32">
        <f>J37-F37</f>
        <v>2500</v>
      </c>
      <c r="I37" s="73"/>
      <c r="J37" s="32">
        <v>2500</v>
      </c>
      <c r="K37" s="73"/>
      <c r="L37" s="33">
        <v>5000</v>
      </c>
    </row>
    <row r="38" spans="1:12">
      <c r="A38" s="25" t="s">
        <v>71</v>
      </c>
      <c r="B38" s="21" t="s">
        <v>72</v>
      </c>
      <c r="C38" s="73"/>
      <c r="D38" s="32">
        <v>140756.02</v>
      </c>
      <c r="E38" s="73"/>
      <c r="F38" s="32">
        <v>73593.91</v>
      </c>
      <c r="G38" s="73"/>
      <c r="H38" s="32">
        <f>J38-F38</f>
        <v>118406.09</v>
      </c>
      <c r="I38" s="73"/>
      <c r="J38" s="32">
        <v>192000</v>
      </c>
      <c r="K38" s="73"/>
      <c r="L38" s="33">
        <v>192000</v>
      </c>
    </row>
    <row r="39" spans="1:12">
      <c r="A39" s="25" t="s">
        <v>73</v>
      </c>
      <c r="B39" s="21" t="s">
        <v>74</v>
      </c>
      <c r="C39" s="73"/>
      <c r="D39" s="32">
        <v>36762.89</v>
      </c>
      <c r="E39" s="73"/>
      <c r="F39" s="32">
        <v>16535.49</v>
      </c>
      <c r="G39" s="73"/>
      <c r="H39" s="32">
        <f>J39-F39</f>
        <v>33464.51</v>
      </c>
      <c r="I39" s="73"/>
      <c r="J39" s="32">
        <v>50000</v>
      </c>
      <c r="K39" s="73"/>
      <c r="L39" s="33">
        <v>50000</v>
      </c>
    </row>
    <row r="40" spans="1:12">
      <c r="A40" s="25" t="s">
        <v>77</v>
      </c>
      <c r="B40" s="21" t="s">
        <v>78</v>
      </c>
      <c r="C40" s="73"/>
      <c r="D40" s="32">
        <v>60000</v>
      </c>
      <c r="E40" s="73"/>
      <c r="F40" s="32">
        <v>30000</v>
      </c>
      <c r="G40" s="73"/>
      <c r="H40" s="32">
        <f>J40-F40</f>
        <v>30000</v>
      </c>
      <c r="I40" s="73"/>
      <c r="J40" s="32">
        <v>60000</v>
      </c>
      <c r="K40" s="73"/>
      <c r="L40" s="33">
        <v>60000</v>
      </c>
    </row>
    <row r="41" spans="1:12">
      <c r="A41" s="25" t="s">
        <v>79</v>
      </c>
      <c r="B41" s="21" t="s">
        <v>80</v>
      </c>
      <c r="C41" s="73"/>
      <c r="D41" s="32">
        <v>484800</v>
      </c>
      <c r="E41" s="73"/>
      <c r="F41" s="32">
        <v>196920</v>
      </c>
      <c r="G41" s="73"/>
      <c r="H41" s="32">
        <f>J41-F41</f>
        <v>214480</v>
      </c>
      <c r="I41" s="73"/>
      <c r="J41" s="32">
        <v>411400</v>
      </c>
      <c r="K41" s="73"/>
      <c r="L41" s="33">
        <v>411400</v>
      </c>
    </row>
    <row r="42" spans="1:12">
      <c r="A42" s="25" t="s">
        <v>81</v>
      </c>
      <c r="B42" s="21" t="s">
        <v>82</v>
      </c>
      <c r="C42" s="73"/>
      <c r="D42" s="32">
        <v>4200</v>
      </c>
      <c r="E42" s="73"/>
      <c r="F42" s="32">
        <v>24500</v>
      </c>
      <c r="G42" s="73"/>
      <c r="H42" s="32">
        <f>J42-F42</f>
        <v>25500</v>
      </c>
      <c r="I42" s="73"/>
      <c r="J42" s="32">
        <v>50000</v>
      </c>
      <c r="K42" s="73"/>
      <c r="L42" s="33">
        <v>50000</v>
      </c>
    </row>
    <row r="43" spans="1:12">
      <c r="A43" s="25" t="s">
        <v>83</v>
      </c>
      <c r="B43" s="21" t="s">
        <v>84</v>
      </c>
      <c r="C43" s="73"/>
      <c r="D43" s="32">
        <v>4950</v>
      </c>
      <c r="E43" s="73"/>
      <c r="F43" s="32">
        <v>5000</v>
      </c>
      <c r="G43" s="73"/>
      <c r="H43" s="32">
        <f>J43-F43</f>
        <v>20000</v>
      </c>
      <c r="I43" s="73"/>
      <c r="J43" s="32">
        <v>25000</v>
      </c>
      <c r="K43" s="73"/>
      <c r="L43" s="33">
        <v>40000</v>
      </c>
    </row>
    <row r="44" spans="1:12">
      <c r="A44" s="25" t="s">
        <v>85</v>
      </c>
      <c r="B44" s="21" t="s">
        <v>86</v>
      </c>
      <c r="C44" s="73"/>
      <c r="D44" s="32">
        <v>0</v>
      </c>
      <c r="E44" s="73"/>
      <c r="F44" s="32">
        <v>0</v>
      </c>
      <c r="G44" s="73"/>
      <c r="H44" s="32">
        <f>J44-F44</f>
        <v>26250</v>
      </c>
      <c r="I44" s="73"/>
      <c r="J44" s="32">
        <v>26250</v>
      </c>
      <c r="K44" s="73"/>
      <c r="L44" s="33">
        <v>52500</v>
      </c>
    </row>
    <row r="45" spans="1:12" customHeight="1" ht="15.75">
      <c r="A45" s="25" t="s">
        <v>91</v>
      </c>
      <c r="B45" s="21" t="s">
        <v>92</v>
      </c>
      <c r="C45" s="73"/>
      <c r="D45" s="35">
        <v>874556.56</v>
      </c>
      <c r="E45" s="73"/>
      <c r="F45" s="35">
        <v>316638</v>
      </c>
      <c r="G45" s="73"/>
      <c r="H45" s="36">
        <f>J45-F45</f>
        <v>349662</v>
      </c>
      <c r="I45" s="73"/>
      <c r="J45" s="35">
        <v>666300</v>
      </c>
      <c r="K45" s="73"/>
      <c r="L45" s="46">
        <v>700000</v>
      </c>
    </row>
    <row r="46" spans="1:12">
      <c r="A46" s="29" t="s">
        <v>93</v>
      </c>
      <c r="B46" s="45"/>
      <c r="C46" s="60" t="s">
        <v>21</v>
      </c>
      <c r="D46" s="59">
        <f>SUM(D33:D45)</f>
        <v>2130375.45</v>
      </c>
      <c r="E46" s="60" t="s">
        <v>21</v>
      </c>
      <c r="F46" s="59">
        <f>SUM(F33:F45)</f>
        <v>1036280.4</v>
      </c>
      <c r="G46" s="60" t="s">
        <v>21</v>
      </c>
      <c r="H46" s="59">
        <f>SUM(H33:H45)</f>
        <v>1096619.6</v>
      </c>
      <c r="I46" s="60" t="s">
        <v>21</v>
      </c>
      <c r="J46" s="59">
        <f>SUM(J33:J45)</f>
        <v>2132900</v>
      </c>
      <c r="K46" s="60" t="s">
        <v>21</v>
      </c>
      <c r="L46" s="61">
        <f>SUM(L33:L45)</f>
        <v>2132900</v>
      </c>
    </row>
    <row r="47" spans="1:12">
      <c r="A47" s="74" t="s">
        <v>94</v>
      </c>
      <c r="B47" s="75"/>
      <c r="C47" s="76"/>
      <c r="D47" s="71"/>
      <c r="E47" s="76"/>
      <c r="F47" s="71"/>
      <c r="G47" s="76"/>
      <c r="H47" s="71"/>
      <c r="I47" s="76"/>
      <c r="J47" s="71"/>
      <c r="K47" s="76"/>
      <c r="L47" s="79"/>
    </row>
    <row r="48" spans="1:12" customHeight="1" ht="15.75">
      <c r="A48" s="25" t="s">
        <v>115</v>
      </c>
      <c r="B48" s="21" t="s">
        <v>100</v>
      </c>
      <c r="C48" s="73" t="s">
        <v>21</v>
      </c>
      <c r="D48" s="30">
        <v>137500</v>
      </c>
      <c r="E48" s="73" t="s">
        <v>21</v>
      </c>
      <c r="F48" s="30">
        <v>80000</v>
      </c>
      <c r="G48" s="73" t="s">
        <v>21</v>
      </c>
      <c r="H48" s="30">
        <f>J48-F48</f>
        <v>220000</v>
      </c>
      <c r="I48" s="73" t="s">
        <v>21</v>
      </c>
      <c r="J48" s="30">
        <v>300000</v>
      </c>
      <c r="K48" s="73" t="s">
        <v>21</v>
      </c>
      <c r="L48" s="31">
        <v>300000</v>
      </c>
    </row>
    <row r="49" spans="1:12" customHeight="1" ht="15.75">
      <c r="A49" s="29" t="s">
        <v>103</v>
      </c>
      <c r="B49" s="21"/>
      <c r="C49" s="60" t="s">
        <v>21</v>
      </c>
      <c r="D49" s="63">
        <f>SUM(D48:D48)</f>
        <v>137500</v>
      </c>
      <c r="E49" s="60" t="s">
        <v>21</v>
      </c>
      <c r="F49" s="63">
        <f>SUM(F48)</f>
        <v>80000</v>
      </c>
      <c r="G49" s="60" t="s">
        <v>21</v>
      </c>
      <c r="H49" s="63">
        <f>SUM(H48:H48)</f>
        <v>220000</v>
      </c>
      <c r="I49" s="60" t="s">
        <v>21</v>
      </c>
      <c r="J49" s="63">
        <f>SUM(J48:J48)</f>
        <v>300000</v>
      </c>
      <c r="K49" s="60" t="s">
        <v>21</v>
      </c>
      <c r="L49" s="64">
        <f>SUM(L48)</f>
        <v>300000</v>
      </c>
    </row>
    <row r="50" spans="1:12" customHeight="1" ht="15.75">
      <c r="A50" s="49" t="s">
        <v>104</v>
      </c>
      <c r="B50" s="50"/>
      <c r="C50" s="51" t="s">
        <v>21</v>
      </c>
      <c r="D50" s="52">
        <f>D31+D46+D49</f>
        <v>5553105.98</v>
      </c>
      <c r="E50" s="53" t="s">
        <v>21</v>
      </c>
      <c r="F50" s="52">
        <f>F31+F46+F49</f>
        <v>2785951.75</v>
      </c>
      <c r="G50" s="53" t="s">
        <v>21</v>
      </c>
      <c r="H50" s="52">
        <f>H31+H46+H49</f>
        <v>3799745.84</v>
      </c>
      <c r="I50" s="53" t="s">
        <v>21</v>
      </c>
      <c r="J50" s="52">
        <f>J31+J46+J49</f>
        <v>6585697.59</v>
      </c>
      <c r="K50" s="53" t="s">
        <v>21</v>
      </c>
      <c r="L50" s="65">
        <f>L31+L46+L49</f>
        <v>6213066.9</v>
      </c>
    </row>
    <row r="51" spans="1:12" customHeight="1" ht="15.75">
      <c r="A51" s="66"/>
      <c r="B51" s="67"/>
      <c r="C51" s="60"/>
      <c r="D51" s="68"/>
      <c r="E51" s="60"/>
      <c r="F51" s="68"/>
      <c r="G51" s="60"/>
      <c r="H51" s="68"/>
      <c r="I51" s="60"/>
      <c r="J51" s="68"/>
      <c r="K51" s="60"/>
      <c r="L51" s="68"/>
    </row>
    <row r="52" spans="1:12">
      <c r="A52" s="22" t="s">
        <v>105</v>
      </c>
      <c r="B52" s="22" t="s">
        <v>106</v>
      </c>
      <c r="C52" s="22"/>
      <c r="D52" s="22"/>
      <c r="E52" s="22"/>
      <c r="F52" s="22"/>
      <c r="G52" s="22" t="s">
        <v>107</v>
      </c>
      <c r="H52" s="22"/>
    </row>
    <row r="54" spans="1:12">
      <c r="A54" s="44" t="s">
        <v>120</v>
      </c>
      <c r="B54" s="54" t="s">
        <v>109</v>
      </c>
      <c r="C54" s="54"/>
      <c r="D54" s="54"/>
      <c r="E54" s="54"/>
      <c r="F54" s="54"/>
      <c r="G54" s="55"/>
      <c r="H54" s="54" t="s">
        <v>117</v>
      </c>
      <c r="I54" s="54"/>
      <c r="J54" s="54"/>
      <c r="K54" s="54"/>
      <c r="L54" s="54"/>
    </row>
    <row r="55" spans="1:12">
      <c r="A55" s="56" t="s">
        <v>121</v>
      </c>
      <c r="B55" s="57" t="s">
        <v>112</v>
      </c>
      <c r="C55" s="57"/>
      <c r="D55" s="57"/>
      <c r="E55" s="57"/>
      <c r="F55" s="57"/>
      <c r="G55" s="22"/>
      <c r="H55" s="57" t="s">
        <v>111</v>
      </c>
      <c r="I55" s="57"/>
      <c r="J55" s="57"/>
      <c r="K55" s="57"/>
      <c r="L55" s="5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54:F54"/>
    <mergeCell ref="H54:L54"/>
    <mergeCell ref="B55:F55"/>
    <mergeCell ref="H55:L55"/>
    <mergeCell ref="C10:D10"/>
    <mergeCell ref="E10:F10"/>
    <mergeCell ref="G10:H10"/>
    <mergeCell ref="K10:L10"/>
    <mergeCell ref="A1:L1"/>
    <mergeCell ref="A2:L2"/>
    <mergeCell ref="C8:D8"/>
    <mergeCell ref="E8:J8"/>
    <mergeCell ref="K8:L8"/>
    <mergeCell ref="C9:D9"/>
    <mergeCell ref="E9:F9"/>
    <mergeCell ref="G9:H9"/>
    <mergeCell ref="I9:J10"/>
    <mergeCell ref="K9:L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0" workbookViewId="0" showGridLines="true" showRowColHeaders="1">
      <selection activeCell="D43" sqref="D43"/>
    </sheetView>
  </sheetViews>
  <sheetFormatPr defaultRowHeight="14.4" outlineLevelRow="0" outlineLevelCol="0"/>
  <cols>
    <col min="1" max="1" width="54.42578125" customWidth="true" style="0"/>
    <col min="2" max="2" width="13.28515625" customWidth="true" style="0"/>
    <col min="3" max="3" width="2.140625" customWidth="true" style="0"/>
    <col min="4" max="4" width="11.28515625" customWidth="true" style="0"/>
    <col min="5" max="5" width="2.7109375" customWidth="true" style="0"/>
    <col min="6" max="6" width="11.7109375" customWidth="true" style="0"/>
    <col min="7" max="7" width="2.7109375" customWidth="true" style="0"/>
    <col min="8" max="8" width="13.140625" customWidth="true" style="0"/>
    <col min="9" max="9" width="2.28515625" customWidth="true" style="0"/>
    <col min="10" max="10" width="11.5703125" customWidth="true" style="0"/>
    <col min="11" max="11" width="2.140625" customWidth="true" style="0"/>
    <col min="12" max="12" width="11.5703125" customWidth="true" style="0"/>
  </cols>
  <sheetData>
    <row r="1" spans="1:12" customHeight="1" ht="15.7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>
      <c r="A4" s="4" t="s">
        <v>2</v>
      </c>
      <c r="D4" t="s">
        <v>113</v>
      </c>
    </row>
    <row r="5" spans="1:12">
      <c r="A5" s="4" t="s">
        <v>4</v>
      </c>
      <c r="D5" s="4" t="s">
        <v>122</v>
      </c>
    </row>
    <row r="6" spans="1:12">
      <c r="A6" s="4" t="s">
        <v>6</v>
      </c>
      <c r="F6" s="4"/>
    </row>
    <row r="7" spans="1:12" customHeight="1" ht="15.75"/>
    <row r="8" spans="1:12">
      <c r="A8" s="5"/>
      <c r="B8" s="6"/>
      <c r="C8" s="7" t="s">
        <v>7</v>
      </c>
      <c r="D8" s="7"/>
      <c r="E8" s="8" t="s">
        <v>8</v>
      </c>
      <c r="F8" s="8"/>
      <c r="G8" s="8"/>
      <c r="H8" s="8"/>
      <c r="I8" s="8"/>
      <c r="J8" s="8"/>
      <c r="K8" s="7" t="s">
        <v>9</v>
      </c>
      <c r="L8" s="9"/>
    </row>
    <row r="9" spans="1:12">
      <c r="A9" s="10" t="s">
        <v>10</v>
      </c>
      <c r="B9" s="11" t="s">
        <v>11</v>
      </c>
      <c r="C9" s="12">
        <v>2021</v>
      </c>
      <c r="D9" s="12"/>
      <c r="E9" s="12" t="s">
        <v>12</v>
      </c>
      <c r="F9" s="12"/>
      <c r="G9" s="12" t="s">
        <v>13</v>
      </c>
      <c r="H9" s="12"/>
      <c r="I9" s="13" t="s">
        <v>14</v>
      </c>
      <c r="J9" s="13"/>
      <c r="K9" s="12">
        <v>2023</v>
      </c>
      <c r="L9" s="14"/>
    </row>
    <row r="10" spans="1:12" customHeight="1" ht="15.75">
      <c r="A10" s="15"/>
      <c r="B10" s="16"/>
      <c r="C10" s="17" t="s">
        <v>15</v>
      </c>
      <c r="D10" s="17"/>
      <c r="E10" s="17" t="s">
        <v>15</v>
      </c>
      <c r="F10" s="17"/>
      <c r="G10" s="17" t="s">
        <v>16</v>
      </c>
      <c r="H10" s="17"/>
      <c r="I10" s="18"/>
      <c r="J10" s="18"/>
      <c r="K10" s="17" t="s">
        <v>17</v>
      </c>
      <c r="L10" s="19"/>
    </row>
    <row r="11" spans="1:12">
      <c r="A11" s="20" t="s">
        <v>18</v>
      </c>
      <c r="B11" s="21"/>
      <c r="C11" s="22"/>
      <c r="D11" s="23"/>
      <c r="E11" s="22"/>
      <c r="F11" s="23"/>
      <c r="G11" s="22"/>
      <c r="H11" s="23"/>
      <c r="I11" s="22"/>
      <c r="J11" s="23"/>
      <c r="K11" s="22"/>
      <c r="L11" s="24"/>
    </row>
    <row r="12" spans="1:12">
      <c r="A12" s="25" t="s">
        <v>19</v>
      </c>
      <c r="B12" s="21" t="s">
        <v>20</v>
      </c>
      <c r="C12" s="22" t="s">
        <v>21</v>
      </c>
      <c r="D12" s="26">
        <v>8381856</v>
      </c>
      <c r="E12" s="22" t="s">
        <v>21</v>
      </c>
      <c r="F12" s="26">
        <v>4271496</v>
      </c>
      <c r="G12" s="22" t="s">
        <v>21</v>
      </c>
      <c r="H12" s="26">
        <f>J12-F12</f>
        <v>4257528</v>
      </c>
      <c r="I12" s="22" t="s">
        <v>21</v>
      </c>
      <c r="J12" s="26">
        <v>8529024</v>
      </c>
      <c r="K12" s="22" t="s">
        <v>21</v>
      </c>
      <c r="L12" s="28">
        <v>8690016</v>
      </c>
    </row>
    <row r="13" spans="1:12">
      <c r="A13" s="29" t="s">
        <v>22</v>
      </c>
      <c r="B13" s="21"/>
      <c r="C13" s="22"/>
      <c r="D13" s="30"/>
      <c r="E13" s="22"/>
      <c r="F13" s="30"/>
      <c r="G13" s="22"/>
      <c r="H13" s="30"/>
      <c r="I13" s="22"/>
      <c r="J13" s="30"/>
      <c r="K13" s="22"/>
      <c r="L13" s="31"/>
    </row>
    <row r="14" spans="1:12">
      <c r="A14" s="25" t="s">
        <v>23</v>
      </c>
      <c r="B14" s="21" t="s">
        <v>24</v>
      </c>
      <c r="C14" s="22"/>
      <c r="D14" s="30">
        <v>240000</v>
      </c>
      <c r="E14" s="22"/>
      <c r="F14" s="30">
        <v>120000</v>
      </c>
      <c r="G14" s="22"/>
      <c r="H14" s="26">
        <f>J14-F14</f>
        <v>120000</v>
      </c>
      <c r="I14" s="22"/>
      <c r="J14" s="30">
        <v>240000</v>
      </c>
      <c r="K14" s="22"/>
      <c r="L14" s="31">
        <v>240000</v>
      </c>
    </row>
    <row r="15" spans="1:12">
      <c r="A15" s="25" t="s">
        <v>25</v>
      </c>
      <c r="B15" s="21" t="s">
        <v>26</v>
      </c>
      <c r="C15" s="22"/>
      <c r="D15" s="32">
        <v>717000</v>
      </c>
      <c r="E15" s="22"/>
      <c r="F15" s="32">
        <v>360000</v>
      </c>
      <c r="G15" s="22"/>
      <c r="H15" s="26">
        <f>J15-F15</f>
        <v>360000</v>
      </c>
      <c r="I15" s="22"/>
      <c r="J15" s="32">
        <v>720000</v>
      </c>
      <c r="K15" s="22"/>
      <c r="L15" s="33">
        <v>720000</v>
      </c>
    </row>
    <row r="16" spans="1:12">
      <c r="A16" s="25" t="s">
        <v>27</v>
      </c>
      <c r="B16" s="21" t="s">
        <v>28</v>
      </c>
      <c r="C16" s="22"/>
      <c r="D16" s="32">
        <v>717000</v>
      </c>
      <c r="E16" s="22"/>
      <c r="F16" s="32">
        <v>360000</v>
      </c>
      <c r="G16" s="22"/>
      <c r="H16" s="26">
        <f>J16-F16</f>
        <v>360000</v>
      </c>
      <c r="I16" s="22"/>
      <c r="J16" s="32">
        <v>720000</v>
      </c>
      <c r="K16" s="22"/>
      <c r="L16" s="33">
        <v>720000</v>
      </c>
    </row>
    <row r="17" spans="1:12">
      <c r="A17" s="25" t="s">
        <v>29</v>
      </c>
      <c r="B17" s="21" t="s">
        <v>30</v>
      </c>
      <c r="C17" s="22"/>
      <c r="D17" s="32">
        <v>60000</v>
      </c>
      <c r="E17" s="22"/>
      <c r="F17" s="32">
        <v>60000</v>
      </c>
      <c r="G17" s="22"/>
      <c r="H17" s="26">
        <f>J17-F17</f>
        <v>0</v>
      </c>
      <c r="I17" s="22"/>
      <c r="J17" s="32">
        <v>60000</v>
      </c>
      <c r="K17" s="22"/>
      <c r="L17" s="33">
        <v>60000</v>
      </c>
    </row>
    <row r="18" spans="1:12">
      <c r="A18" s="25" t="s">
        <v>31</v>
      </c>
      <c r="B18" s="21" t="s">
        <v>32</v>
      </c>
      <c r="C18" s="22"/>
      <c r="D18" s="32">
        <v>50000</v>
      </c>
      <c r="E18" s="22"/>
      <c r="F18" s="32">
        <v>0</v>
      </c>
      <c r="G18" s="22"/>
      <c r="H18" s="26">
        <f>J18-F18</f>
        <v>50000</v>
      </c>
      <c r="I18" s="22"/>
      <c r="J18" s="32">
        <v>50000</v>
      </c>
      <c r="K18" s="22"/>
      <c r="L18" s="33">
        <v>50000</v>
      </c>
    </row>
    <row r="19" spans="1:12">
      <c r="A19" s="25" t="s">
        <v>33</v>
      </c>
      <c r="B19" s="21" t="s">
        <v>34</v>
      </c>
      <c r="C19" s="22"/>
      <c r="D19" s="32">
        <v>100000</v>
      </c>
      <c r="E19" s="22"/>
      <c r="F19" s="32">
        <v>0</v>
      </c>
      <c r="G19" s="22"/>
      <c r="H19" s="26">
        <f>J19-F19</f>
        <v>0</v>
      </c>
      <c r="I19" s="22"/>
      <c r="J19" s="32">
        <v>0</v>
      </c>
      <c r="K19" s="22"/>
      <c r="L19" s="33">
        <v>100000</v>
      </c>
    </row>
    <row r="20" spans="1:12">
      <c r="A20" s="25" t="s">
        <v>35</v>
      </c>
      <c r="B20" s="21" t="s">
        <v>36</v>
      </c>
      <c r="C20" s="22"/>
      <c r="D20" s="32">
        <v>698488</v>
      </c>
      <c r="E20" s="22"/>
      <c r="F20" s="32">
        <v>0</v>
      </c>
      <c r="G20" s="22"/>
      <c r="H20" s="26">
        <f>J20-F20</f>
        <v>760727.2</v>
      </c>
      <c r="I20" s="22"/>
      <c r="J20" s="32">
        <v>760727.2</v>
      </c>
      <c r="K20" s="22"/>
      <c r="L20" s="33">
        <v>724168</v>
      </c>
    </row>
    <row r="21" spans="1:12">
      <c r="A21" s="25" t="s">
        <v>37</v>
      </c>
      <c r="B21" s="21" t="s">
        <v>38</v>
      </c>
      <c r="C21" s="22"/>
      <c r="D21" s="32">
        <v>50000</v>
      </c>
      <c r="E21" s="22"/>
      <c r="F21" s="32">
        <v>0</v>
      </c>
      <c r="G21" s="22"/>
      <c r="H21" s="26">
        <f>J21-F21</f>
        <v>53500</v>
      </c>
      <c r="I21" s="22"/>
      <c r="J21" s="32">
        <v>53500</v>
      </c>
      <c r="K21" s="22"/>
      <c r="L21" s="33">
        <v>50000</v>
      </c>
    </row>
    <row r="22" spans="1:12">
      <c r="A22" s="25" t="s">
        <v>39</v>
      </c>
      <c r="B22" s="21" t="s">
        <v>40</v>
      </c>
      <c r="C22" s="22"/>
      <c r="D22" s="32">
        <v>698488</v>
      </c>
      <c r="E22" s="22"/>
      <c r="F22" s="32">
        <v>711916</v>
      </c>
      <c r="G22" s="22"/>
      <c r="H22" s="26">
        <f>J22-F22</f>
        <v>0</v>
      </c>
      <c r="I22" s="22"/>
      <c r="J22" s="32">
        <v>711916</v>
      </c>
      <c r="K22" s="22"/>
      <c r="L22" s="33">
        <v>724168</v>
      </c>
    </row>
    <row r="23" spans="1:12">
      <c r="A23" s="29" t="s">
        <v>41</v>
      </c>
      <c r="B23" s="21"/>
      <c r="C23" s="22"/>
      <c r="D23" s="30"/>
      <c r="E23" s="22"/>
      <c r="F23" s="30"/>
      <c r="G23" s="22"/>
      <c r="H23" s="30"/>
      <c r="I23" s="22"/>
      <c r="J23" s="30"/>
      <c r="K23" s="22"/>
      <c r="L23" s="31"/>
    </row>
    <row r="24" spans="1:12">
      <c r="A24" s="25" t="s">
        <v>42</v>
      </c>
      <c r="B24" s="21" t="s">
        <v>43</v>
      </c>
      <c r="C24" s="22"/>
      <c r="D24" s="30">
        <v>1005822.72</v>
      </c>
      <c r="E24" s="22"/>
      <c r="F24" s="30">
        <v>512579.52</v>
      </c>
      <c r="G24" s="22"/>
      <c r="H24" s="26">
        <f>J24-F24</f>
        <v>510903.36</v>
      </c>
      <c r="I24" s="22"/>
      <c r="J24" s="30">
        <v>1023482.88</v>
      </c>
      <c r="K24" s="22"/>
      <c r="L24" s="31">
        <v>1042801.92</v>
      </c>
    </row>
    <row r="25" spans="1:12">
      <c r="A25" s="25" t="s">
        <v>44</v>
      </c>
      <c r="B25" s="21" t="s">
        <v>45</v>
      </c>
      <c r="C25" s="22"/>
      <c r="D25" s="32">
        <v>12000</v>
      </c>
      <c r="E25" s="22"/>
      <c r="F25" s="32">
        <v>6000</v>
      </c>
      <c r="G25" s="22"/>
      <c r="H25" s="26">
        <f>J25-F25</f>
        <v>6000</v>
      </c>
      <c r="I25" s="22"/>
      <c r="J25" s="32">
        <v>12000</v>
      </c>
      <c r="K25" s="22"/>
      <c r="L25" s="33">
        <v>12000</v>
      </c>
    </row>
    <row r="26" spans="1:12">
      <c r="A26" s="25" t="s">
        <v>46</v>
      </c>
      <c r="B26" s="21" t="s">
        <v>47</v>
      </c>
      <c r="C26" s="22"/>
      <c r="D26" s="32">
        <v>108000</v>
      </c>
      <c r="E26" s="22"/>
      <c r="F26" s="32">
        <v>59238.32</v>
      </c>
      <c r="G26" s="22"/>
      <c r="H26" s="26">
        <f>J26-F26</f>
        <v>48761.68</v>
      </c>
      <c r="I26" s="22"/>
      <c r="J26" s="32">
        <v>108000</v>
      </c>
      <c r="K26" s="22"/>
      <c r="L26" s="33">
        <v>195525.36</v>
      </c>
    </row>
    <row r="27" spans="1:12">
      <c r="A27" s="25" t="s">
        <v>48</v>
      </c>
      <c r="B27" s="21" t="s">
        <v>49</v>
      </c>
      <c r="C27" s="22"/>
      <c r="D27" s="32">
        <v>12000</v>
      </c>
      <c r="E27" s="22"/>
      <c r="F27" s="32">
        <v>6000</v>
      </c>
      <c r="G27" s="22"/>
      <c r="H27" s="26">
        <f>J27-F27</f>
        <v>6000</v>
      </c>
      <c r="I27" s="22"/>
      <c r="J27" s="32">
        <v>12000</v>
      </c>
      <c r="K27" s="22"/>
      <c r="L27" s="33">
        <v>12000</v>
      </c>
    </row>
    <row r="28" spans="1:12">
      <c r="A28" s="29" t="s">
        <v>50</v>
      </c>
      <c r="B28" s="21"/>
      <c r="C28" s="27"/>
      <c r="D28" s="30"/>
      <c r="E28" s="22"/>
      <c r="F28" s="30"/>
      <c r="G28" s="22"/>
      <c r="H28" s="30"/>
      <c r="I28" s="22"/>
      <c r="J28" s="30"/>
      <c r="K28" s="22"/>
      <c r="L28" s="31"/>
    </row>
    <row r="29" spans="1:12">
      <c r="A29" s="34" t="s">
        <v>51</v>
      </c>
      <c r="B29" s="21" t="s">
        <v>52</v>
      </c>
      <c r="C29" s="22"/>
      <c r="D29" s="26">
        <v>0</v>
      </c>
      <c r="E29" s="22"/>
      <c r="F29" s="26">
        <v>0</v>
      </c>
      <c r="G29" s="22"/>
      <c r="H29" s="26">
        <f>J29-F29</f>
        <v>3948468.37</v>
      </c>
      <c r="I29" s="22"/>
      <c r="J29" s="26">
        <v>3948468.37</v>
      </c>
      <c r="K29" s="22"/>
      <c r="L29" s="28">
        <v>0</v>
      </c>
    </row>
    <row r="30" spans="1:12" customHeight="1" ht="15.75">
      <c r="A30" s="34" t="s">
        <v>53</v>
      </c>
      <c r="B30" s="21" t="s">
        <v>54</v>
      </c>
      <c r="C30" s="22"/>
      <c r="D30" s="35">
        <v>0</v>
      </c>
      <c r="E30" s="22"/>
      <c r="F30" s="35">
        <v>0</v>
      </c>
      <c r="G30" s="22"/>
      <c r="H30" s="35">
        <v>0</v>
      </c>
      <c r="I30" s="22"/>
      <c r="J30" s="35">
        <v>0</v>
      </c>
      <c r="K30" s="22"/>
      <c r="L30" s="46">
        <v>0</v>
      </c>
    </row>
    <row r="31" spans="1:12">
      <c r="A31" s="29" t="s">
        <v>55</v>
      </c>
      <c r="B31" s="45"/>
      <c r="C31" s="58" t="s">
        <v>21</v>
      </c>
      <c r="D31" s="59">
        <f>SUM(D12:D30)</f>
        <v>12850654.72</v>
      </c>
      <c r="E31" s="60" t="s">
        <v>21</v>
      </c>
      <c r="F31" s="59">
        <f>SUM(F12:F30)</f>
        <v>6467229.84</v>
      </c>
      <c r="G31" s="60" t="s">
        <v>21</v>
      </c>
      <c r="H31" s="59">
        <f>SUM(H12:H30)</f>
        <v>10481888.61</v>
      </c>
      <c r="I31" s="60" t="s">
        <v>21</v>
      </c>
      <c r="J31" s="59">
        <f>SUM(J12:J30)</f>
        <v>16949118.45</v>
      </c>
      <c r="K31" s="60" t="s">
        <v>21</v>
      </c>
      <c r="L31" s="61">
        <f>SUM(L12:L30)</f>
        <v>13340679.28</v>
      </c>
    </row>
    <row r="32" spans="1:12">
      <c r="A32" s="74" t="s">
        <v>56</v>
      </c>
      <c r="B32" s="75"/>
      <c r="C32" s="76"/>
      <c r="D32" s="77"/>
      <c r="E32" s="76"/>
      <c r="F32" s="77"/>
      <c r="G32" s="76"/>
      <c r="H32" s="77"/>
      <c r="I32" s="76"/>
      <c r="J32" s="77"/>
      <c r="K32" s="76"/>
      <c r="L32" s="78"/>
    </row>
    <row r="33" spans="1:12">
      <c r="A33" s="25" t="s">
        <v>57</v>
      </c>
      <c r="B33" s="21" t="s">
        <v>58</v>
      </c>
      <c r="C33" s="22" t="s">
        <v>21</v>
      </c>
      <c r="D33" s="30">
        <v>45900</v>
      </c>
      <c r="E33" s="22" t="s">
        <v>21</v>
      </c>
      <c r="F33" s="30">
        <v>299008.16</v>
      </c>
      <c r="G33" s="22" t="s">
        <v>21</v>
      </c>
      <c r="H33" s="30">
        <f>J33-F33</f>
        <v>200991.84</v>
      </c>
      <c r="I33" s="22" t="s">
        <v>21</v>
      </c>
      <c r="J33" s="30">
        <v>500000</v>
      </c>
      <c r="K33" s="22" t="s">
        <v>21</v>
      </c>
      <c r="L33" s="31">
        <v>500000</v>
      </c>
    </row>
    <row r="34" spans="1:12">
      <c r="A34" s="25" t="s">
        <v>61</v>
      </c>
      <c r="B34" s="21" t="s">
        <v>62</v>
      </c>
      <c r="C34" s="22"/>
      <c r="D34" s="32">
        <v>35235</v>
      </c>
      <c r="E34" s="22"/>
      <c r="F34" s="32">
        <v>37246</v>
      </c>
      <c r="G34" s="22"/>
      <c r="H34" s="32">
        <f>J34-F34</f>
        <v>37254</v>
      </c>
      <c r="I34" s="22"/>
      <c r="J34" s="32">
        <v>74500</v>
      </c>
      <c r="K34" s="22"/>
      <c r="L34" s="33">
        <v>74500</v>
      </c>
    </row>
    <row r="35" spans="1:12">
      <c r="A35" s="25" t="s">
        <v>71</v>
      </c>
      <c r="B35" s="21" t="s">
        <v>72</v>
      </c>
      <c r="C35" s="22"/>
      <c r="D35" s="32">
        <v>600000</v>
      </c>
      <c r="E35" s="22"/>
      <c r="F35" s="32">
        <v>300000</v>
      </c>
      <c r="G35" s="22"/>
      <c r="H35" s="32">
        <f>J35-F35</f>
        <v>300000</v>
      </c>
      <c r="I35" s="22"/>
      <c r="J35" s="32">
        <v>600000</v>
      </c>
      <c r="K35" s="22"/>
      <c r="L35" s="33">
        <v>600000</v>
      </c>
    </row>
    <row r="36" spans="1:12">
      <c r="A36" s="25" t="s">
        <v>81</v>
      </c>
      <c r="B36" s="21" t="s">
        <v>82</v>
      </c>
      <c r="C36" s="22"/>
      <c r="D36" s="32">
        <v>0</v>
      </c>
      <c r="E36" s="22"/>
      <c r="F36" s="32">
        <v>10000</v>
      </c>
      <c r="G36" s="22"/>
      <c r="H36" s="32">
        <f>J36-F36</f>
        <v>10000</v>
      </c>
      <c r="I36" s="22"/>
      <c r="J36" s="32">
        <v>20000</v>
      </c>
      <c r="K36" s="22"/>
      <c r="L36" s="33">
        <v>20000</v>
      </c>
    </row>
    <row r="37" spans="1:12" customHeight="1" ht="15.75">
      <c r="A37" s="25" t="s">
        <v>91</v>
      </c>
      <c r="B37" s="21" t="s">
        <v>92</v>
      </c>
      <c r="C37" s="22"/>
      <c r="D37" s="35">
        <v>1408608</v>
      </c>
      <c r="E37" s="22"/>
      <c r="F37" s="35">
        <v>500748.95</v>
      </c>
      <c r="G37" s="22"/>
      <c r="H37" s="36">
        <f>J37-F37</f>
        <v>499251.05</v>
      </c>
      <c r="I37" s="22"/>
      <c r="J37" s="35">
        <v>1000000</v>
      </c>
      <c r="K37" s="22"/>
      <c r="L37" s="46">
        <v>1000000</v>
      </c>
    </row>
    <row r="38" spans="1:12">
      <c r="A38" s="29" t="s">
        <v>93</v>
      </c>
      <c r="B38" s="45"/>
      <c r="C38" s="48" t="s">
        <v>21</v>
      </c>
      <c r="D38" s="59">
        <f>SUM(D33:D37)</f>
        <v>2089743</v>
      </c>
      <c r="E38" s="48" t="s">
        <v>21</v>
      </c>
      <c r="F38" s="59">
        <f>SUM(F33:F37)</f>
        <v>1147003.11</v>
      </c>
      <c r="G38" s="48" t="s">
        <v>21</v>
      </c>
      <c r="H38" s="59">
        <f>SUM(H33:H37)</f>
        <v>1047496.89</v>
      </c>
      <c r="I38" s="48" t="s">
        <v>21</v>
      </c>
      <c r="J38" s="59">
        <f>SUM(J33:J37)</f>
        <v>2194500</v>
      </c>
      <c r="K38" s="48" t="s">
        <v>21</v>
      </c>
      <c r="L38" s="61">
        <f>SUM(L33:L37)</f>
        <v>2194500</v>
      </c>
    </row>
    <row r="39" spans="1:12">
      <c r="A39" s="74" t="s">
        <v>94</v>
      </c>
      <c r="B39" s="75"/>
      <c r="C39" s="76"/>
      <c r="D39" s="71"/>
      <c r="E39" s="76"/>
      <c r="F39" s="71"/>
      <c r="G39" s="76"/>
      <c r="H39" s="71"/>
      <c r="I39" s="76"/>
      <c r="J39" s="71"/>
      <c r="K39" s="76"/>
      <c r="L39" s="79"/>
    </row>
    <row r="40" spans="1:12" customHeight="1" ht="15.75">
      <c r="A40" s="25" t="s">
        <v>115</v>
      </c>
      <c r="B40" s="21" t="s">
        <v>100</v>
      </c>
      <c r="C40" s="22" t="s">
        <v>21</v>
      </c>
      <c r="D40" s="30">
        <v>300000</v>
      </c>
      <c r="E40" s="22" t="s">
        <v>21</v>
      </c>
      <c r="F40" s="30">
        <v>0</v>
      </c>
      <c r="G40" s="22" t="s">
        <v>21</v>
      </c>
      <c r="H40" s="30">
        <f>J40-F40</f>
        <v>300000</v>
      </c>
      <c r="I40" s="22" t="s">
        <v>21</v>
      </c>
      <c r="J40" s="30">
        <v>300000</v>
      </c>
      <c r="K40" s="22" t="s">
        <v>21</v>
      </c>
      <c r="L40" s="31">
        <v>300000</v>
      </c>
    </row>
    <row r="41" spans="1:12" customHeight="1" ht="15.75">
      <c r="A41" s="29" t="s">
        <v>103</v>
      </c>
      <c r="B41" s="21"/>
      <c r="C41" s="48" t="s">
        <v>21</v>
      </c>
      <c r="D41" s="63">
        <f>SUM(D40)</f>
        <v>300000</v>
      </c>
      <c r="E41" s="48" t="s">
        <v>21</v>
      </c>
      <c r="F41" s="63">
        <f>SUM(F40)</f>
        <v>0</v>
      </c>
      <c r="G41" s="48" t="s">
        <v>21</v>
      </c>
      <c r="H41" s="63">
        <f>SUM(H40)</f>
        <v>300000</v>
      </c>
      <c r="I41" s="48" t="s">
        <v>21</v>
      </c>
      <c r="J41" s="63">
        <f>SUM(J40)</f>
        <v>300000</v>
      </c>
      <c r="K41" s="48" t="s">
        <v>21</v>
      </c>
      <c r="L41" s="64">
        <f>SUM(L40)</f>
        <v>300000</v>
      </c>
    </row>
    <row r="42" spans="1:12" customHeight="1" ht="15.75">
      <c r="A42" s="49" t="s">
        <v>104</v>
      </c>
      <c r="B42" s="72"/>
      <c r="C42" s="51" t="s">
        <v>21</v>
      </c>
      <c r="D42" s="52">
        <f>D31+D38+D41</f>
        <v>15240397.72</v>
      </c>
      <c r="E42" s="53" t="s">
        <v>21</v>
      </c>
      <c r="F42" s="52">
        <f>F31+F38+F41</f>
        <v>7614232.95</v>
      </c>
      <c r="G42" s="53" t="s">
        <v>21</v>
      </c>
      <c r="H42" s="52">
        <f>H31+H38+H41</f>
        <v>11829385.5</v>
      </c>
      <c r="I42" s="53" t="s">
        <v>21</v>
      </c>
      <c r="J42" s="52">
        <f>J31+J38+J41</f>
        <v>19443618.45</v>
      </c>
      <c r="K42" s="53" t="s">
        <v>21</v>
      </c>
      <c r="L42" s="65">
        <f>L31+L38+L41</f>
        <v>15835179.28</v>
      </c>
    </row>
    <row r="43" spans="1:12">
      <c r="A43" s="66"/>
      <c r="B43" s="73"/>
      <c r="C43" s="60"/>
      <c r="D43" s="68"/>
      <c r="E43" s="60"/>
      <c r="F43" s="68"/>
      <c r="G43" s="60"/>
      <c r="H43" s="68"/>
      <c r="I43" s="60"/>
      <c r="J43" s="68"/>
      <c r="K43" s="60"/>
      <c r="L43" s="68"/>
    </row>
    <row r="44" spans="1:12">
      <c r="A44" s="22" t="s">
        <v>105</v>
      </c>
      <c r="B44" s="22" t="s">
        <v>106</v>
      </c>
      <c r="C44" s="22"/>
      <c r="D44" s="22"/>
      <c r="E44" s="22"/>
      <c r="F44" s="22"/>
      <c r="G44" s="22" t="s">
        <v>107</v>
      </c>
      <c r="H44" s="22"/>
    </row>
    <row r="46" spans="1:12">
      <c r="A46" s="44" t="s">
        <v>120</v>
      </c>
      <c r="B46" s="54" t="s">
        <v>109</v>
      </c>
      <c r="C46" s="54"/>
      <c r="D46" s="54"/>
      <c r="E46" s="54"/>
      <c r="F46" s="54"/>
      <c r="G46" s="55"/>
      <c r="H46" s="54" t="s">
        <v>117</v>
      </c>
      <c r="I46" s="54"/>
      <c r="J46" s="54"/>
      <c r="K46" s="54"/>
      <c r="L46" s="54"/>
    </row>
    <row r="47" spans="1:12">
      <c r="A47" s="56" t="s">
        <v>121</v>
      </c>
      <c r="B47" s="57" t="s">
        <v>112</v>
      </c>
      <c r="C47" s="57"/>
      <c r="D47" s="57"/>
      <c r="E47" s="57"/>
      <c r="F47" s="57"/>
      <c r="G47" s="22"/>
      <c r="H47" s="57" t="s">
        <v>111</v>
      </c>
      <c r="I47" s="57"/>
      <c r="J47" s="57"/>
      <c r="K47" s="57"/>
      <c r="L47" s="5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46:F46"/>
    <mergeCell ref="H46:L46"/>
    <mergeCell ref="B47:F47"/>
    <mergeCell ref="H47:L47"/>
    <mergeCell ref="C10:D10"/>
    <mergeCell ref="E10:F10"/>
    <mergeCell ref="G10:H10"/>
    <mergeCell ref="K10:L10"/>
    <mergeCell ref="A1:L1"/>
    <mergeCell ref="A2:L2"/>
    <mergeCell ref="C8:D8"/>
    <mergeCell ref="E8:J8"/>
    <mergeCell ref="K8:L8"/>
    <mergeCell ref="C9:D9"/>
    <mergeCell ref="E9:F9"/>
    <mergeCell ref="G9:H9"/>
    <mergeCell ref="I9:J10"/>
    <mergeCell ref="K9:L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0" workbookViewId="0" showGridLines="true" showRowColHeaders="1">
      <selection activeCell="A50" sqref="A50"/>
    </sheetView>
  </sheetViews>
  <sheetFormatPr defaultRowHeight="14.4" outlineLevelRow="0" outlineLevelCol="0"/>
  <cols>
    <col min="1" max="1" width="54.42578125" customWidth="true" style="0"/>
    <col min="2" max="2" width="13.28515625" customWidth="true" style="0"/>
    <col min="3" max="3" width="2.140625" customWidth="true" style="0"/>
    <col min="4" max="4" width="11.28515625" customWidth="true" style="0"/>
    <col min="5" max="5" width="2.7109375" customWidth="true" style="0"/>
    <col min="6" max="6" width="11.7109375" customWidth="true" style="0"/>
    <col min="7" max="7" width="2.7109375" customWidth="true" style="0"/>
    <col min="8" max="8" width="13.140625" customWidth="true" style="0"/>
    <col min="9" max="9" width="2.28515625" customWidth="true" style="0"/>
    <col min="10" max="10" width="11.5703125" customWidth="true" style="0"/>
    <col min="11" max="11" width="2.140625" customWidth="true" style="0"/>
    <col min="12" max="12" width="11.5703125" customWidth="true" style="0"/>
  </cols>
  <sheetData>
    <row r="1" spans="1:12" customHeight="1" ht="15.7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>
      <c r="A4" s="4" t="s">
        <v>2</v>
      </c>
      <c r="D4" t="s">
        <v>113</v>
      </c>
    </row>
    <row r="5" spans="1:12">
      <c r="A5" s="4" t="s">
        <v>4</v>
      </c>
      <c r="D5" s="4" t="s">
        <v>123</v>
      </c>
    </row>
    <row r="6" spans="1:12">
      <c r="A6" s="4" t="s">
        <v>6</v>
      </c>
      <c r="F6" s="4"/>
    </row>
    <row r="7" spans="1:12" customHeight="1" ht="15.75"/>
    <row r="8" spans="1:12">
      <c r="A8" s="5"/>
      <c r="B8" s="6"/>
      <c r="C8" s="7" t="s">
        <v>7</v>
      </c>
      <c r="D8" s="7"/>
      <c r="E8" s="8" t="s">
        <v>8</v>
      </c>
      <c r="F8" s="8"/>
      <c r="G8" s="8"/>
      <c r="H8" s="8"/>
      <c r="I8" s="8"/>
      <c r="J8" s="8"/>
      <c r="K8" s="7" t="s">
        <v>9</v>
      </c>
      <c r="L8" s="9"/>
    </row>
    <row r="9" spans="1:12">
      <c r="A9" s="10" t="s">
        <v>10</v>
      </c>
      <c r="B9" s="11" t="s">
        <v>11</v>
      </c>
      <c r="C9" s="12">
        <v>2021</v>
      </c>
      <c r="D9" s="12"/>
      <c r="E9" s="12" t="s">
        <v>12</v>
      </c>
      <c r="F9" s="12"/>
      <c r="G9" s="12" t="s">
        <v>13</v>
      </c>
      <c r="H9" s="12"/>
      <c r="I9" s="13" t="s">
        <v>14</v>
      </c>
      <c r="J9" s="13"/>
      <c r="K9" s="12">
        <v>2023</v>
      </c>
      <c r="L9" s="14"/>
    </row>
    <row r="10" spans="1:12" customHeight="1" ht="15.75">
      <c r="A10" s="15"/>
      <c r="B10" s="16"/>
      <c r="C10" s="17" t="s">
        <v>15</v>
      </c>
      <c r="D10" s="17"/>
      <c r="E10" s="17" t="s">
        <v>15</v>
      </c>
      <c r="F10" s="17"/>
      <c r="G10" s="17" t="s">
        <v>16</v>
      </c>
      <c r="H10" s="17"/>
      <c r="I10" s="18"/>
      <c r="J10" s="18"/>
      <c r="K10" s="17" t="s">
        <v>17</v>
      </c>
      <c r="L10" s="19"/>
    </row>
    <row r="11" spans="1:12">
      <c r="A11" s="20" t="s">
        <v>18</v>
      </c>
      <c r="B11" s="21"/>
      <c r="C11" s="22"/>
      <c r="D11" s="23"/>
      <c r="E11" s="22"/>
      <c r="F11" s="23"/>
      <c r="G11" s="22"/>
      <c r="H11" s="23"/>
      <c r="I11" s="22"/>
      <c r="J11" s="23"/>
      <c r="K11" s="22"/>
      <c r="L11" s="24"/>
    </row>
    <row r="12" spans="1:12">
      <c r="A12" s="25" t="s">
        <v>19</v>
      </c>
      <c r="B12" s="21" t="s">
        <v>20</v>
      </c>
      <c r="C12" s="22" t="s">
        <v>21</v>
      </c>
      <c r="D12" s="26">
        <v>874164</v>
      </c>
      <c r="E12" s="22" t="s">
        <v>21</v>
      </c>
      <c r="F12" s="26">
        <v>465839</v>
      </c>
      <c r="G12" s="22" t="s">
        <v>21</v>
      </c>
      <c r="H12" s="26">
        <f>J12-F12</f>
        <v>618799.74</v>
      </c>
      <c r="I12" s="22" t="s">
        <v>21</v>
      </c>
      <c r="J12" s="26">
        <v>1084638.74</v>
      </c>
      <c r="K12" s="22" t="s">
        <v>21</v>
      </c>
      <c r="L12" s="28">
        <v>1181728.38</v>
      </c>
    </row>
    <row r="13" spans="1:12">
      <c r="A13" s="29" t="s">
        <v>22</v>
      </c>
      <c r="B13" s="21"/>
      <c r="C13" s="22"/>
      <c r="D13" s="30"/>
      <c r="E13" s="22"/>
      <c r="F13" s="30"/>
      <c r="G13" s="22"/>
      <c r="H13" s="30"/>
      <c r="I13" s="22"/>
      <c r="J13" s="30"/>
      <c r="K13" s="22"/>
      <c r="L13" s="31"/>
    </row>
    <row r="14" spans="1:12">
      <c r="A14" s="25" t="s">
        <v>23</v>
      </c>
      <c r="B14" s="21" t="s">
        <v>24</v>
      </c>
      <c r="C14" s="22"/>
      <c r="D14" s="30">
        <v>24000</v>
      </c>
      <c r="E14" s="22"/>
      <c r="F14" s="30">
        <v>14000</v>
      </c>
      <c r="G14" s="22"/>
      <c r="H14" s="26">
        <f>J14-F14</f>
        <v>29032.26</v>
      </c>
      <c r="I14" s="22"/>
      <c r="J14" s="30">
        <v>43032.26</v>
      </c>
      <c r="K14" s="22"/>
      <c r="L14" s="31">
        <v>48000</v>
      </c>
    </row>
    <row r="15" spans="1:12">
      <c r="A15" s="25" t="s">
        <v>25</v>
      </c>
      <c r="B15" s="21" t="s">
        <v>26</v>
      </c>
      <c r="C15" s="22"/>
      <c r="D15" s="32">
        <v>72000</v>
      </c>
      <c r="E15" s="22"/>
      <c r="F15" s="32">
        <v>36000</v>
      </c>
      <c r="G15" s="22"/>
      <c r="H15" s="26">
        <f>J15-F15</f>
        <v>36000</v>
      </c>
      <c r="I15" s="22"/>
      <c r="J15" s="32">
        <v>72000</v>
      </c>
      <c r="K15" s="22"/>
      <c r="L15" s="33">
        <v>72000</v>
      </c>
    </row>
    <row r="16" spans="1:12">
      <c r="A16" s="25" t="s">
        <v>27</v>
      </c>
      <c r="B16" s="21" t="s">
        <v>28</v>
      </c>
      <c r="C16" s="22"/>
      <c r="D16" s="32">
        <v>72000</v>
      </c>
      <c r="E16" s="22"/>
      <c r="F16" s="32">
        <v>36000</v>
      </c>
      <c r="G16" s="22"/>
      <c r="H16" s="26">
        <f>J16-F16</f>
        <v>36000</v>
      </c>
      <c r="I16" s="22"/>
      <c r="J16" s="32">
        <v>72000</v>
      </c>
      <c r="K16" s="22"/>
      <c r="L16" s="33">
        <v>72000</v>
      </c>
    </row>
    <row r="17" spans="1:12">
      <c r="A17" s="25" t="s">
        <v>29</v>
      </c>
      <c r="B17" s="21" t="s">
        <v>30</v>
      </c>
      <c r="C17" s="22"/>
      <c r="D17" s="32">
        <v>6000</v>
      </c>
      <c r="E17" s="22"/>
      <c r="F17" s="32">
        <v>6000</v>
      </c>
      <c r="G17" s="22"/>
      <c r="H17" s="26">
        <f>J17-F17</f>
        <v>6000</v>
      </c>
      <c r="I17" s="22"/>
      <c r="J17" s="32">
        <v>12000</v>
      </c>
      <c r="K17" s="22"/>
      <c r="L17" s="33">
        <v>12000</v>
      </c>
    </row>
    <row r="18" spans="1:12">
      <c r="A18" s="25" t="s">
        <v>31</v>
      </c>
      <c r="B18" s="21" t="s">
        <v>32</v>
      </c>
      <c r="C18" s="22"/>
      <c r="D18" s="32">
        <v>5000</v>
      </c>
      <c r="E18" s="22"/>
      <c r="F18" s="32">
        <v>0</v>
      </c>
      <c r="G18" s="22"/>
      <c r="H18" s="26">
        <f>J18-F18</f>
        <v>10000</v>
      </c>
      <c r="I18" s="22"/>
      <c r="J18" s="32">
        <v>10000</v>
      </c>
      <c r="K18" s="22"/>
      <c r="L18" s="33">
        <v>10000</v>
      </c>
    </row>
    <row r="19" spans="1:12">
      <c r="A19" s="25" t="s">
        <v>33</v>
      </c>
      <c r="B19" s="21" t="s">
        <v>34</v>
      </c>
      <c r="C19" s="22"/>
      <c r="D19" s="32">
        <v>10000</v>
      </c>
      <c r="E19" s="22"/>
      <c r="F19" s="32">
        <v>0</v>
      </c>
      <c r="G19" s="22"/>
      <c r="H19" s="26">
        <f>J19-F19</f>
        <v>10000</v>
      </c>
      <c r="I19" s="22"/>
      <c r="J19" s="32">
        <v>10000</v>
      </c>
      <c r="K19" s="22"/>
      <c r="L19" s="33">
        <v>20000</v>
      </c>
    </row>
    <row r="20" spans="1:12">
      <c r="A20" s="25" t="s">
        <v>35</v>
      </c>
      <c r="B20" s="21" t="s">
        <v>36</v>
      </c>
      <c r="C20" s="22"/>
      <c r="D20" s="32">
        <v>72847</v>
      </c>
      <c r="E20" s="22"/>
      <c r="F20" s="32">
        <v>0</v>
      </c>
      <c r="G20" s="22"/>
      <c r="H20" s="26">
        <f>J20-F20</f>
        <v>94599</v>
      </c>
      <c r="I20" s="22"/>
      <c r="J20" s="32">
        <v>94599</v>
      </c>
      <c r="K20" s="22"/>
      <c r="L20" s="33">
        <v>98484</v>
      </c>
    </row>
    <row r="21" spans="1:12">
      <c r="A21" s="25" t="s">
        <v>37</v>
      </c>
      <c r="B21" s="21" t="s">
        <v>38</v>
      </c>
      <c r="C21" s="22"/>
      <c r="D21" s="32">
        <v>5000</v>
      </c>
      <c r="E21" s="22"/>
      <c r="F21" s="32">
        <v>0</v>
      </c>
      <c r="G21" s="22"/>
      <c r="H21" s="26">
        <f>J21-F21</f>
        <v>10000</v>
      </c>
      <c r="I21" s="22"/>
      <c r="J21" s="32">
        <v>10000</v>
      </c>
      <c r="K21" s="22"/>
      <c r="L21" s="33">
        <v>10000</v>
      </c>
    </row>
    <row r="22" spans="1:12">
      <c r="A22" s="25" t="s">
        <v>39</v>
      </c>
      <c r="B22" s="21" t="s">
        <v>40</v>
      </c>
      <c r="C22" s="22"/>
      <c r="D22" s="32">
        <v>72847</v>
      </c>
      <c r="E22" s="22"/>
      <c r="F22" s="32">
        <v>74248</v>
      </c>
      <c r="G22" s="22"/>
      <c r="H22" s="26">
        <f>J22-F22</f>
        <v>0</v>
      </c>
      <c r="I22" s="22"/>
      <c r="J22" s="32">
        <v>74248</v>
      </c>
      <c r="K22" s="22"/>
      <c r="L22" s="33">
        <v>98484</v>
      </c>
    </row>
    <row r="23" spans="1:12">
      <c r="A23" s="29" t="s">
        <v>41</v>
      </c>
      <c r="B23" s="21"/>
      <c r="C23" s="22"/>
      <c r="D23" s="30"/>
      <c r="E23" s="22"/>
      <c r="F23" s="30"/>
      <c r="G23" s="22"/>
      <c r="H23" s="30"/>
      <c r="I23" s="22"/>
      <c r="J23" s="30"/>
      <c r="K23" s="22"/>
      <c r="L23" s="31"/>
    </row>
    <row r="24" spans="1:12">
      <c r="A24" s="25" t="s">
        <v>42</v>
      </c>
      <c r="B24" s="21" t="s">
        <v>43</v>
      </c>
      <c r="C24" s="22"/>
      <c r="D24" s="30">
        <v>104899.68</v>
      </c>
      <c r="E24" s="22"/>
      <c r="F24" s="30">
        <v>55900.68</v>
      </c>
      <c r="G24" s="22"/>
      <c r="H24" s="26">
        <f>J24-F24</f>
        <v>74255.97</v>
      </c>
      <c r="I24" s="22"/>
      <c r="J24" s="30">
        <v>130156.65</v>
      </c>
      <c r="K24" s="22"/>
      <c r="L24" s="31">
        <v>141807.41</v>
      </c>
    </row>
    <row r="25" spans="1:12">
      <c r="A25" s="25" t="s">
        <v>44</v>
      </c>
      <c r="B25" s="21" t="s">
        <v>45</v>
      </c>
      <c r="C25" s="22"/>
      <c r="D25" s="32">
        <v>1200</v>
      </c>
      <c r="E25" s="22"/>
      <c r="F25" s="32">
        <v>700</v>
      </c>
      <c r="G25" s="22"/>
      <c r="H25" s="26">
        <f>J25-F25</f>
        <v>1451.61</v>
      </c>
      <c r="I25" s="22"/>
      <c r="J25" s="32">
        <v>2151.61</v>
      </c>
      <c r="K25" s="22"/>
      <c r="L25" s="33">
        <v>2400</v>
      </c>
    </row>
    <row r="26" spans="1:12">
      <c r="A26" s="25" t="s">
        <v>46</v>
      </c>
      <c r="B26" s="21" t="s">
        <v>47</v>
      </c>
      <c r="C26" s="22"/>
      <c r="D26" s="32">
        <v>10800</v>
      </c>
      <c r="E26" s="22"/>
      <c r="F26" s="32">
        <v>6391.98</v>
      </c>
      <c r="G26" s="22"/>
      <c r="H26" s="26">
        <f>J26-F26</f>
        <v>7313.01</v>
      </c>
      <c r="I26" s="22"/>
      <c r="J26" s="32">
        <v>13704.99</v>
      </c>
      <c r="K26" s="22"/>
      <c r="L26" s="33">
        <v>26588.88</v>
      </c>
    </row>
    <row r="27" spans="1:12">
      <c r="A27" s="25" t="s">
        <v>48</v>
      </c>
      <c r="B27" s="21" t="s">
        <v>49</v>
      </c>
      <c r="C27" s="22"/>
      <c r="D27" s="32">
        <v>1200</v>
      </c>
      <c r="E27" s="22"/>
      <c r="F27" s="32">
        <v>700</v>
      </c>
      <c r="G27" s="22"/>
      <c r="H27" s="26">
        <f>J27-F27</f>
        <v>1451.61</v>
      </c>
      <c r="I27" s="22"/>
      <c r="J27" s="32">
        <v>2151.61</v>
      </c>
      <c r="K27" s="22"/>
      <c r="L27" s="33">
        <v>2400</v>
      </c>
    </row>
    <row r="28" spans="1:12">
      <c r="A28" s="29" t="s">
        <v>50</v>
      </c>
      <c r="B28" s="21"/>
      <c r="C28" s="27"/>
      <c r="D28" s="30"/>
      <c r="E28" s="22"/>
      <c r="F28" s="30"/>
      <c r="G28" s="22"/>
      <c r="H28" s="30"/>
      <c r="I28" s="22"/>
      <c r="J28" s="30"/>
      <c r="K28" s="22"/>
      <c r="L28" s="31"/>
    </row>
    <row r="29" spans="1:12" customHeight="1" ht="15.75">
      <c r="A29" s="25" t="s">
        <v>53</v>
      </c>
      <c r="B29" s="21" t="s">
        <v>54</v>
      </c>
      <c r="C29" s="22"/>
      <c r="D29" s="35">
        <v>0</v>
      </c>
      <c r="E29" s="22"/>
      <c r="F29" s="35">
        <v>0</v>
      </c>
      <c r="G29" s="22"/>
      <c r="H29" s="35">
        <v>0</v>
      </c>
      <c r="I29" s="22"/>
      <c r="J29" s="35">
        <v>5000</v>
      </c>
      <c r="K29" s="22"/>
      <c r="L29" s="46">
        <v>0</v>
      </c>
    </row>
    <row r="30" spans="1:12">
      <c r="A30" s="29" t="s">
        <v>55</v>
      </c>
      <c r="B30" s="45"/>
      <c r="C30" s="58" t="s">
        <v>21</v>
      </c>
      <c r="D30" s="59">
        <f>SUM(D12:D29)</f>
        <v>1331957.68</v>
      </c>
      <c r="E30" s="60" t="s">
        <v>21</v>
      </c>
      <c r="F30" s="59">
        <f>SUM(F12:F29)</f>
        <v>695779.66</v>
      </c>
      <c r="G30" s="60" t="s">
        <v>21</v>
      </c>
      <c r="H30" s="59">
        <f>SUM(H12:H29)</f>
        <v>934903.2</v>
      </c>
      <c r="I30" s="60" t="s">
        <v>21</v>
      </c>
      <c r="J30" s="59">
        <f>SUM(J12:J29)</f>
        <v>1635682.86</v>
      </c>
      <c r="K30" s="60" t="s">
        <v>21</v>
      </c>
      <c r="L30" s="61">
        <f>SUM(L12:L29)</f>
        <v>1795892.67</v>
      </c>
    </row>
    <row r="31" spans="1:12">
      <c r="A31" s="74" t="s">
        <v>56</v>
      </c>
      <c r="B31" s="75"/>
      <c r="C31" s="76"/>
      <c r="D31" s="77"/>
      <c r="E31" s="76"/>
      <c r="F31" s="77"/>
      <c r="G31" s="76"/>
      <c r="H31" s="77"/>
      <c r="I31" s="76"/>
      <c r="J31" s="77"/>
      <c r="K31" s="76"/>
      <c r="L31" s="78"/>
    </row>
    <row r="32" spans="1:12">
      <c r="A32" s="25" t="s">
        <v>57</v>
      </c>
      <c r="B32" s="21" t="s">
        <v>58</v>
      </c>
      <c r="C32" s="73" t="s">
        <v>21</v>
      </c>
      <c r="D32" s="30">
        <v>11550</v>
      </c>
      <c r="E32" s="73" t="s">
        <v>21</v>
      </c>
      <c r="F32" s="30">
        <v>13983</v>
      </c>
      <c r="G32" s="73" t="s">
        <v>21</v>
      </c>
      <c r="H32" s="30">
        <f>J32-F32</f>
        <v>51017</v>
      </c>
      <c r="I32" s="73" t="s">
        <v>21</v>
      </c>
      <c r="J32" s="31">
        <v>65000</v>
      </c>
      <c r="K32" s="73" t="s">
        <v>21</v>
      </c>
      <c r="L32" s="31">
        <v>65000</v>
      </c>
    </row>
    <row r="33" spans="1:12">
      <c r="A33" s="25" t="s">
        <v>61</v>
      </c>
      <c r="B33" s="21" t="s">
        <v>62</v>
      </c>
      <c r="C33" s="73"/>
      <c r="D33" s="32">
        <v>69999.2</v>
      </c>
      <c r="E33" s="73"/>
      <c r="F33" s="32">
        <v>18954.25</v>
      </c>
      <c r="G33" s="73"/>
      <c r="H33" s="32">
        <f>J33-F33</f>
        <v>56045.75</v>
      </c>
      <c r="I33" s="73"/>
      <c r="J33" s="33">
        <v>75000</v>
      </c>
      <c r="K33" s="73"/>
      <c r="L33" s="33">
        <v>75000</v>
      </c>
    </row>
    <row r="34" spans="1:12">
      <c r="A34" s="25" t="s">
        <v>71</v>
      </c>
      <c r="B34" s="21" t="s">
        <v>72</v>
      </c>
      <c r="C34" s="22"/>
      <c r="D34" s="32">
        <v>60000</v>
      </c>
      <c r="E34" s="22"/>
      <c r="F34" s="32">
        <v>30000</v>
      </c>
      <c r="G34" s="22"/>
      <c r="H34" s="32">
        <f>J34-F34</f>
        <v>30000</v>
      </c>
      <c r="I34" s="22"/>
      <c r="J34" s="33">
        <v>60000</v>
      </c>
      <c r="K34" s="22"/>
      <c r="L34" s="33">
        <v>60000</v>
      </c>
    </row>
    <row r="35" spans="1:12">
      <c r="A35" s="25" t="s">
        <v>73</v>
      </c>
      <c r="B35" s="21" t="s">
        <v>74</v>
      </c>
      <c r="C35" s="22"/>
      <c r="D35" s="32">
        <v>24268.8</v>
      </c>
      <c r="E35" s="22"/>
      <c r="F35" s="32">
        <v>10177.25</v>
      </c>
      <c r="G35" s="22"/>
      <c r="H35" s="32">
        <f>J35-F35</f>
        <v>14822.75</v>
      </c>
      <c r="I35" s="22"/>
      <c r="J35" s="33">
        <v>25000</v>
      </c>
      <c r="K35" s="22"/>
      <c r="L35" s="33">
        <v>25000</v>
      </c>
    </row>
    <row r="36" spans="1:12">
      <c r="A36" s="25" t="s">
        <v>81</v>
      </c>
      <c r="B36" s="21" t="s">
        <v>82</v>
      </c>
      <c r="C36" s="22"/>
      <c r="D36" s="32">
        <v>2100</v>
      </c>
      <c r="E36" s="22"/>
      <c r="F36" s="32">
        <v>1000</v>
      </c>
      <c r="G36" s="22"/>
      <c r="H36" s="32">
        <f>J36-F36</f>
        <v>9000</v>
      </c>
      <c r="I36" s="22"/>
      <c r="J36" s="33">
        <v>10000</v>
      </c>
      <c r="K36" s="22"/>
      <c r="L36" s="33">
        <v>7000</v>
      </c>
    </row>
    <row r="37" spans="1:12" customHeight="1" ht="15.75">
      <c r="A37" s="25" t="s">
        <v>91</v>
      </c>
      <c r="B37" s="21" t="s">
        <v>92</v>
      </c>
      <c r="C37" s="22"/>
      <c r="D37" s="35">
        <v>8039</v>
      </c>
      <c r="E37" s="22"/>
      <c r="F37" s="35">
        <v>6850</v>
      </c>
      <c r="G37" s="22"/>
      <c r="H37" s="36">
        <f>J37-F37</f>
        <v>18150</v>
      </c>
      <c r="I37" s="22"/>
      <c r="J37" s="46">
        <v>25000</v>
      </c>
      <c r="K37" s="22"/>
      <c r="L37" s="46">
        <v>15000</v>
      </c>
    </row>
    <row r="38" spans="1:12">
      <c r="A38" s="29" t="s">
        <v>93</v>
      </c>
      <c r="B38" s="45"/>
      <c r="C38" s="48" t="s">
        <v>21</v>
      </c>
      <c r="D38" s="59">
        <f>SUM(D32:D37)</f>
        <v>175957</v>
      </c>
      <c r="E38" s="48" t="s">
        <v>21</v>
      </c>
      <c r="F38" s="59">
        <f>SUM(F32:F37)</f>
        <v>80964.5</v>
      </c>
      <c r="G38" s="48" t="s">
        <v>21</v>
      </c>
      <c r="H38" s="59">
        <f>SUM(H32:H37)</f>
        <v>179035.5</v>
      </c>
      <c r="I38" s="48" t="s">
        <v>21</v>
      </c>
      <c r="J38" s="59">
        <f>SUM(J32:J37)</f>
        <v>260000</v>
      </c>
      <c r="K38" s="48" t="s">
        <v>21</v>
      </c>
      <c r="L38" s="61">
        <f>SUM(L32:L37)</f>
        <v>247000</v>
      </c>
    </row>
    <row r="39" spans="1:12">
      <c r="A39" s="74" t="s">
        <v>94</v>
      </c>
      <c r="B39" s="75"/>
      <c r="C39" s="76"/>
      <c r="D39" s="71"/>
      <c r="E39" s="76"/>
      <c r="F39" s="71"/>
      <c r="G39" s="76"/>
      <c r="H39" s="71"/>
      <c r="I39" s="76"/>
      <c r="J39" s="71"/>
      <c r="K39" s="76"/>
      <c r="L39" s="79"/>
    </row>
    <row r="40" spans="1:12" customHeight="1" ht="15.75">
      <c r="A40" s="25" t="s">
        <v>115</v>
      </c>
      <c r="B40" s="21" t="s">
        <v>100</v>
      </c>
      <c r="C40" s="22" t="s">
        <v>21</v>
      </c>
      <c r="D40" s="30">
        <v>0</v>
      </c>
      <c r="E40" s="22" t="s">
        <v>21</v>
      </c>
      <c r="F40" s="30">
        <v>0</v>
      </c>
      <c r="G40" s="22" t="s">
        <v>21</v>
      </c>
      <c r="H40" s="30">
        <v>0</v>
      </c>
      <c r="I40" s="22" t="s">
        <v>21</v>
      </c>
      <c r="J40" s="30">
        <v>0</v>
      </c>
      <c r="K40" s="22" t="s">
        <v>21</v>
      </c>
      <c r="L40" s="31">
        <v>0</v>
      </c>
    </row>
    <row r="41" spans="1:12" customHeight="1" ht="15.75">
      <c r="A41" s="29" t="s">
        <v>103</v>
      </c>
      <c r="B41" s="21"/>
      <c r="C41" s="48" t="s">
        <v>21</v>
      </c>
      <c r="D41" s="63">
        <f>SUM(D40)</f>
        <v>0</v>
      </c>
      <c r="E41" s="48" t="s">
        <v>21</v>
      </c>
      <c r="F41" s="63">
        <f>SUM(F40)</f>
        <v>0</v>
      </c>
      <c r="G41" s="48" t="s">
        <v>21</v>
      </c>
      <c r="H41" s="63">
        <f>SUM(H40)</f>
        <v>0</v>
      </c>
      <c r="I41" s="48" t="s">
        <v>21</v>
      </c>
      <c r="J41" s="63">
        <f>SUM(J40)</f>
        <v>0</v>
      </c>
      <c r="K41" s="48" t="s">
        <v>21</v>
      </c>
      <c r="L41" s="64">
        <f>SUM(L40)</f>
        <v>0</v>
      </c>
    </row>
    <row r="42" spans="1:12" customHeight="1" ht="15.75">
      <c r="A42" s="49" t="s">
        <v>104</v>
      </c>
      <c r="B42" s="50"/>
      <c r="C42" s="51" t="s">
        <v>21</v>
      </c>
      <c r="D42" s="52">
        <f>D30+D38+D41</f>
        <v>1507914.68</v>
      </c>
      <c r="E42" s="53" t="s">
        <v>21</v>
      </c>
      <c r="F42" s="52">
        <f>F30+F38+F41</f>
        <v>776744.16</v>
      </c>
      <c r="G42" s="53" t="s">
        <v>21</v>
      </c>
      <c r="H42" s="52">
        <f>H30+H38+H41</f>
        <v>1113938.7</v>
      </c>
      <c r="I42" s="53" t="s">
        <v>21</v>
      </c>
      <c r="J42" s="52">
        <f>J30+J38+J41</f>
        <v>1895682.86</v>
      </c>
      <c r="K42" s="53" t="s">
        <v>21</v>
      </c>
      <c r="L42" s="65">
        <f>L30+L38+L41</f>
        <v>2042892.67</v>
      </c>
    </row>
    <row r="43" spans="1:12" customHeight="1" ht="15.75">
      <c r="A43" s="66"/>
      <c r="B43" s="67"/>
      <c r="C43" s="60"/>
      <c r="D43" s="68"/>
      <c r="E43" s="60"/>
      <c r="F43" s="68"/>
      <c r="G43" s="60"/>
      <c r="H43" s="68"/>
      <c r="I43" s="60"/>
      <c r="J43" s="68"/>
      <c r="K43" s="60"/>
      <c r="L43" s="68"/>
    </row>
    <row r="44" spans="1:12">
      <c r="A44" s="22" t="s">
        <v>105</v>
      </c>
      <c r="B44" s="22" t="s">
        <v>106</v>
      </c>
      <c r="C44" s="22"/>
      <c r="D44" s="22"/>
      <c r="E44" s="22"/>
      <c r="F44" s="22"/>
      <c r="G44" s="22" t="s">
        <v>107</v>
      </c>
      <c r="H44" s="22"/>
    </row>
    <row r="46" spans="1:12">
      <c r="A46" s="44" t="s">
        <v>124</v>
      </c>
      <c r="B46" s="54" t="s">
        <v>109</v>
      </c>
      <c r="C46" s="54"/>
      <c r="D46" s="54"/>
      <c r="E46" s="54"/>
      <c r="F46" s="54"/>
      <c r="G46" s="55"/>
      <c r="H46" s="54" t="s">
        <v>117</v>
      </c>
      <c r="I46" s="54"/>
      <c r="J46" s="54"/>
      <c r="K46" s="54"/>
      <c r="L46" s="54"/>
    </row>
    <row r="47" spans="1:12">
      <c r="A47" s="56" t="s">
        <v>125</v>
      </c>
      <c r="B47" s="57" t="s">
        <v>112</v>
      </c>
      <c r="C47" s="57"/>
      <c r="D47" s="57"/>
      <c r="E47" s="57"/>
      <c r="F47" s="57"/>
      <c r="G47" s="22"/>
      <c r="H47" s="57" t="s">
        <v>111</v>
      </c>
      <c r="I47" s="57"/>
      <c r="J47" s="57"/>
      <c r="K47" s="57"/>
      <c r="L47" s="5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46:F46"/>
    <mergeCell ref="H46:L46"/>
    <mergeCell ref="B47:F47"/>
    <mergeCell ref="H47:L47"/>
    <mergeCell ref="C10:D10"/>
    <mergeCell ref="E10:F10"/>
    <mergeCell ref="G10:H10"/>
    <mergeCell ref="K10:L10"/>
    <mergeCell ref="A1:L1"/>
    <mergeCell ref="A2:L2"/>
    <mergeCell ref="C8:D8"/>
    <mergeCell ref="E8:J8"/>
    <mergeCell ref="K8:L8"/>
    <mergeCell ref="C9:D9"/>
    <mergeCell ref="E9:F9"/>
    <mergeCell ref="G9:H9"/>
    <mergeCell ref="I9:J10"/>
    <mergeCell ref="K9:L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0" workbookViewId="0" showGridLines="true" showRowColHeaders="1">
      <selection activeCell="B50" sqref="B50"/>
    </sheetView>
  </sheetViews>
  <sheetFormatPr defaultRowHeight="14.4" outlineLevelRow="0" outlineLevelCol="0"/>
  <cols>
    <col min="1" max="1" width="54.42578125" customWidth="true" style="0"/>
    <col min="2" max="2" width="13.28515625" customWidth="true" style="0"/>
    <col min="3" max="3" width="2.140625" customWidth="true" style="0"/>
    <col min="4" max="4" width="11.28515625" customWidth="true" style="0"/>
    <col min="5" max="5" width="2.7109375" customWidth="true" style="0"/>
    <col min="6" max="6" width="11.7109375" customWidth="true" style="0"/>
    <col min="7" max="7" width="2.7109375" customWidth="true" style="0"/>
    <col min="8" max="8" width="13.140625" customWidth="true" style="0"/>
    <col min="9" max="9" width="2.28515625" customWidth="true" style="0"/>
    <col min="10" max="10" width="11.5703125" customWidth="true" style="0"/>
    <col min="11" max="11" width="2.140625" customWidth="true" style="0"/>
    <col min="12" max="12" width="11.5703125" customWidth="true" style="0"/>
  </cols>
  <sheetData>
    <row r="1" spans="1:12" customHeight="1" ht="15.7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>
      <c r="A4" s="4" t="s">
        <v>2</v>
      </c>
      <c r="D4" t="s">
        <v>113</v>
      </c>
    </row>
    <row r="5" spans="1:12">
      <c r="A5" s="4" t="s">
        <v>4</v>
      </c>
      <c r="D5" s="4" t="s">
        <v>126</v>
      </c>
    </row>
    <row r="6" spans="1:12">
      <c r="A6" s="4" t="s">
        <v>6</v>
      </c>
      <c r="F6" s="4"/>
    </row>
    <row r="7" spans="1:12" customHeight="1" ht="15.75"/>
    <row r="8" spans="1:12">
      <c r="A8" s="5"/>
      <c r="B8" s="6"/>
      <c r="C8" s="7" t="s">
        <v>7</v>
      </c>
      <c r="D8" s="7"/>
      <c r="E8" s="8" t="s">
        <v>8</v>
      </c>
      <c r="F8" s="8"/>
      <c r="G8" s="8"/>
      <c r="H8" s="8"/>
      <c r="I8" s="8"/>
      <c r="J8" s="8"/>
      <c r="K8" s="7" t="s">
        <v>9</v>
      </c>
      <c r="L8" s="9"/>
    </row>
    <row r="9" spans="1:12">
      <c r="A9" s="10" t="s">
        <v>10</v>
      </c>
      <c r="B9" s="11" t="s">
        <v>11</v>
      </c>
      <c r="C9" s="12">
        <v>2021</v>
      </c>
      <c r="D9" s="12"/>
      <c r="E9" s="12" t="s">
        <v>12</v>
      </c>
      <c r="F9" s="12"/>
      <c r="G9" s="12" t="s">
        <v>13</v>
      </c>
      <c r="H9" s="12"/>
      <c r="I9" s="13" t="s">
        <v>14</v>
      </c>
      <c r="J9" s="13"/>
      <c r="K9" s="12">
        <v>2023</v>
      </c>
      <c r="L9" s="14"/>
    </row>
    <row r="10" spans="1:12" customHeight="1" ht="15.75">
      <c r="A10" s="15"/>
      <c r="B10" s="16"/>
      <c r="C10" s="17" t="s">
        <v>15</v>
      </c>
      <c r="D10" s="17"/>
      <c r="E10" s="17" t="s">
        <v>15</v>
      </c>
      <c r="F10" s="17"/>
      <c r="G10" s="17" t="s">
        <v>16</v>
      </c>
      <c r="H10" s="17"/>
      <c r="I10" s="18"/>
      <c r="J10" s="18"/>
      <c r="K10" s="17" t="s">
        <v>17</v>
      </c>
      <c r="L10" s="19"/>
    </row>
    <row r="11" spans="1:12">
      <c r="A11" s="20" t="s">
        <v>18</v>
      </c>
      <c r="B11" s="21"/>
      <c r="C11" s="22"/>
      <c r="D11" s="23"/>
      <c r="E11" s="22"/>
      <c r="F11" s="23"/>
      <c r="G11" s="22"/>
      <c r="H11" s="23"/>
      <c r="I11" s="22"/>
      <c r="J11" s="23"/>
      <c r="K11" s="22"/>
      <c r="L11" s="24"/>
    </row>
    <row r="12" spans="1:12">
      <c r="A12" s="25" t="s">
        <v>19</v>
      </c>
      <c r="B12" s="21" t="s">
        <v>20</v>
      </c>
      <c r="C12" s="22" t="s">
        <v>21</v>
      </c>
      <c r="D12" s="26">
        <v>1101398.33</v>
      </c>
      <c r="E12" s="22" t="s">
        <v>21</v>
      </c>
      <c r="F12" s="26">
        <v>359754</v>
      </c>
      <c r="G12" s="22" t="s">
        <v>21</v>
      </c>
      <c r="H12" s="26">
        <f>J12-F12</f>
        <v>835050</v>
      </c>
      <c r="I12" s="22" t="s">
        <v>21</v>
      </c>
      <c r="J12" s="26">
        <v>1194804</v>
      </c>
      <c r="K12" s="22" t="s">
        <v>21</v>
      </c>
      <c r="L12" s="28">
        <v>1123944</v>
      </c>
    </row>
    <row r="13" spans="1:12">
      <c r="A13" s="29" t="s">
        <v>22</v>
      </c>
      <c r="B13" s="21"/>
      <c r="C13" s="22"/>
      <c r="D13" s="30"/>
      <c r="E13" s="22"/>
      <c r="F13" s="30"/>
      <c r="G13" s="22"/>
      <c r="H13" s="30"/>
      <c r="I13" s="22"/>
      <c r="J13" s="30"/>
      <c r="K13" s="22"/>
      <c r="L13" s="31"/>
    </row>
    <row r="14" spans="1:12">
      <c r="A14" s="25" t="s">
        <v>23</v>
      </c>
      <c r="B14" s="21" t="s">
        <v>24</v>
      </c>
      <c r="C14" s="22"/>
      <c r="D14" s="30">
        <v>41666.67</v>
      </c>
      <c r="E14" s="22"/>
      <c r="F14" s="30">
        <v>18000</v>
      </c>
      <c r="G14" s="22"/>
      <c r="H14" s="26">
        <f>J14-F14</f>
        <v>30000</v>
      </c>
      <c r="I14" s="22"/>
      <c r="J14" s="30">
        <v>48000</v>
      </c>
      <c r="K14" s="22"/>
      <c r="L14" s="31">
        <v>48000</v>
      </c>
    </row>
    <row r="15" spans="1:12">
      <c r="A15" s="25" t="s">
        <v>25</v>
      </c>
      <c r="B15" s="21" t="s">
        <v>26</v>
      </c>
      <c r="C15" s="22"/>
      <c r="D15" s="32">
        <v>72000</v>
      </c>
      <c r="E15" s="22"/>
      <c r="F15" s="32">
        <v>36000</v>
      </c>
      <c r="G15" s="22"/>
      <c r="H15" s="26">
        <f>J15-F15</f>
        <v>36000</v>
      </c>
      <c r="I15" s="22"/>
      <c r="J15" s="32">
        <v>72000</v>
      </c>
      <c r="K15" s="22"/>
      <c r="L15" s="33">
        <v>72000</v>
      </c>
    </row>
    <row r="16" spans="1:12">
      <c r="A16" s="25" t="s">
        <v>27</v>
      </c>
      <c r="B16" s="21" t="s">
        <v>28</v>
      </c>
      <c r="C16" s="22"/>
      <c r="D16" s="32">
        <v>72000</v>
      </c>
      <c r="E16" s="22"/>
      <c r="F16" s="32">
        <v>36000</v>
      </c>
      <c r="G16" s="22"/>
      <c r="H16" s="26">
        <f>J16-F16</f>
        <v>36000</v>
      </c>
      <c r="I16" s="22"/>
      <c r="J16" s="32">
        <v>72000</v>
      </c>
      <c r="K16" s="22"/>
      <c r="L16" s="33">
        <v>72000</v>
      </c>
    </row>
    <row r="17" spans="1:12">
      <c r="A17" s="25" t="s">
        <v>29</v>
      </c>
      <c r="B17" s="21" t="s">
        <v>30</v>
      </c>
      <c r="C17" s="22"/>
      <c r="D17" s="32">
        <v>6000</v>
      </c>
      <c r="E17" s="22"/>
      <c r="F17" s="32">
        <v>12000</v>
      </c>
      <c r="G17" s="22"/>
      <c r="H17" s="26">
        <f>J17-F17</f>
        <v>0</v>
      </c>
      <c r="I17" s="22"/>
      <c r="J17" s="32">
        <v>12000</v>
      </c>
      <c r="K17" s="22"/>
      <c r="L17" s="33">
        <v>12000</v>
      </c>
    </row>
    <row r="18" spans="1:12">
      <c r="A18" s="25" t="s">
        <v>31</v>
      </c>
      <c r="B18" s="21" t="s">
        <v>32</v>
      </c>
      <c r="C18" s="22"/>
      <c r="D18" s="32">
        <v>10000</v>
      </c>
      <c r="E18" s="22"/>
      <c r="F18" s="32">
        <v>0</v>
      </c>
      <c r="G18" s="22"/>
      <c r="H18" s="26">
        <f>J18-F18</f>
        <v>10000</v>
      </c>
      <c r="I18" s="22"/>
      <c r="J18" s="32">
        <v>10000</v>
      </c>
      <c r="K18" s="22"/>
      <c r="L18" s="33">
        <v>10000</v>
      </c>
    </row>
    <row r="19" spans="1:12">
      <c r="A19" s="25" t="s">
        <v>33</v>
      </c>
      <c r="B19" s="21" t="s">
        <v>34</v>
      </c>
      <c r="C19" s="22"/>
      <c r="D19" s="32">
        <v>20000</v>
      </c>
      <c r="E19" s="22"/>
      <c r="F19" s="32">
        <v>0</v>
      </c>
      <c r="G19" s="22"/>
      <c r="H19" s="26">
        <f>J19-F19</f>
        <v>0</v>
      </c>
      <c r="I19" s="22"/>
      <c r="J19" s="32">
        <v>0</v>
      </c>
      <c r="K19" s="22"/>
      <c r="L19" s="33">
        <v>20000</v>
      </c>
    </row>
    <row r="20" spans="1:12">
      <c r="A20" s="25" t="s">
        <v>35</v>
      </c>
      <c r="B20" s="21" t="s">
        <v>36</v>
      </c>
      <c r="C20" s="22"/>
      <c r="D20" s="32">
        <v>96824</v>
      </c>
      <c r="E20" s="22"/>
      <c r="F20" s="32">
        <v>0</v>
      </c>
      <c r="G20" s="22"/>
      <c r="H20" s="26">
        <f>J20-F20</f>
        <v>99567</v>
      </c>
      <c r="I20" s="22"/>
      <c r="J20" s="32">
        <v>99567</v>
      </c>
      <c r="K20" s="22"/>
      <c r="L20" s="33">
        <v>93662</v>
      </c>
    </row>
    <row r="21" spans="1:12">
      <c r="A21" s="25" t="s">
        <v>37</v>
      </c>
      <c r="B21" s="21" t="s">
        <v>38</v>
      </c>
      <c r="C21" s="22"/>
      <c r="D21" s="32">
        <v>10000</v>
      </c>
      <c r="E21" s="22"/>
      <c r="F21" s="32">
        <v>0</v>
      </c>
      <c r="G21" s="22"/>
      <c r="H21" s="26">
        <f>J21-F21</f>
        <v>10000</v>
      </c>
      <c r="I21" s="22"/>
      <c r="J21" s="32">
        <v>10000</v>
      </c>
      <c r="K21" s="22"/>
      <c r="L21" s="33">
        <v>10000</v>
      </c>
    </row>
    <row r="22" spans="1:12">
      <c r="A22" s="25" t="s">
        <v>39</v>
      </c>
      <c r="B22" s="21" t="s">
        <v>40</v>
      </c>
      <c r="C22" s="22"/>
      <c r="D22" s="32">
        <v>77722</v>
      </c>
      <c r="E22" s="22"/>
      <c r="F22" s="32">
        <v>21625</v>
      </c>
      <c r="G22" s="22"/>
      <c r="H22" s="26">
        <f>J22-F22</f>
        <v>77942</v>
      </c>
      <c r="I22" s="22"/>
      <c r="J22" s="32">
        <v>99567</v>
      </c>
      <c r="K22" s="22"/>
      <c r="L22" s="33">
        <v>93662</v>
      </c>
    </row>
    <row r="23" spans="1:12">
      <c r="A23" s="29" t="s">
        <v>41</v>
      </c>
      <c r="B23" s="21"/>
      <c r="C23" s="22"/>
      <c r="D23" s="30"/>
      <c r="E23" s="22"/>
      <c r="F23" s="30"/>
      <c r="G23" s="22"/>
      <c r="H23" s="30"/>
      <c r="I23" s="22"/>
      <c r="J23" s="30"/>
      <c r="K23" s="22"/>
      <c r="L23" s="31"/>
    </row>
    <row r="24" spans="1:12">
      <c r="A24" s="25" t="s">
        <v>42</v>
      </c>
      <c r="B24" s="21" t="s">
        <v>43</v>
      </c>
      <c r="C24" s="22"/>
      <c r="D24" s="30">
        <v>132167.8</v>
      </c>
      <c r="E24" s="22"/>
      <c r="F24" s="30">
        <v>43170.48</v>
      </c>
      <c r="G24" s="22"/>
      <c r="H24" s="26">
        <f>J24-F24</f>
        <v>100206</v>
      </c>
      <c r="I24" s="22"/>
      <c r="J24" s="30">
        <v>143376.48</v>
      </c>
      <c r="K24" s="22"/>
      <c r="L24" s="31">
        <v>134873.28</v>
      </c>
    </row>
    <row r="25" spans="1:12">
      <c r="A25" s="25" t="s">
        <v>44</v>
      </c>
      <c r="B25" s="21" t="s">
        <v>45</v>
      </c>
      <c r="C25" s="22"/>
      <c r="D25" s="32">
        <v>2100</v>
      </c>
      <c r="E25" s="22"/>
      <c r="F25" s="32">
        <v>900</v>
      </c>
      <c r="G25" s="22"/>
      <c r="H25" s="26">
        <f>J25-F25</f>
        <v>1500</v>
      </c>
      <c r="I25" s="22"/>
      <c r="J25" s="32">
        <v>2400</v>
      </c>
      <c r="K25" s="22"/>
      <c r="L25" s="33">
        <v>2400</v>
      </c>
    </row>
    <row r="26" spans="1:12">
      <c r="A26" s="25" t="s">
        <v>46</v>
      </c>
      <c r="B26" s="21" t="s">
        <v>47</v>
      </c>
      <c r="C26" s="22"/>
      <c r="D26" s="32">
        <v>13331.02</v>
      </c>
      <c r="E26" s="22"/>
      <c r="F26" s="32">
        <v>4633.37</v>
      </c>
      <c r="G26" s="22"/>
      <c r="H26" s="26">
        <f>J26-F26</f>
        <v>9829.81</v>
      </c>
      <c r="I26" s="22"/>
      <c r="J26" s="32">
        <v>14463.18</v>
      </c>
      <c r="K26" s="22"/>
      <c r="L26" s="33">
        <v>25288.74</v>
      </c>
    </row>
    <row r="27" spans="1:12">
      <c r="A27" s="25" t="s">
        <v>48</v>
      </c>
      <c r="B27" s="21" t="s">
        <v>49</v>
      </c>
      <c r="C27" s="22"/>
      <c r="D27" s="32">
        <v>2100</v>
      </c>
      <c r="E27" s="22"/>
      <c r="F27" s="32">
        <v>900</v>
      </c>
      <c r="G27" s="22"/>
      <c r="H27" s="26">
        <f>J27-F27</f>
        <v>1500</v>
      </c>
      <c r="I27" s="22"/>
      <c r="J27" s="32">
        <v>2400</v>
      </c>
      <c r="K27" s="22"/>
      <c r="L27" s="33">
        <v>2400</v>
      </c>
    </row>
    <row r="28" spans="1:12">
      <c r="A28" s="29" t="s">
        <v>50</v>
      </c>
      <c r="B28" s="21"/>
      <c r="C28" s="27"/>
      <c r="D28" s="30"/>
      <c r="E28" s="22"/>
      <c r="F28" s="30"/>
      <c r="G28" s="22"/>
      <c r="H28" s="30"/>
      <c r="I28" s="22"/>
      <c r="J28" s="30"/>
      <c r="K28" s="22"/>
      <c r="L28" s="31"/>
    </row>
    <row r="29" spans="1:12">
      <c r="A29" s="34" t="s">
        <v>51</v>
      </c>
      <c r="B29" s="21" t="s">
        <v>52</v>
      </c>
      <c r="C29" s="22"/>
      <c r="D29" s="26">
        <v>0</v>
      </c>
      <c r="E29" s="22"/>
      <c r="F29" s="26">
        <v>0</v>
      </c>
      <c r="G29" s="22"/>
      <c r="H29" s="26">
        <v>0</v>
      </c>
      <c r="I29" s="22"/>
      <c r="J29" s="26">
        <v>0</v>
      </c>
      <c r="K29" s="22"/>
      <c r="L29" s="28">
        <v>0</v>
      </c>
    </row>
    <row r="30" spans="1:12" customHeight="1" ht="15.75">
      <c r="A30" s="25" t="s">
        <v>53</v>
      </c>
      <c r="B30" s="21" t="s">
        <v>54</v>
      </c>
      <c r="C30" s="22"/>
      <c r="D30" s="35">
        <v>5000</v>
      </c>
      <c r="E30" s="22"/>
      <c r="F30" s="35">
        <v>0</v>
      </c>
      <c r="G30" s="22"/>
      <c r="H30" s="35">
        <v>0</v>
      </c>
      <c r="I30" s="22"/>
      <c r="J30" s="35">
        <v>0</v>
      </c>
      <c r="K30" s="22"/>
      <c r="L30" s="46">
        <v>0</v>
      </c>
    </row>
    <row r="31" spans="1:12">
      <c r="A31" s="29" t="s">
        <v>55</v>
      </c>
      <c r="B31" s="45"/>
      <c r="C31" s="58" t="s">
        <v>21</v>
      </c>
      <c r="D31" s="59">
        <f>SUM(D12:D30)</f>
        <v>1662309.82</v>
      </c>
      <c r="E31" s="60" t="s">
        <v>21</v>
      </c>
      <c r="F31" s="59">
        <f>SUM(F12:F30)</f>
        <v>532982.85</v>
      </c>
      <c r="G31" s="60" t="s">
        <v>21</v>
      </c>
      <c r="H31" s="59">
        <f>SUM(H12:H30)</f>
        <v>1247594.81</v>
      </c>
      <c r="I31" s="60" t="s">
        <v>21</v>
      </c>
      <c r="J31" s="59">
        <f>SUM(J12:J30)</f>
        <v>1780577.66</v>
      </c>
      <c r="K31" s="60" t="s">
        <v>21</v>
      </c>
      <c r="L31" s="61">
        <f>SUM(L12:L30)</f>
        <v>1720230.02</v>
      </c>
    </row>
    <row r="32" spans="1:12">
      <c r="A32" s="74" t="s">
        <v>56</v>
      </c>
      <c r="B32" s="75"/>
      <c r="C32" s="76"/>
      <c r="D32" s="77"/>
      <c r="E32" s="76"/>
      <c r="F32" s="77"/>
      <c r="G32" s="76"/>
      <c r="H32" s="77"/>
      <c r="I32" s="76"/>
      <c r="J32" s="77"/>
      <c r="K32" s="76"/>
      <c r="L32" s="78"/>
    </row>
    <row r="33" spans="1:12">
      <c r="A33" s="25" t="s">
        <v>57</v>
      </c>
      <c r="B33" s="21" t="s">
        <v>58</v>
      </c>
      <c r="C33" s="22" t="s">
        <v>21</v>
      </c>
      <c r="D33" s="30">
        <v>5600</v>
      </c>
      <c r="E33" s="22" t="s">
        <v>21</v>
      </c>
      <c r="F33" s="30">
        <v>28250</v>
      </c>
      <c r="G33" s="22" t="s">
        <v>21</v>
      </c>
      <c r="H33" s="30">
        <f>J33-F33</f>
        <v>36750</v>
      </c>
      <c r="I33" s="22" t="s">
        <v>21</v>
      </c>
      <c r="J33" s="30">
        <v>65000</v>
      </c>
      <c r="K33" s="22" t="s">
        <v>21</v>
      </c>
      <c r="L33" s="31">
        <v>60000</v>
      </c>
    </row>
    <row r="34" spans="1:12">
      <c r="A34" s="25" t="s">
        <v>61</v>
      </c>
      <c r="B34" s="21" t="s">
        <v>62</v>
      </c>
      <c r="C34" s="22"/>
      <c r="D34" s="32">
        <v>43890.8</v>
      </c>
      <c r="E34" s="22"/>
      <c r="F34" s="32">
        <v>21480</v>
      </c>
      <c r="G34" s="22"/>
      <c r="H34" s="32">
        <f>J34-F34</f>
        <v>23520</v>
      </c>
      <c r="I34" s="22"/>
      <c r="J34" s="32">
        <v>45000</v>
      </c>
      <c r="K34" s="22"/>
      <c r="L34" s="33">
        <v>40000</v>
      </c>
    </row>
    <row r="35" spans="1:12">
      <c r="A35" s="25" t="s">
        <v>71</v>
      </c>
      <c r="B35" s="21" t="s">
        <v>72</v>
      </c>
      <c r="C35" s="22"/>
      <c r="D35" s="32">
        <v>60000</v>
      </c>
      <c r="E35" s="22"/>
      <c r="F35" s="32">
        <v>30000</v>
      </c>
      <c r="G35" s="22"/>
      <c r="H35" s="32">
        <f>J35-F35</f>
        <v>30000</v>
      </c>
      <c r="I35" s="22"/>
      <c r="J35" s="32">
        <v>60000</v>
      </c>
      <c r="K35" s="22"/>
      <c r="L35" s="33">
        <v>60000</v>
      </c>
    </row>
    <row r="36" spans="1:12">
      <c r="A36" s="25" t="s">
        <v>73</v>
      </c>
      <c r="B36" s="21" t="s">
        <v>74</v>
      </c>
      <c r="C36" s="22"/>
      <c r="D36" s="32">
        <v>19661.58</v>
      </c>
      <c r="E36" s="22"/>
      <c r="F36" s="32">
        <v>15060</v>
      </c>
      <c r="G36" s="22"/>
      <c r="H36" s="32">
        <f>J36-F36</f>
        <v>9940</v>
      </c>
      <c r="I36" s="22"/>
      <c r="J36" s="32">
        <v>25000</v>
      </c>
      <c r="K36" s="22"/>
      <c r="L36" s="33">
        <v>25000</v>
      </c>
    </row>
    <row r="37" spans="1:12">
      <c r="A37" s="25" t="s">
        <v>81</v>
      </c>
      <c r="B37" s="21" t="s">
        <v>82</v>
      </c>
      <c r="C37" s="22"/>
      <c r="D37" s="32">
        <v>6400</v>
      </c>
      <c r="E37" s="22"/>
      <c r="F37" s="32">
        <v>6300</v>
      </c>
      <c r="G37" s="22"/>
      <c r="H37" s="32">
        <f>J37-F37</f>
        <v>3700</v>
      </c>
      <c r="I37" s="22"/>
      <c r="J37" s="32">
        <v>10000</v>
      </c>
      <c r="K37" s="22"/>
      <c r="L37" s="33">
        <v>10000</v>
      </c>
    </row>
    <row r="38" spans="1:12" customHeight="1" ht="15.75">
      <c r="A38" s="25" t="s">
        <v>91</v>
      </c>
      <c r="B38" s="21" t="s">
        <v>92</v>
      </c>
      <c r="C38" s="22"/>
      <c r="D38" s="35">
        <v>0</v>
      </c>
      <c r="E38" s="22"/>
      <c r="F38" s="35">
        <v>3000</v>
      </c>
      <c r="G38" s="22"/>
      <c r="H38" s="36">
        <f>J38-F38</f>
        <v>22000</v>
      </c>
      <c r="I38" s="22"/>
      <c r="J38" s="35">
        <v>25000</v>
      </c>
      <c r="K38" s="22"/>
      <c r="L38" s="46">
        <v>23500</v>
      </c>
    </row>
    <row r="39" spans="1:12">
      <c r="A39" s="29" t="s">
        <v>93</v>
      </c>
      <c r="B39" s="45"/>
      <c r="C39" s="48" t="s">
        <v>21</v>
      </c>
      <c r="D39" s="59">
        <f>SUM(D33:D38)</f>
        <v>135552.38</v>
      </c>
      <c r="E39" s="48" t="s">
        <v>21</v>
      </c>
      <c r="F39" s="59">
        <f>SUM(F33:F38)</f>
        <v>104090</v>
      </c>
      <c r="G39" s="48" t="s">
        <v>21</v>
      </c>
      <c r="H39" s="59">
        <f>SUM(H33:H38)</f>
        <v>125910</v>
      </c>
      <c r="I39" s="48" t="s">
        <v>21</v>
      </c>
      <c r="J39" s="59">
        <f>SUM(J33:J38)</f>
        <v>230000</v>
      </c>
      <c r="K39" s="48" t="s">
        <v>21</v>
      </c>
      <c r="L39" s="61">
        <f>SUM(L33:L38)</f>
        <v>218500</v>
      </c>
    </row>
    <row r="40" spans="1:12">
      <c r="A40" s="74" t="s">
        <v>94</v>
      </c>
      <c r="B40" s="75"/>
      <c r="C40" s="76"/>
      <c r="D40" s="71"/>
      <c r="E40" s="76"/>
      <c r="F40" s="71"/>
      <c r="G40" s="76"/>
      <c r="H40" s="71"/>
      <c r="I40" s="76"/>
      <c r="J40" s="71"/>
      <c r="K40" s="76"/>
      <c r="L40" s="79"/>
    </row>
    <row r="41" spans="1:12" customHeight="1" ht="15.75">
      <c r="A41" s="25" t="s">
        <v>115</v>
      </c>
      <c r="B41" s="21" t="s">
        <v>100</v>
      </c>
      <c r="C41" s="22" t="s">
        <v>21</v>
      </c>
      <c r="D41" s="30">
        <v>0</v>
      </c>
      <c r="E41" s="22" t="s">
        <v>21</v>
      </c>
      <c r="F41" s="30">
        <v>0</v>
      </c>
      <c r="G41" s="22" t="s">
        <v>21</v>
      </c>
      <c r="H41" s="30">
        <v>0</v>
      </c>
      <c r="I41" s="22" t="s">
        <v>21</v>
      </c>
      <c r="J41" s="30">
        <v>0</v>
      </c>
      <c r="K41" s="22" t="s">
        <v>21</v>
      </c>
      <c r="L41" s="31">
        <v>0</v>
      </c>
    </row>
    <row r="42" spans="1:12" customHeight="1" ht="15.75">
      <c r="A42" s="29" t="s">
        <v>103</v>
      </c>
      <c r="B42" s="21"/>
      <c r="C42" s="48" t="s">
        <v>21</v>
      </c>
      <c r="D42" s="63">
        <f>SUM(D41)</f>
        <v>0</v>
      </c>
      <c r="E42" s="48" t="s">
        <v>21</v>
      </c>
      <c r="F42" s="63">
        <f>SUM(F41)</f>
        <v>0</v>
      </c>
      <c r="G42" s="48" t="s">
        <v>21</v>
      </c>
      <c r="H42" s="63">
        <f>SUM(H41)</f>
        <v>0</v>
      </c>
      <c r="I42" s="48" t="s">
        <v>21</v>
      </c>
      <c r="J42" s="63">
        <f>SUM(J41)</f>
        <v>0</v>
      </c>
      <c r="K42" s="48" t="s">
        <v>21</v>
      </c>
      <c r="L42" s="64">
        <f>SUM(L41)</f>
        <v>0</v>
      </c>
    </row>
    <row r="43" spans="1:12" customHeight="1" ht="15.75">
      <c r="A43" s="49" t="s">
        <v>104</v>
      </c>
      <c r="B43" s="50"/>
      <c r="C43" s="51" t="s">
        <v>21</v>
      </c>
      <c r="D43" s="52">
        <f>D31+D39+D42</f>
        <v>1797862.2</v>
      </c>
      <c r="E43" s="53" t="s">
        <v>21</v>
      </c>
      <c r="F43" s="52">
        <f>F31+F39+F42</f>
        <v>637072.85</v>
      </c>
      <c r="G43" s="53" t="s">
        <v>21</v>
      </c>
      <c r="H43" s="52">
        <f>H31+H39+H42</f>
        <v>1373504.81</v>
      </c>
      <c r="I43" s="53" t="s">
        <v>21</v>
      </c>
      <c r="J43" s="52">
        <f>J31+J39+J42</f>
        <v>2010577.66</v>
      </c>
      <c r="K43" s="53" t="s">
        <v>21</v>
      </c>
      <c r="L43" s="65">
        <f>L31+L39+L42</f>
        <v>1938730.02</v>
      </c>
    </row>
    <row r="44" spans="1:12" customHeight="1" ht="15.75">
      <c r="A44" s="66"/>
      <c r="B44" s="67"/>
      <c r="C44" s="60"/>
      <c r="D44" s="68"/>
      <c r="E44" s="60"/>
      <c r="F44" s="68"/>
      <c r="G44" s="60"/>
      <c r="H44" s="68"/>
      <c r="I44" s="60"/>
      <c r="J44" s="68"/>
      <c r="K44" s="60"/>
      <c r="L44" s="68"/>
    </row>
    <row r="45" spans="1:12">
      <c r="A45" s="22" t="s">
        <v>105</v>
      </c>
      <c r="B45" s="22" t="s">
        <v>106</v>
      </c>
      <c r="C45" s="22"/>
      <c r="D45" s="22"/>
      <c r="E45" s="22"/>
      <c r="F45" s="22"/>
      <c r="G45" s="22" t="s">
        <v>107</v>
      </c>
      <c r="H45" s="22"/>
    </row>
    <row r="47" spans="1:12">
      <c r="A47" s="44" t="s">
        <v>127</v>
      </c>
      <c r="B47" s="54" t="s">
        <v>109</v>
      </c>
      <c r="C47" s="54"/>
      <c r="D47" s="54"/>
      <c r="E47" s="54"/>
      <c r="F47" s="54"/>
      <c r="G47" s="55"/>
      <c r="H47" s="54" t="s">
        <v>117</v>
      </c>
      <c r="I47" s="54"/>
      <c r="J47" s="54"/>
      <c r="K47" s="54"/>
      <c r="L47" s="54"/>
    </row>
    <row r="48" spans="1:12">
      <c r="A48" s="56" t="s">
        <v>128</v>
      </c>
      <c r="B48" s="57" t="s">
        <v>112</v>
      </c>
      <c r="C48" s="57"/>
      <c r="D48" s="57"/>
      <c r="E48" s="57"/>
      <c r="F48" s="57"/>
      <c r="G48" s="22"/>
      <c r="H48" s="57" t="s">
        <v>111</v>
      </c>
      <c r="I48" s="57"/>
      <c r="J48" s="57"/>
      <c r="K48" s="57"/>
      <c r="L48" s="5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47:F47"/>
    <mergeCell ref="H47:L47"/>
    <mergeCell ref="B48:F48"/>
    <mergeCell ref="H48:L48"/>
    <mergeCell ref="C10:D10"/>
    <mergeCell ref="E10:F10"/>
    <mergeCell ref="G10:H10"/>
    <mergeCell ref="K10:L10"/>
    <mergeCell ref="A1:L1"/>
    <mergeCell ref="A2:L2"/>
    <mergeCell ref="C8:D8"/>
    <mergeCell ref="E8:J8"/>
    <mergeCell ref="K8:L8"/>
    <mergeCell ref="C9:D9"/>
    <mergeCell ref="E9:F9"/>
    <mergeCell ref="G9:H9"/>
    <mergeCell ref="I9:J10"/>
    <mergeCell ref="K9:L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0" workbookViewId="0" showGridLines="true" showRowColHeaders="1">
      <selection activeCell="H42" sqref="H42"/>
    </sheetView>
  </sheetViews>
  <sheetFormatPr defaultRowHeight="14.4" outlineLevelRow="0" outlineLevelCol="0"/>
  <cols>
    <col min="1" max="1" width="54.42578125" customWidth="true" style="0"/>
    <col min="2" max="2" width="13.28515625" customWidth="true" style="0"/>
    <col min="3" max="3" width="2.140625" customWidth="true" style="0"/>
    <col min="4" max="4" width="11.28515625" customWidth="true" style="0"/>
    <col min="5" max="5" width="2.7109375" customWidth="true" style="0"/>
    <col min="6" max="6" width="11.7109375" customWidth="true" style="0"/>
    <col min="7" max="7" width="2.7109375" customWidth="true" style="0"/>
    <col min="8" max="8" width="13.140625" customWidth="true" style="0"/>
    <col min="9" max="9" width="2.28515625" customWidth="true" style="0"/>
    <col min="10" max="10" width="11.5703125" customWidth="true" style="0"/>
    <col min="11" max="11" width="2.140625" customWidth="true" style="0"/>
    <col min="12" max="12" width="11.5703125" customWidth="true" style="0"/>
  </cols>
  <sheetData>
    <row r="1" spans="1:12" customHeight="1" ht="15.7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>
      <c r="A4" s="4" t="s">
        <v>2</v>
      </c>
      <c r="D4" t="s">
        <v>113</v>
      </c>
    </row>
    <row r="5" spans="1:12">
      <c r="A5" s="4" t="s">
        <v>4</v>
      </c>
      <c r="D5" s="4" t="s">
        <v>129</v>
      </c>
    </row>
    <row r="6" spans="1:12">
      <c r="A6" s="4" t="s">
        <v>6</v>
      </c>
      <c r="F6" s="4"/>
    </row>
    <row r="7" spans="1:12" customHeight="1" ht="15.75"/>
    <row r="8" spans="1:12">
      <c r="A8" s="5"/>
      <c r="B8" s="6"/>
      <c r="C8" s="7" t="s">
        <v>7</v>
      </c>
      <c r="D8" s="7"/>
      <c r="E8" s="8" t="s">
        <v>8</v>
      </c>
      <c r="F8" s="8"/>
      <c r="G8" s="8"/>
      <c r="H8" s="8"/>
      <c r="I8" s="8"/>
      <c r="J8" s="8"/>
      <c r="K8" s="7" t="s">
        <v>9</v>
      </c>
      <c r="L8" s="9"/>
    </row>
    <row r="9" spans="1:12">
      <c r="A9" s="10" t="s">
        <v>10</v>
      </c>
      <c r="B9" s="11" t="s">
        <v>11</v>
      </c>
      <c r="C9" s="12">
        <v>2021</v>
      </c>
      <c r="D9" s="12"/>
      <c r="E9" s="12" t="s">
        <v>12</v>
      </c>
      <c r="F9" s="12"/>
      <c r="G9" s="12" t="s">
        <v>13</v>
      </c>
      <c r="H9" s="12"/>
      <c r="I9" s="13" t="s">
        <v>14</v>
      </c>
      <c r="J9" s="13"/>
      <c r="K9" s="12">
        <v>2023</v>
      </c>
      <c r="L9" s="14"/>
    </row>
    <row r="10" spans="1:12" customHeight="1" ht="15.75">
      <c r="A10" s="15"/>
      <c r="B10" s="16"/>
      <c r="C10" s="17" t="s">
        <v>15</v>
      </c>
      <c r="D10" s="17"/>
      <c r="E10" s="17" t="s">
        <v>15</v>
      </c>
      <c r="F10" s="17"/>
      <c r="G10" s="17" t="s">
        <v>16</v>
      </c>
      <c r="H10" s="17"/>
      <c r="I10" s="18"/>
      <c r="J10" s="18"/>
      <c r="K10" s="17" t="s">
        <v>17</v>
      </c>
      <c r="L10" s="19"/>
    </row>
    <row r="11" spans="1:12">
      <c r="A11" s="20" t="s">
        <v>18</v>
      </c>
      <c r="B11" s="21"/>
      <c r="C11" s="22"/>
      <c r="D11" s="23"/>
      <c r="E11" s="22"/>
      <c r="F11" s="23"/>
      <c r="G11" s="22"/>
      <c r="H11" s="23"/>
      <c r="I11" s="22"/>
      <c r="J11" s="23"/>
      <c r="K11" s="22"/>
      <c r="L11" s="24"/>
    </row>
    <row r="12" spans="1:12">
      <c r="A12" s="25" t="s">
        <v>19</v>
      </c>
      <c r="B12" s="21" t="s">
        <v>20</v>
      </c>
      <c r="C12" s="22" t="s">
        <v>21</v>
      </c>
      <c r="D12" s="26">
        <v>1039020.8</v>
      </c>
      <c r="E12" s="22" t="s">
        <v>21</v>
      </c>
      <c r="F12" s="26">
        <v>642938.25</v>
      </c>
      <c r="G12" s="22" t="s">
        <v>21</v>
      </c>
      <c r="H12" s="26">
        <f>J12-F12</f>
        <v>643134</v>
      </c>
      <c r="I12" s="22" t="s">
        <v>21</v>
      </c>
      <c r="J12" s="26">
        <v>1286072.25</v>
      </c>
      <c r="K12" s="22" t="s">
        <v>21</v>
      </c>
      <c r="L12" s="28">
        <v>1319304</v>
      </c>
    </row>
    <row r="13" spans="1:12">
      <c r="A13" s="29" t="s">
        <v>22</v>
      </c>
      <c r="B13" s="21"/>
      <c r="C13" s="22"/>
      <c r="D13" s="30"/>
      <c r="E13" s="22"/>
      <c r="F13" s="30"/>
      <c r="G13" s="22"/>
      <c r="H13" s="30"/>
      <c r="I13" s="22"/>
      <c r="J13" s="30"/>
      <c r="K13" s="22"/>
      <c r="L13" s="31"/>
    </row>
    <row r="14" spans="1:12">
      <c r="A14" s="25" t="s">
        <v>23</v>
      </c>
      <c r="B14" s="21" t="s">
        <v>24</v>
      </c>
      <c r="C14" s="22"/>
      <c r="D14" s="30">
        <v>89935.48</v>
      </c>
      <c r="E14" s="22"/>
      <c r="F14" s="30">
        <v>48000</v>
      </c>
      <c r="G14" s="22"/>
      <c r="H14" s="26">
        <f>J14-F14</f>
        <v>48000</v>
      </c>
      <c r="I14" s="22"/>
      <c r="J14" s="30">
        <v>96000</v>
      </c>
      <c r="K14" s="22"/>
      <c r="L14" s="31">
        <v>96000</v>
      </c>
    </row>
    <row r="15" spans="1:12">
      <c r="A15" s="25" t="s">
        <v>25</v>
      </c>
      <c r="B15" s="21" t="s">
        <v>26</v>
      </c>
      <c r="C15" s="22"/>
      <c r="D15" s="32">
        <v>53806.45</v>
      </c>
      <c r="E15" s="22"/>
      <c r="F15" s="32">
        <v>36000</v>
      </c>
      <c r="G15" s="22"/>
      <c r="H15" s="26">
        <f>J15-F15</f>
        <v>36000</v>
      </c>
      <c r="I15" s="22"/>
      <c r="J15" s="32">
        <v>72000</v>
      </c>
      <c r="K15" s="22"/>
      <c r="L15" s="33">
        <v>72000</v>
      </c>
    </row>
    <row r="16" spans="1:12">
      <c r="A16" s="25" t="s">
        <v>27</v>
      </c>
      <c r="B16" s="21" t="s">
        <v>28</v>
      </c>
      <c r="C16" s="22"/>
      <c r="D16" s="32">
        <v>53806.45</v>
      </c>
      <c r="E16" s="22"/>
      <c r="F16" s="32">
        <v>36000</v>
      </c>
      <c r="G16" s="22"/>
      <c r="H16" s="26">
        <f>J16-F16</f>
        <v>36000</v>
      </c>
      <c r="I16" s="22"/>
      <c r="J16" s="32">
        <v>72000</v>
      </c>
      <c r="K16" s="22"/>
      <c r="L16" s="33">
        <v>72000</v>
      </c>
    </row>
    <row r="17" spans="1:12">
      <c r="A17" s="25" t="s">
        <v>29</v>
      </c>
      <c r="B17" s="21" t="s">
        <v>30</v>
      </c>
      <c r="C17" s="22"/>
      <c r="D17" s="32">
        <v>24000</v>
      </c>
      <c r="E17" s="22"/>
      <c r="F17" s="32">
        <v>24000</v>
      </c>
      <c r="G17" s="22"/>
      <c r="H17" s="26">
        <f>J17-F17</f>
        <v>0</v>
      </c>
      <c r="I17" s="22"/>
      <c r="J17" s="32">
        <v>24000</v>
      </c>
      <c r="K17" s="22"/>
      <c r="L17" s="33">
        <v>24000</v>
      </c>
    </row>
    <row r="18" spans="1:12">
      <c r="A18" s="25" t="s">
        <v>31</v>
      </c>
      <c r="B18" s="21" t="s">
        <v>32</v>
      </c>
      <c r="C18" s="22"/>
      <c r="D18" s="32">
        <v>16000</v>
      </c>
      <c r="E18" s="22"/>
      <c r="F18" s="32">
        <v>0</v>
      </c>
      <c r="G18" s="22"/>
      <c r="H18" s="26">
        <f>J18-F18</f>
        <v>20000</v>
      </c>
      <c r="I18" s="22"/>
      <c r="J18" s="32">
        <v>20000</v>
      </c>
      <c r="K18" s="22"/>
      <c r="L18" s="33">
        <v>20000</v>
      </c>
    </row>
    <row r="19" spans="1:12">
      <c r="A19" s="25" t="s">
        <v>33</v>
      </c>
      <c r="B19" s="21" t="s">
        <v>34</v>
      </c>
      <c r="C19" s="22"/>
      <c r="D19" s="32">
        <v>30000</v>
      </c>
      <c r="E19" s="22"/>
      <c r="F19" s="32">
        <v>0</v>
      </c>
      <c r="G19" s="22"/>
      <c r="H19" s="26">
        <f>J19-F19</f>
        <v>0</v>
      </c>
      <c r="I19" s="22"/>
      <c r="J19" s="32">
        <v>0</v>
      </c>
      <c r="K19" s="22"/>
      <c r="L19" s="33">
        <v>40000</v>
      </c>
    </row>
    <row r="20" spans="1:12">
      <c r="A20" s="25" t="s">
        <v>35</v>
      </c>
      <c r="B20" s="21" t="s">
        <v>36</v>
      </c>
      <c r="C20" s="22"/>
      <c r="D20" s="32">
        <v>93103.6</v>
      </c>
      <c r="E20" s="22"/>
      <c r="F20" s="32">
        <v>0</v>
      </c>
      <c r="G20" s="22"/>
      <c r="H20" s="26">
        <f>J20-F20</f>
        <v>107189</v>
      </c>
      <c r="I20" s="22"/>
      <c r="J20" s="32">
        <v>107189</v>
      </c>
      <c r="K20" s="22"/>
      <c r="L20" s="33">
        <v>109942</v>
      </c>
    </row>
    <row r="21" spans="1:12">
      <c r="A21" s="25" t="s">
        <v>37</v>
      </c>
      <c r="B21" s="21" t="s">
        <v>38</v>
      </c>
      <c r="C21" s="22"/>
      <c r="D21" s="32">
        <v>19000</v>
      </c>
      <c r="E21" s="22"/>
      <c r="F21" s="32">
        <v>0</v>
      </c>
      <c r="G21" s="22"/>
      <c r="H21" s="26">
        <f>J21-F21</f>
        <v>20000</v>
      </c>
      <c r="I21" s="22"/>
      <c r="J21" s="32">
        <v>20000</v>
      </c>
      <c r="K21" s="22"/>
      <c r="L21" s="33">
        <v>20000</v>
      </c>
    </row>
    <row r="22" spans="1:12">
      <c r="A22" s="25" t="s">
        <v>39</v>
      </c>
      <c r="B22" s="21" t="s">
        <v>40</v>
      </c>
      <c r="C22" s="22"/>
      <c r="D22" s="32">
        <v>107590</v>
      </c>
      <c r="E22" s="22"/>
      <c r="F22" s="32">
        <v>107189</v>
      </c>
      <c r="G22" s="22"/>
      <c r="H22" s="26">
        <f>J22-F22</f>
        <v>0</v>
      </c>
      <c r="I22" s="22"/>
      <c r="J22" s="32">
        <v>107189</v>
      </c>
      <c r="K22" s="22"/>
      <c r="L22" s="33">
        <v>109942</v>
      </c>
    </row>
    <row r="23" spans="1:12">
      <c r="A23" s="29" t="s">
        <v>41</v>
      </c>
      <c r="B23" s="21"/>
      <c r="C23" s="22"/>
      <c r="D23" s="30"/>
      <c r="E23" s="22"/>
      <c r="F23" s="30"/>
      <c r="G23" s="22"/>
      <c r="H23" s="30"/>
      <c r="I23" s="22"/>
      <c r="J23" s="30"/>
      <c r="K23" s="22"/>
      <c r="L23" s="31"/>
    </row>
    <row r="24" spans="1:12">
      <c r="A24" s="25" t="s">
        <v>42</v>
      </c>
      <c r="B24" s="21" t="s">
        <v>43</v>
      </c>
      <c r="C24" s="22"/>
      <c r="D24" s="30">
        <v>124682.5</v>
      </c>
      <c r="E24" s="22"/>
      <c r="F24" s="30">
        <v>77152.59</v>
      </c>
      <c r="G24" s="22"/>
      <c r="H24" s="26">
        <f>J24-F24</f>
        <v>77176.08</v>
      </c>
      <c r="I24" s="22"/>
      <c r="J24" s="30">
        <v>154328.67</v>
      </c>
      <c r="K24" s="22"/>
      <c r="L24" s="31">
        <v>158316.48</v>
      </c>
    </row>
    <row r="25" spans="1:12">
      <c r="A25" s="25" t="s">
        <v>44</v>
      </c>
      <c r="B25" s="21" t="s">
        <v>45</v>
      </c>
      <c r="C25" s="22"/>
      <c r="D25" s="32">
        <v>4500</v>
      </c>
      <c r="E25" s="22"/>
      <c r="F25" s="32">
        <v>2400</v>
      </c>
      <c r="G25" s="22"/>
      <c r="H25" s="26">
        <f>J25-F25</f>
        <v>2400</v>
      </c>
      <c r="I25" s="22"/>
      <c r="J25" s="32">
        <v>4800</v>
      </c>
      <c r="K25" s="22"/>
      <c r="L25" s="33">
        <v>4800</v>
      </c>
    </row>
    <row r="26" spans="1:12">
      <c r="A26" s="25" t="s">
        <v>46</v>
      </c>
      <c r="B26" s="21" t="s">
        <v>47</v>
      </c>
      <c r="C26" s="22"/>
      <c r="D26" s="32">
        <v>14400.24</v>
      </c>
      <c r="E26" s="22"/>
      <c r="F26" s="32">
        <v>9375.49</v>
      </c>
      <c r="G26" s="22"/>
      <c r="H26" s="26">
        <f>J26-F26</f>
        <v>7984.67</v>
      </c>
      <c r="I26" s="22"/>
      <c r="J26" s="32">
        <v>17360.16</v>
      </c>
      <c r="K26" s="22"/>
      <c r="L26" s="33">
        <v>29684.34</v>
      </c>
    </row>
    <row r="27" spans="1:12">
      <c r="A27" s="25" t="s">
        <v>48</v>
      </c>
      <c r="B27" s="21" t="s">
        <v>49</v>
      </c>
      <c r="C27" s="22"/>
      <c r="D27" s="32">
        <v>4472.76</v>
      </c>
      <c r="E27" s="22"/>
      <c r="F27" s="32">
        <v>2400</v>
      </c>
      <c r="G27" s="22"/>
      <c r="H27" s="26">
        <f>J27-F27</f>
        <v>2400</v>
      </c>
      <c r="I27" s="22"/>
      <c r="J27" s="32">
        <v>4800</v>
      </c>
      <c r="K27" s="22"/>
      <c r="L27" s="33">
        <v>4800</v>
      </c>
    </row>
    <row r="28" spans="1:12">
      <c r="A28" s="29" t="s">
        <v>50</v>
      </c>
      <c r="B28" s="21"/>
      <c r="C28" s="27"/>
      <c r="D28" s="30"/>
      <c r="E28" s="22"/>
      <c r="F28" s="30"/>
      <c r="G28" s="22"/>
      <c r="H28" s="30"/>
      <c r="I28" s="22"/>
      <c r="J28" s="30"/>
      <c r="K28" s="22"/>
      <c r="L28" s="31"/>
    </row>
    <row r="29" spans="1:12">
      <c r="A29" s="34" t="s">
        <v>51</v>
      </c>
      <c r="B29" s="21" t="s">
        <v>52</v>
      </c>
      <c r="C29" s="22"/>
      <c r="D29" s="26">
        <v>0</v>
      </c>
      <c r="E29" s="22"/>
      <c r="F29" s="26">
        <v>1374717.41</v>
      </c>
      <c r="G29" s="22"/>
      <c r="H29" s="26">
        <v>0</v>
      </c>
      <c r="I29" s="22"/>
      <c r="J29" s="26">
        <v>1374717.41</v>
      </c>
      <c r="K29" s="22"/>
      <c r="L29" s="28">
        <v>0</v>
      </c>
    </row>
    <row r="30" spans="1:12" customHeight="1" ht="15.75">
      <c r="A30" s="34" t="s">
        <v>53</v>
      </c>
      <c r="B30" s="21" t="s">
        <v>54</v>
      </c>
      <c r="C30" s="22"/>
      <c r="D30" s="35">
        <v>0</v>
      </c>
      <c r="E30" s="22"/>
      <c r="F30" s="35">
        <v>0</v>
      </c>
      <c r="G30" s="22"/>
      <c r="H30" s="35">
        <f>J30-F30</f>
        <v>0</v>
      </c>
      <c r="I30" s="22"/>
      <c r="J30" s="35">
        <v>0</v>
      </c>
      <c r="K30" s="22"/>
      <c r="L30" s="46">
        <v>0</v>
      </c>
    </row>
    <row r="31" spans="1:12" customHeight="1" ht="15.75">
      <c r="A31" s="38" t="s">
        <v>55</v>
      </c>
      <c r="B31" s="39"/>
      <c r="C31" s="40" t="s">
        <v>21</v>
      </c>
      <c r="D31" s="41">
        <f>SUM(D12:D30)</f>
        <v>1674318.28</v>
      </c>
      <c r="E31" s="42" t="s">
        <v>21</v>
      </c>
      <c r="F31" s="41">
        <f>SUM(F12:F30)</f>
        <v>2360172.74</v>
      </c>
      <c r="G31" s="42" t="s">
        <v>21</v>
      </c>
      <c r="H31" s="41">
        <f>SUM(H12:H30)</f>
        <v>1000283.75</v>
      </c>
      <c r="I31" s="42" t="s">
        <v>21</v>
      </c>
      <c r="J31" s="41">
        <f>SUM(J12:J30)</f>
        <v>3360456.49</v>
      </c>
      <c r="K31" s="42" t="s">
        <v>21</v>
      </c>
      <c r="L31" s="43">
        <f>SUM(L12:L30)</f>
        <v>2080788.82</v>
      </c>
    </row>
    <row r="32" spans="1:12">
      <c r="A32" s="29" t="s">
        <v>56</v>
      </c>
      <c r="B32" s="45"/>
      <c r="C32" s="22"/>
      <c r="D32" s="23"/>
      <c r="E32" s="22"/>
      <c r="F32" s="23"/>
      <c r="G32" s="22"/>
      <c r="H32" s="23"/>
      <c r="I32" s="22"/>
      <c r="J32" s="23"/>
      <c r="K32" s="22"/>
      <c r="L32" s="24"/>
    </row>
    <row r="33" spans="1:12">
      <c r="A33" s="25" t="s">
        <v>57</v>
      </c>
      <c r="B33" s="21" t="s">
        <v>58</v>
      </c>
      <c r="C33" s="22" t="s">
        <v>21</v>
      </c>
      <c r="D33" s="30">
        <v>20350</v>
      </c>
      <c r="E33" s="22" t="s">
        <v>21</v>
      </c>
      <c r="F33" s="30">
        <v>58808</v>
      </c>
      <c r="G33" s="22" t="s">
        <v>21</v>
      </c>
      <c r="H33" s="30">
        <f>J33-F33</f>
        <v>16192</v>
      </c>
      <c r="I33" s="22" t="s">
        <v>21</v>
      </c>
      <c r="J33" s="30">
        <v>75000</v>
      </c>
      <c r="K33" s="22" t="s">
        <v>21</v>
      </c>
      <c r="L33" s="31">
        <v>73000</v>
      </c>
    </row>
    <row r="34" spans="1:12">
      <c r="A34" s="25" t="s">
        <v>61</v>
      </c>
      <c r="B34" s="21" t="s">
        <v>62</v>
      </c>
      <c r="C34" s="22"/>
      <c r="D34" s="32">
        <v>53654.43</v>
      </c>
      <c r="E34" s="22"/>
      <c r="F34" s="32">
        <v>48319</v>
      </c>
      <c r="G34" s="22"/>
      <c r="H34" s="32">
        <f>J34-F34</f>
        <v>28681</v>
      </c>
      <c r="I34" s="22"/>
      <c r="J34" s="32">
        <v>77000</v>
      </c>
      <c r="K34" s="22"/>
      <c r="L34" s="33">
        <v>75000</v>
      </c>
    </row>
    <row r="35" spans="1:12">
      <c r="A35" s="25" t="s">
        <v>71</v>
      </c>
      <c r="B35" s="21" t="s">
        <v>72</v>
      </c>
      <c r="C35" s="22"/>
      <c r="D35" s="32">
        <v>45000</v>
      </c>
      <c r="E35" s="22"/>
      <c r="F35" s="32">
        <v>30000</v>
      </c>
      <c r="G35" s="22"/>
      <c r="H35" s="32">
        <f>J35-F35</f>
        <v>30000</v>
      </c>
      <c r="I35" s="22"/>
      <c r="J35" s="32">
        <v>60000</v>
      </c>
      <c r="K35" s="22"/>
      <c r="L35" s="33">
        <v>60000</v>
      </c>
    </row>
    <row r="36" spans="1:12">
      <c r="A36" s="25" t="s">
        <v>73</v>
      </c>
      <c r="B36" s="21" t="s">
        <v>74</v>
      </c>
      <c r="C36" s="22"/>
      <c r="D36" s="32">
        <v>22656</v>
      </c>
      <c r="E36" s="22"/>
      <c r="F36" s="32">
        <v>7612.9</v>
      </c>
      <c r="G36" s="22"/>
      <c r="H36" s="32">
        <f>J36-F36</f>
        <v>17387.1</v>
      </c>
      <c r="I36" s="22"/>
      <c r="J36" s="32">
        <v>25000</v>
      </c>
      <c r="K36" s="22"/>
      <c r="L36" s="33">
        <v>25000</v>
      </c>
    </row>
    <row r="37" spans="1:12">
      <c r="A37" s="25" t="s">
        <v>81</v>
      </c>
      <c r="B37" s="21" t="s">
        <v>82</v>
      </c>
      <c r="C37" s="22"/>
      <c r="D37" s="32">
        <v>12900</v>
      </c>
      <c r="E37" s="22"/>
      <c r="F37" s="32">
        <v>8200</v>
      </c>
      <c r="G37" s="22"/>
      <c r="H37" s="32">
        <f>J37-F37</f>
        <v>11800</v>
      </c>
      <c r="I37" s="22"/>
      <c r="J37" s="32">
        <v>20000</v>
      </c>
      <c r="K37" s="22"/>
      <c r="L37" s="33">
        <v>17450</v>
      </c>
    </row>
    <row r="38" spans="1:12" customHeight="1" ht="15.75">
      <c r="A38" s="25" t="s">
        <v>91</v>
      </c>
      <c r="B38" s="21" t="s">
        <v>92</v>
      </c>
      <c r="C38" s="22"/>
      <c r="D38" s="35">
        <v>3564</v>
      </c>
      <c r="E38" s="22"/>
      <c r="F38" s="35">
        <v>4859</v>
      </c>
      <c r="G38" s="22"/>
      <c r="H38" s="36">
        <f>J38-F38</f>
        <v>20141</v>
      </c>
      <c r="I38" s="22"/>
      <c r="J38" s="35">
        <v>25000</v>
      </c>
      <c r="K38" s="22"/>
      <c r="L38" s="46">
        <v>17450</v>
      </c>
    </row>
    <row r="39" spans="1:12">
      <c r="A39" s="29" t="s">
        <v>93</v>
      </c>
      <c r="B39" s="45"/>
      <c r="C39" s="48" t="s">
        <v>21</v>
      </c>
      <c r="D39" s="59">
        <f>SUM(D33:D38)</f>
        <v>158124.43</v>
      </c>
      <c r="E39" s="48" t="s">
        <v>21</v>
      </c>
      <c r="F39" s="59">
        <f>SUM(F33:F38)</f>
        <v>157798.9</v>
      </c>
      <c r="G39" s="48" t="s">
        <v>21</v>
      </c>
      <c r="H39" s="59">
        <f>SUM(H33:H38)</f>
        <v>124201.1</v>
      </c>
      <c r="I39" s="48" t="s">
        <v>21</v>
      </c>
      <c r="J39" s="59">
        <f>SUM(J33:J38)</f>
        <v>282000</v>
      </c>
      <c r="K39" s="48" t="s">
        <v>21</v>
      </c>
      <c r="L39" s="61">
        <f>SUM(L33:L38)</f>
        <v>267900</v>
      </c>
    </row>
    <row r="40" spans="1:12">
      <c r="A40" s="74" t="s">
        <v>94</v>
      </c>
      <c r="B40" s="75"/>
      <c r="C40" s="76"/>
      <c r="D40" s="71"/>
      <c r="E40" s="76"/>
      <c r="F40" s="71"/>
      <c r="G40" s="76"/>
      <c r="H40" s="71"/>
      <c r="I40" s="76"/>
      <c r="J40" s="71"/>
      <c r="K40" s="76"/>
      <c r="L40" s="79"/>
    </row>
    <row r="41" spans="1:12" customHeight="1" ht="15.75">
      <c r="A41" s="25" t="s">
        <v>115</v>
      </c>
      <c r="B41" s="21" t="s">
        <v>100</v>
      </c>
      <c r="C41" s="73" t="s">
        <v>21</v>
      </c>
      <c r="D41" s="30">
        <v>0</v>
      </c>
      <c r="E41" s="73" t="s">
        <v>21</v>
      </c>
      <c r="F41" s="30">
        <v>0</v>
      </c>
      <c r="G41" s="73" t="s">
        <v>21</v>
      </c>
      <c r="H41" s="30">
        <v>0</v>
      </c>
      <c r="I41" s="73" t="s">
        <v>21</v>
      </c>
      <c r="J41" s="30">
        <v>0</v>
      </c>
      <c r="K41" s="73" t="s">
        <v>21</v>
      </c>
      <c r="L41" s="31">
        <v>0</v>
      </c>
    </row>
    <row r="42" spans="1:12" customHeight="1" ht="15.75">
      <c r="A42" s="29" t="s">
        <v>103</v>
      </c>
      <c r="B42" s="21"/>
      <c r="C42" s="48" t="s">
        <v>21</v>
      </c>
      <c r="D42" s="63">
        <f>SUM(D41)</f>
        <v>0</v>
      </c>
      <c r="E42" s="48" t="s">
        <v>21</v>
      </c>
      <c r="F42" s="63">
        <f>SUM(F41)</f>
        <v>0</v>
      </c>
      <c r="G42" s="48" t="s">
        <v>21</v>
      </c>
      <c r="H42" s="63">
        <f>SUM(H41)</f>
        <v>0</v>
      </c>
      <c r="I42" s="48" t="s">
        <v>21</v>
      </c>
      <c r="J42" s="63">
        <f>SUM(J41)</f>
        <v>0</v>
      </c>
      <c r="K42" s="48" t="s">
        <v>21</v>
      </c>
      <c r="L42" s="64">
        <f>SUM(L41)</f>
        <v>0</v>
      </c>
    </row>
    <row r="43" spans="1:12" customHeight="1" ht="15.75">
      <c r="A43" s="49" t="s">
        <v>104</v>
      </c>
      <c r="B43" s="50"/>
      <c r="C43" s="51" t="s">
        <v>21</v>
      </c>
      <c r="D43" s="52">
        <f>D31+D39+D42</f>
        <v>1832442.71</v>
      </c>
      <c r="E43" s="53" t="s">
        <v>21</v>
      </c>
      <c r="F43" s="52">
        <f>F31+F39+F42</f>
        <v>2517971.64</v>
      </c>
      <c r="G43" s="53" t="s">
        <v>21</v>
      </c>
      <c r="H43" s="52">
        <f>H31+H39+H42</f>
        <v>1124484.85</v>
      </c>
      <c r="I43" s="53" t="s">
        <v>21</v>
      </c>
      <c r="J43" s="52">
        <f>J31+J39+J42</f>
        <v>3642456.49</v>
      </c>
      <c r="K43" s="53" t="s">
        <v>21</v>
      </c>
      <c r="L43" s="65">
        <f>L31+L39+L42</f>
        <v>2348688.82</v>
      </c>
    </row>
    <row r="44" spans="1:12" customHeight="1" ht="15.75">
      <c r="A44" s="66"/>
      <c r="B44" s="67"/>
      <c r="C44" s="60"/>
      <c r="D44" s="68"/>
      <c r="E44" s="60"/>
      <c r="F44" s="68"/>
      <c r="G44" s="60"/>
      <c r="H44" s="68"/>
      <c r="I44" s="60"/>
      <c r="J44" s="68"/>
      <c r="K44" s="60"/>
      <c r="L44" s="68"/>
    </row>
    <row r="45" spans="1:12">
      <c r="A45" s="22" t="s">
        <v>105</v>
      </c>
      <c r="B45" s="22" t="s">
        <v>106</v>
      </c>
      <c r="C45" s="22"/>
      <c r="D45" s="22"/>
      <c r="E45" s="22"/>
      <c r="F45" s="22"/>
      <c r="G45" s="22" t="s">
        <v>107</v>
      </c>
      <c r="H45" s="22"/>
    </row>
    <row r="47" spans="1:12">
      <c r="A47" s="44" t="s">
        <v>130</v>
      </c>
      <c r="B47" s="54" t="s">
        <v>109</v>
      </c>
      <c r="C47" s="54"/>
      <c r="D47" s="54"/>
      <c r="E47" s="54"/>
      <c r="F47" s="54"/>
      <c r="G47" s="55"/>
      <c r="H47" s="54" t="s">
        <v>117</v>
      </c>
      <c r="I47" s="54"/>
      <c r="J47" s="54"/>
      <c r="K47" s="54"/>
      <c r="L47" s="54"/>
    </row>
    <row r="48" spans="1:12">
      <c r="A48" s="56" t="s">
        <v>131</v>
      </c>
      <c r="B48" s="57" t="s">
        <v>112</v>
      </c>
      <c r="C48" s="57"/>
      <c r="D48" s="57"/>
      <c r="E48" s="57"/>
      <c r="F48" s="57"/>
      <c r="G48" s="22"/>
      <c r="H48" s="57" t="s">
        <v>111</v>
      </c>
      <c r="I48" s="57"/>
      <c r="J48" s="57"/>
      <c r="K48" s="57"/>
      <c r="L48" s="5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47:F47"/>
    <mergeCell ref="H47:L47"/>
    <mergeCell ref="B48:F48"/>
    <mergeCell ref="H48:L48"/>
    <mergeCell ref="C10:D10"/>
    <mergeCell ref="E10:F10"/>
    <mergeCell ref="G10:H10"/>
    <mergeCell ref="K10:L10"/>
    <mergeCell ref="A1:L1"/>
    <mergeCell ref="A2:L2"/>
    <mergeCell ref="C8:D8"/>
    <mergeCell ref="E8:J8"/>
    <mergeCell ref="K8:L8"/>
    <mergeCell ref="C9:D9"/>
    <mergeCell ref="E9:F9"/>
    <mergeCell ref="G9:H9"/>
    <mergeCell ref="I9:J10"/>
    <mergeCell ref="K9:L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0" workbookViewId="0" showGridLines="true" showRowColHeaders="1">
      <selection activeCell="B52" sqref="B52"/>
    </sheetView>
  </sheetViews>
  <sheetFormatPr defaultRowHeight="14.4" outlineLevelRow="0" outlineLevelCol="0"/>
  <cols>
    <col min="1" max="1" width="54.42578125" customWidth="true" style="0"/>
    <col min="2" max="2" width="13.28515625" customWidth="true" style="0"/>
    <col min="3" max="3" width="2.140625" customWidth="true" style="0"/>
    <col min="4" max="4" width="11.28515625" customWidth="true" style="0"/>
    <col min="5" max="5" width="2.7109375" customWidth="true" style="0"/>
    <col min="6" max="6" width="11.7109375" customWidth="true" style="0"/>
    <col min="7" max="7" width="2.7109375" customWidth="true" style="0"/>
    <col min="8" max="8" width="13.140625" customWidth="true" style="0"/>
    <col min="9" max="9" width="2.28515625" customWidth="true" style="0"/>
    <col min="10" max="10" width="11.5703125" customWidth="true" style="0"/>
    <col min="11" max="11" width="2.140625" customWidth="true" style="0"/>
    <col min="12" max="12" width="11.5703125" customWidth="true" style="0"/>
  </cols>
  <sheetData>
    <row r="1" spans="1:12" customHeight="1" ht="15.7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>
      <c r="A4" s="4" t="s">
        <v>2</v>
      </c>
      <c r="D4" t="s">
        <v>113</v>
      </c>
    </row>
    <row r="5" spans="1:12">
      <c r="A5" s="4" t="s">
        <v>4</v>
      </c>
      <c r="D5" s="4" t="s">
        <v>132</v>
      </c>
    </row>
    <row r="6" spans="1:12">
      <c r="A6" s="4" t="s">
        <v>6</v>
      </c>
      <c r="F6" s="4"/>
    </row>
    <row r="7" spans="1:12" customHeight="1" ht="15.75"/>
    <row r="8" spans="1:12">
      <c r="A8" s="5"/>
      <c r="B8" s="6"/>
      <c r="C8" s="7" t="s">
        <v>7</v>
      </c>
      <c r="D8" s="7"/>
      <c r="E8" s="8" t="s">
        <v>8</v>
      </c>
      <c r="F8" s="8"/>
      <c r="G8" s="8"/>
      <c r="H8" s="8"/>
      <c r="I8" s="8"/>
      <c r="J8" s="8"/>
      <c r="K8" s="7" t="s">
        <v>9</v>
      </c>
      <c r="L8" s="9"/>
    </row>
    <row r="9" spans="1:12">
      <c r="A9" s="10" t="s">
        <v>10</v>
      </c>
      <c r="B9" s="11" t="s">
        <v>11</v>
      </c>
      <c r="C9" s="12">
        <v>2021</v>
      </c>
      <c r="D9" s="12"/>
      <c r="E9" s="12" t="s">
        <v>12</v>
      </c>
      <c r="F9" s="12"/>
      <c r="G9" s="12" t="s">
        <v>13</v>
      </c>
      <c r="H9" s="12"/>
      <c r="I9" s="13" t="s">
        <v>14</v>
      </c>
      <c r="J9" s="13"/>
      <c r="K9" s="12">
        <v>2023</v>
      </c>
      <c r="L9" s="14"/>
    </row>
    <row r="10" spans="1:12" customHeight="1" ht="15.75">
      <c r="A10" s="15"/>
      <c r="B10" s="16"/>
      <c r="C10" s="17" t="s">
        <v>15</v>
      </c>
      <c r="D10" s="17"/>
      <c r="E10" s="17" t="s">
        <v>15</v>
      </c>
      <c r="F10" s="17"/>
      <c r="G10" s="17" t="s">
        <v>16</v>
      </c>
      <c r="H10" s="17"/>
      <c r="I10" s="18"/>
      <c r="J10" s="18"/>
      <c r="K10" s="17" t="s">
        <v>17</v>
      </c>
      <c r="L10" s="19"/>
    </row>
    <row r="11" spans="1:12">
      <c r="A11" s="20" t="s">
        <v>18</v>
      </c>
      <c r="B11" s="21"/>
      <c r="C11" s="22"/>
      <c r="D11" s="23"/>
      <c r="E11" s="22"/>
      <c r="F11" s="23"/>
      <c r="G11" s="22"/>
      <c r="H11" s="23"/>
      <c r="I11" s="22"/>
      <c r="J11" s="23"/>
      <c r="K11" s="22"/>
      <c r="L11" s="24"/>
    </row>
    <row r="12" spans="1:12">
      <c r="A12" s="25" t="s">
        <v>19</v>
      </c>
      <c r="B12" s="21" t="s">
        <v>20</v>
      </c>
      <c r="C12" s="22" t="s">
        <v>21</v>
      </c>
      <c r="D12" s="26">
        <v>1070124</v>
      </c>
      <c r="E12" s="22" t="s">
        <v>21</v>
      </c>
      <c r="F12" s="26">
        <v>574978</v>
      </c>
      <c r="G12" s="22" t="s">
        <v>21</v>
      </c>
      <c r="H12" s="26">
        <f>J12-F12</f>
        <v>794386.99</v>
      </c>
      <c r="I12" s="22" t="s">
        <v>21</v>
      </c>
      <c r="J12" s="26">
        <v>1369364.99</v>
      </c>
      <c r="K12" s="22" t="s">
        <v>21</v>
      </c>
      <c r="L12" s="28">
        <v>1506816</v>
      </c>
    </row>
    <row r="13" spans="1:12">
      <c r="A13" s="29" t="s">
        <v>22</v>
      </c>
      <c r="B13" s="21"/>
      <c r="C13" s="22"/>
      <c r="D13" s="30"/>
      <c r="E13" s="22"/>
      <c r="F13" s="30"/>
      <c r="G13" s="22"/>
      <c r="H13" s="30"/>
      <c r="I13" s="22"/>
      <c r="J13" s="30"/>
      <c r="K13" s="22"/>
      <c r="L13" s="31"/>
    </row>
    <row r="14" spans="1:12">
      <c r="A14" s="25" t="s">
        <v>23</v>
      </c>
      <c r="B14" s="21" t="s">
        <v>24</v>
      </c>
      <c r="C14" s="22"/>
      <c r="D14" s="30">
        <v>48000</v>
      </c>
      <c r="E14" s="22"/>
      <c r="F14" s="30">
        <v>26000</v>
      </c>
      <c r="G14" s="22"/>
      <c r="H14" s="26">
        <f>J14-F14</f>
        <v>58064.52</v>
      </c>
      <c r="I14" s="22"/>
      <c r="J14" s="30">
        <v>84064.52</v>
      </c>
      <c r="K14" s="22"/>
      <c r="L14" s="31">
        <v>96000</v>
      </c>
    </row>
    <row r="15" spans="1:12">
      <c r="A15" s="25" t="s">
        <v>25</v>
      </c>
      <c r="B15" s="21" t="s">
        <v>26</v>
      </c>
      <c r="C15" s="22"/>
      <c r="D15" s="32">
        <v>72000</v>
      </c>
      <c r="E15" s="22"/>
      <c r="F15" s="32">
        <v>36000</v>
      </c>
      <c r="G15" s="22"/>
      <c r="H15" s="26">
        <f>J15-F15</f>
        <v>30000</v>
      </c>
      <c r="I15" s="22"/>
      <c r="J15" s="32">
        <v>66000</v>
      </c>
      <c r="K15" s="22"/>
      <c r="L15" s="33">
        <v>72000</v>
      </c>
    </row>
    <row r="16" spans="1:12">
      <c r="A16" s="25" t="s">
        <v>27</v>
      </c>
      <c r="B16" s="21" t="s">
        <v>28</v>
      </c>
      <c r="C16" s="22"/>
      <c r="D16" s="32">
        <v>72000</v>
      </c>
      <c r="E16" s="22"/>
      <c r="F16" s="32">
        <v>36000</v>
      </c>
      <c r="G16" s="22"/>
      <c r="H16" s="26">
        <f>J16-F16</f>
        <v>30000</v>
      </c>
      <c r="I16" s="22"/>
      <c r="J16" s="32">
        <v>66000</v>
      </c>
      <c r="K16" s="22"/>
      <c r="L16" s="33">
        <v>72000</v>
      </c>
    </row>
    <row r="17" spans="1:12">
      <c r="A17" s="25" t="s">
        <v>29</v>
      </c>
      <c r="B17" s="21" t="s">
        <v>30</v>
      </c>
      <c r="C17" s="22"/>
      <c r="D17" s="32">
        <v>12000</v>
      </c>
      <c r="E17" s="22"/>
      <c r="F17" s="32">
        <v>12000</v>
      </c>
      <c r="G17" s="22"/>
      <c r="H17" s="26">
        <f>J17-F17</f>
        <v>12000</v>
      </c>
      <c r="I17" s="22"/>
      <c r="J17" s="32">
        <v>24000</v>
      </c>
      <c r="K17" s="22"/>
      <c r="L17" s="33">
        <v>24000</v>
      </c>
    </row>
    <row r="18" spans="1:12">
      <c r="A18" s="25" t="s">
        <v>31</v>
      </c>
      <c r="B18" s="21" t="s">
        <v>32</v>
      </c>
      <c r="C18" s="22"/>
      <c r="D18" s="32">
        <v>10000</v>
      </c>
      <c r="E18" s="22"/>
      <c r="F18" s="32">
        <v>0</v>
      </c>
      <c r="G18" s="22"/>
      <c r="H18" s="26">
        <f>J18-F18</f>
        <v>20000</v>
      </c>
      <c r="I18" s="22"/>
      <c r="J18" s="32">
        <v>20000</v>
      </c>
      <c r="K18" s="22"/>
      <c r="L18" s="33">
        <v>20000</v>
      </c>
    </row>
    <row r="19" spans="1:12">
      <c r="A19" s="25" t="s">
        <v>33</v>
      </c>
      <c r="B19" s="21" t="s">
        <v>34</v>
      </c>
      <c r="C19" s="22"/>
      <c r="D19" s="32">
        <v>20000</v>
      </c>
      <c r="E19" s="22"/>
      <c r="F19" s="32">
        <v>0</v>
      </c>
      <c r="G19" s="22"/>
      <c r="H19" s="26">
        <f>J19-F19</f>
        <v>20000</v>
      </c>
      <c r="I19" s="22"/>
      <c r="J19" s="32">
        <v>20000</v>
      </c>
      <c r="K19" s="22"/>
      <c r="L19" s="33">
        <v>40000</v>
      </c>
    </row>
    <row r="20" spans="1:12">
      <c r="A20" s="25" t="s">
        <v>35</v>
      </c>
      <c r="B20" s="21" t="s">
        <v>36</v>
      </c>
      <c r="C20" s="22"/>
      <c r="D20" s="32">
        <v>89177</v>
      </c>
      <c r="E20" s="22"/>
      <c r="F20" s="32">
        <v>0</v>
      </c>
      <c r="G20" s="22"/>
      <c r="H20" s="26">
        <f>J20-F20</f>
        <v>131210</v>
      </c>
      <c r="I20" s="22"/>
      <c r="J20" s="32">
        <v>131210</v>
      </c>
      <c r="K20" s="22"/>
      <c r="L20" s="33">
        <v>125568</v>
      </c>
    </row>
    <row r="21" spans="1:12">
      <c r="A21" s="25" t="s">
        <v>37</v>
      </c>
      <c r="B21" s="21" t="s">
        <v>38</v>
      </c>
      <c r="C21" s="22"/>
      <c r="D21" s="32">
        <v>10000</v>
      </c>
      <c r="E21" s="22"/>
      <c r="F21" s="32">
        <v>0</v>
      </c>
      <c r="G21" s="22"/>
      <c r="H21" s="26">
        <f>J21-F21</f>
        <v>20000</v>
      </c>
      <c r="I21" s="22"/>
      <c r="J21" s="32">
        <v>20000</v>
      </c>
      <c r="K21" s="22"/>
      <c r="L21" s="33">
        <v>20000</v>
      </c>
    </row>
    <row r="22" spans="1:12">
      <c r="A22" s="25" t="s">
        <v>39</v>
      </c>
      <c r="B22" s="21" t="s">
        <v>40</v>
      </c>
      <c r="C22" s="22"/>
      <c r="D22" s="32">
        <v>89177</v>
      </c>
      <c r="E22" s="22"/>
      <c r="F22" s="32">
        <v>91138</v>
      </c>
      <c r="G22" s="22"/>
      <c r="H22" s="26">
        <f>J22-F22</f>
        <v>0</v>
      </c>
      <c r="I22" s="22"/>
      <c r="J22" s="32">
        <v>91138</v>
      </c>
      <c r="K22" s="22"/>
      <c r="L22" s="33">
        <v>125568</v>
      </c>
    </row>
    <row r="23" spans="1:12">
      <c r="A23" s="29" t="s">
        <v>41</v>
      </c>
      <c r="B23" s="21"/>
      <c r="C23" s="22"/>
      <c r="D23" s="30"/>
      <c r="E23" s="22"/>
      <c r="F23" s="30"/>
      <c r="G23" s="22"/>
      <c r="H23" s="30"/>
      <c r="I23" s="22"/>
      <c r="J23" s="30"/>
      <c r="K23" s="22"/>
      <c r="L23" s="31"/>
    </row>
    <row r="24" spans="1:12">
      <c r="A24" s="25" t="s">
        <v>42</v>
      </c>
      <c r="B24" s="21" t="s">
        <v>43</v>
      </c>
      <c r="C24" s="22"/>
      <c r="D24" s="30">
        <v>128414.88</v>
      </c>
      <c r="E24" s="22"/>
      <c r="F24" s="30">
        <v>68997.36</v>
      </c>
      <c r="G24" s="22"/>
      <c r="H24" s="26">
        <f>J24-F24</f>
        <v>95326.44</v>
      </c>
      <c r="I24" s="22"/>
      <c r="J24" s="30">
        <v>164323.8</v>
      </c>
      <c r="K24" s="22"/>
      <c r="L24" s="31">
        <v>180817.92</v>
      </c>
    </row>
    <row r="25" spans="1:12">
      <c r="A25" s="25" t="s">
        <v>44</v>
      </c>
      <c r="B25" s="21" t="s">
        <v>45</v>
      </c>
      <c r="C25" s="22"/>
      <c r="D25" s="32">
        <v>2400</v>
      </c>
      <c r="E25" s="22"/>
      <c r="F25" s="32">
        <v>1300</v>
      </c>
      <c r="G25" s="22"/>
      <c r="H25" s="26">
        <f>J25-F25</f>
        <v>2903.22</v>
      </c>
      <c r="I25" s="22"/>
      <c r="J25" s="32">
        <v>4203.22</v>
      </c>
      <c r="K25" s="22"/>
      <c r="L25" s="33">
        <v>4800</v>
      </c>
    </row>
    <row r="26" spans="1:12">
      <c r="A26" s="25" t="s">
        <v>46</v>
      </c>
      <c r="B26" s="21" t="s">
        <v>47</v>
      </c>
      <c r="C26" s="22"/>
      <c r="D26" s="32">
        <v>12861.96</v>
      </c>
      <c r="E26" s="22"/>
      <c r="F26" s="32">
        <v>7779.91</v>
      </c>
      <c r="G26" s="22"/>
      <c r="H26" s="26">
        <f>J26-F26</f>
        <v>9986.01</v>
      </c>
      <c r="I26" s="22"/>
      <c r="J26" s="32">
        <v>17765.92</v>
      </c>
      <c r="K26" s="22"/>
      <c r="L26" s="33">
        <v>33903.36</v>
      </c>
    </row>
    <row r="27" spans="1:12">
      <c r="A27" s="25" t="s">
        <v>48</v>
      </c>
      <c r="B27" s="21" t="s">
        <v>49</v>
      </c>
      <c r="C27" s="22"/>
      <c r="D27" s="32">
        <v>2400</v>
      </c>
      <c r="E27" s="22"/>
      <c r="F27" s="32">
        <v>1300</v>
      </c>
      <c r="G27" s="22"/>
      <c r="H27" s="26">
        <f>J27-F27</f>
        <v>2903.22</v>
      </c>
      <c r="I27" s="22"/>
      <c r="J27" s="32">
        <v>4203.22</v>
      </c>
      <c r="K27" s="22"/>
      <c r="L27" s="33">
        <v>4800</v>
      </c>
    </row>
    <row r="28" spans="1:12">
      <c r="A28" s="29" t="s">
        <v>50</v>
      </c>
      <c r="B28" s="21"/>
      <c r="C28" s="27"/>
      <c r="D28" s="30"/>
      <c r="E28" s="22"/>
      <c r="F28" s="30"/>
      <c r="G28" s="22"/>
      <c r="H28" s="30"/>
      <c r="I28" s="22"/>
      <c r="J28" s="30"/>
      <c r="K28" s="22"/>
      <c r="L28" s="31"/>
    </row>
    <row r="29" spans="1:12">
      <c r="A29" s="34" t="s">
        <v>51</v>
      </c>
      <c r="B29" s="21" t="s">
        <v>52</v>
      </c>
      <c r="C29" s="22"/>
      <c r="D29" s="26">
        <v>0</v>
      </c>
      <c r="E29" s="22"/>
      <c r="F29" s="26">
        <v>0</v>
      </c>
      <c r="G29" s="22"/>
      <c r="H29" s="26">
        <v>0</v>
      </c>
      <c r="I29" s="22"/>
      <c r="J29" s="26">
        <v>2743435.01</v>
      </c>
      <c r="K29" s="22"/>
      <c r="L29" s="28">
        <v>0</v>
      </c>
    </row>
    <row r="30" spans="1:12" customHeight="1" ht="15.75">
      <c r="A30" s="34" t="s">
        <v>53</v>
      </c>
      <c r="B30" s="21" t="s">
        <v>54</v>
      </c>
      <c r="C30" s="22"/>
      <c r="D30" s="35">
        <v>0</v>
      </c>
      <c r="E30" s="22"/>
      <c r="F30" s="35">
        <v>0</v>
      </c>
      <c r="G30" s="22"/>
      <c r="H30" s="35">
        <f>J30-F30</f>
        <v>5000</v>
      </c>
      <c r="I30" s="22"/>
      <c r="J30" s="35">
        <v>5000</v>
      </c>
      <c r="K30" s="22"/>
      <c r="L30" s="46">
        <v>0</v>
      </c>
    </row>
    <row r="31" spans="1:12">
      <c r="A31" s="29" t="s">
        <v>55</v>
      </c>
      <c r="B31" s="45"/>
      <c r="C31" s="58" t="s">
        <v>21</v>
      </c>
      <c r="D31" s="59">
        <f>SUM(D12:D30)</f>
        <v>1638554.84</v>
      </c>
      <c r="E31" s="60" t="s">
        <v>21</v>
      </c>
      <c r="F31" s="59">
        <f>SUM(F12:F30)</f>
        <v>855493.27</v>
      </c>
      <c r="G31" s="60" t="s">
        <v>21</v>
      </c>
      <c r="H31" s="59">
        <f>SUM(H12:H30)</f>
        <v>1231780.4</v>
      </c>
      <c r="I31" s="60" t="s">
        <v>21</v>
      </c>
      <c r="J31" s="59">
        <f>SUM(J12:J30)</f>
        <v>4830708.68</v>
      </c>
      <c r="K31" s="60" t="s">
        <v>21</v>
      </c>
      <c r="L31" s="61">
        <f>SUM(L12:L30)</f>
        <v>2326273.28</v>
      </c>
    </row>
    <row r="32" spans="1:12">
      <c r="A32" s="74" t="s">
        <v>56</v>
      </c>
      <c r="B32" s="75"/>
      <c r="C32" s="76"/>
      <c r="D32" s="77"/>
      <c r="E32" s="76"/>
      <c r="F32" s="77"/>
      <c r="G32" s="76"/>
      <c r="H32" s="77"/>
      <c r="I32" s="76"/>
      <c r="J32" s="77"/>
      <c r="K32" s="76"/>
      <c r="L32" s="78"/>
    </row>
    <row r="33" spans="1:12">
      <c r="A33" s="25" t="s">
        <v>57</v>
      </c>
      <c r="B33" s="21" t="s">
        <v>58</v>
      </c>
      <c r="C33" s="22" t="s">
        <v>21</v>
      </c>
      <c r="D33" s="30">
        <v>4250</v>
      </c>
      <c r="E33" s="22" t="s">
        <v>21</v>
      </c>
      <c r="F33" s="30">
        <v>4870</v>
      </c>
      <c r="G33" s="22" t="s">
        <v>21</v>
      </c>
      <c r="H33" s="30">
        <f>J33-F33</f>
        <v>60130</v>
      </c>
      <c r="I33" s="22" t="s">
        <v>21</v>
      </c>
      <c r="J33" s="30">
        <v>65000</v>
      </c>
      <c r="K33" s="22" t="s">
        <v>21</v>
      </c>
      <c r="L33" s="31">
        <v>64000</v>
      </c>
    </row>
    <row r="34" spans="1:12">
      <c r="A34" s="25" t="s">
        <v>61</v>
      </c>
      <c r="B34" s="21" t="s">
        <v>62</v>
      </c>
      <c r="C34" s="22"/>
      <c r="D34" s="30">
        <v>38910.35</v>
      </c>
      <c r="E34" s="22"/>
      <c r="F34" s="32">
        <v>20749</v>
      </c>
      <c r="G34" s="22"/>
      <c r="H34" s="32">
        <f>J34-F34</f>
        <v>34251</v>
      </c>
      <c r="I34" s="22"/>
      <c r="J34" s="32">
        <v>55000</v>
      </c>
      <c r="K34" s="22"/>
      <c r="L34" s="33">
        <v>50000</v>
      </c>
    </row>
    <row r="35" spans="1:12">
      <c r="A35" s="25" t="s">
        <v>71</v>
      </c>
      <c r="B35" s="21" t="s">
        <v>72</v>
      </c>
      <c r="C35" s="22"/>
      <c r="D35" s="30">
        <v>60000</v>
      </c>
      <c r="E35" s="22"/>
      <c r="F35" s="32">
        <v>30000</v>
      </c>
      <c r="G35" s="22"/>
      <c r="H35" s="32">
        <f>J35-F35</f>
        <v>30000</v>
      </c>
      <c r="I35" s="22"/>
      <c r="J35" s="32">
        <v>60000</v>
      </c>
      <c r="K35" s="22"/>
      <c r="L35" s="33">
        <v>60000</v>
      </c>
    </row>
    <row r="36" spans="1:12">
      <c r="A36" s="25" t="s">
        <v>73</v>
      </c>
      <c r="B36" s="21" t="s">
        <v>74</v>
      </c>
      <c r="C36" s="22"/>
      <c r="D36" s="30">
        <v>22246.4</v>
      </c>
      <c r="E36" s="22"/>
      <c r="F36" s="32">
        <v>12190.4</v>
      </c>
      <c r="G36" s="22"/>
      <c r="H36" s="32">
        <f>J36-F36</f>
        <v>12809.6</v>
      </c>
      <c r="I36" s="22"/>
      <c r="J36" s="32">
        <v>25000</v>
      </c>
      <c r="K36" s="22"/>
      <c r="L36" s="33">
        <v>25150</v>
      </c>
    </row>
    <row r="37" spans="1:12">
      <c r="A37" s="25" t="s">
        <v>81</v>
      </c>
      <c r="B37" s="21" t="s">
        <v>82</v>
      </c>
      <c r="C37" s="22"/>
      <c r="D37" s="30">
        <v>0</v>
      </c>
      <c r="E37" s="22"/>
      <c r="F37" s="32">
        <v>3350</v>
      </c>
      <c r="G37" s="22"/>
      <c r="H37" s="32">
        <f>J37-F37</f>
        <v>3650</v>
      </c>
      <c r="I37" s="22"/>
      <c r="J37" s="32">
        <v>7000</v>
      </c>
      <c r="K37" s="22"/>
      <c r="L37" s="33">
        <v>6000</v>
      </c>
    </row>
    <row r="38" spans="1:12" customHeight="1" ht="15.75">
      <c r="A38" s="25" t="s">
        <v>91</v>
      </c>
      <c r="B38" s="21" t="s">
        <v>92</v>
      </c>
      <c r="C38" s="22"/>
      <c r="D38" s="35">
        <v>19475</v>
      </c>
      <c r="E38" s="22"/>
      <c r="F38" s="35">
        <v>5000</v>
      </c>
      <c r="G38" s="22"/>
      <c r="H38" s="36">
        <f>J38-F38</f>
        <v>20000</v>
      </c>
      <c r="I38" s="22"/>
      <c r="J38" s="35">
        <v>25000</v>
      </c>
      <c r="K38" s="22"/>
      <c r="L38" s="46">
        <v>20000</v>
      </c>
    </row>
    <row r="39" spans="1:12">
      <c r="A39" s="29" t="s">
        <v>93</v>
      </c>
      <c r="B39" s="45"/>
      <c r="C39" s="48" t="s">
        <v>21</v>
      </c>
      <c r="D39" s="59">
        <f>SUM(D33:D38)</f>
        <v>144881.75</v>
      </c>
      <c r="E39" s="48" t="s">
        <v>21</v>
      </c>
      <c r="F39" s="59">
        <f>SUM(F33:F38)</f>
        <v>76159.4</v>
      </c>
      <c r="G39" s="48" t="s">
        <v>21</v>
      </c>
      <c r="H39" s="59">
        <f>SUM(H33:H38)</f>
        <v>160840.6</v>
      </c>
      <c r="I39" s="48" t="s">
        <v>21</v>
      </c>
      <c r="J39" s="59">
        <f>SUM(J33:J38)</f>
        <v>237000</v>
      </c>
      <c r="K39" s="48" t="s">
        <v>21</v>
      </c>
      <c r="L39" s="61">
        <f>SUM(L33:L38)</f>
        <v>225150</v>
      </c>
    </row>
    <row r="40" spans="1:12">
      <c r="A40" s="74" t="s">
        <v>94</v>
      </c>
      <c r="B40" s="75"/>
      <c r="C40" s="76"/>
      <c r="D40" s="71"/>
      <c r="E40" s="76"/>
      <c r="F40" s="71"/>
      <c r="G40" s="76"/>
      <c r="H40" s="71"/>
      <c r="I40" s="76"/>
      <c r="J40" s="71"/>
      <c r="K40" s="76"/>
      <c r="L40" s="79"/>
    </row>
    <row r="41" spans="1:12" customHeight="1" ht="15.75">
      <c r="A41" s="25" t="s">
        <v>133</v>
      </c>
      <c r="B41" s="21" t="s">
        <v>100</v>
      </c>
      <c r="C41" s="22" t="s">
        <v>21</v>
      </c>
      <c r="D41" s="30">
        <v>0</v>
      </c>
      <c r="E41" s="22" t="s">
        <v>21</v>
      </c>
      <c r="F41" s="30">
        <v>0</v>
      </c>
      <c r="G41" s="22" t="s">
        <v>21</v>
      </c>
      <c r="H41" s="30">
        <v>0</v>
      </c>
      <c r="I41" s="22" t="s">
        <v>21</v>
      </c>
      <c r="J41" s="30">
        <v>0</v>
      </c>
      <c r="K41" s="22" t="s">
        <v>21</v>
      </c>
      <c r="L41" s="31">
        <v>0</v>
      </c>
    </row>
    <row r="42" spans="1:12" customHeight="1" ht="15.75">
      <c r="A42" s="29" t="s">
        <v>103</v>
      </c>
      <c r="B42" s="21"/>
      <c r="C42" s="48" t="s">
        <v>21</v>
      </c>
      <c r="D42" s="63">
        <f>SUM(D41)</f>
        <v>0</v>
      </c>
      <c r="E42" s="48" t="s">
        <v>21</v>
      </c>
      <c r="F42" s="63">
        <f>SUM(F41)</f>
        <v>0</v>
      </c>
      <c r="G42" s="48" t="s">
        <v>21</v>
      </c>
      <c r="H42" s="63">
        <f>SUM(H41)</f>
        <v>0</v>
      </c>
      <c r="I42" s="48" t="s">
        <v>21</v>
      </c>
      <c r="J42" s="63">
        <f>SUM(J41)</f>
        <v>0</v>
      </c>
      <c r="K42" s="48" t="s">
        <v>21</v>
      </c>
      <c r="L42" s="64">
        <f>SUM(L41)</f>
        <v>0</v>
      </c>
    </row>
    <row r="43" spans="1:12" customHeight="1" ht="15.75">
      <c r="A43" s="49" t="s">
        <v>104</v>
      </c>
      <c r="B43" s="50"/>
      <c r="C43" s="51" t="s">
        <v>21</v>
      </c>
      <c r="D43" s="52">
        <f>D31+D39+D42</f>
        <v>1783436.59</v>
      </c>
      <c r="E43" s="53" t="s">
        <v>21</v>
      </c>
      <c r="F43" s="52">
        <f>F31+F39+F42</f>
        <v>931652.67</v>
      </c>
      <c r="G43" s="53" t="s">
        <v>21</v>
      </c>
      <c r="H43" s="52">
        <f>H31+H39+H42</f>
        <v>1392621</v>
      </c>
      <c r="I43" s="53" t="s">
        <v>21</v>
      </c>
      <c r="J43" s="52">
        <f>J31+J39+J42</f>
        <v>5067708.68</v>
      </c>
      <c r="K43" s="53" t="s">
        <v>21</v>
      </c>
      <c r="L43" s="65">
        <f>L31+L39+L42</f>
        <v>2551423.28</v>
      </c>
    </row>
    <row r="44" spans="1:12" customHeight="1" ht="15.75">
      <c r="A44" s="66"/>
      <c r="B44" s="67"/>
      <c r="C44" s="60"/>
      <c r="D44" s="68"/>
      <c r="E44" s="60"/>
      <c r="F44" s="68"/>
      <c r="G44" s="60"/>
      <c r="H44" s="68"/>
      <c r="I44" s="60"/>
      <c r="J44" s="68"/>
      <c r="K44" s="60"/>
      <c r="L44" s="68"/>
    </row>
    <row r="45" spans="1:12">
      <c r="A45" s="22" t="s">
        <v>105</v>
      </c>
      <c r="B45" s="22" t="s">
        <v>106</v>
      </c>
      <c r="C45" s="22"/>
      <c r="D45" s="22"/>
      <c r="E45" s="22"/>
      <c r="F45" s="22"/>
      <c r="G45" s="22" t="s">
        <v>107</v>
      </c>
      <c r="H45" s="22"/>
      <c r="L45" t="s">
        <v>134</v>
      </c>
    </row>
    <row r="47" spans="1:12">
      <c r="A47" s="44" t="s">
        <v>109</v>
      </c>
      <c r="B47" s="54" t="s">
        <v>109</v>
      </c>
      <c r="C47" s="54"/>
      <c r="D47" s="54"/>
      <c r="E47" s="54"/>
      <c r="F47" s="54"/>
      <c r="G47" s="55"/>
      <c r="H47" s="54" t="s">
        <v>117</v>
      </c>
      <c r="I47" s="54"/>
      <c r="J47" s="54"/>
      <c r="K47" s="54"/>
      <c r="L47" s="54"/>
    </row>
    <row r="48" spans="1:12">
      <c r="A48" s="56" t="s">
        <v>112</v>
      </c>
      <c r="B48" s="57" t="s">
        <v>112</v>
      </c>
      <c r="C48" s="57"/>
      <c r="D48" s="57"/>
      <c r="E48" s="57"/>
      <c r="F48" s="57"/>
      <c r="G48" s="22"/>
      <c r="H48" s="57" t="s">
        <v>111</v>
      </c>
      <c r="I48" s="57"/>
      <c r="J48" s="57"/>
      <c r="K48" s="57"/>
      <c r="L48" s="5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47:F47"/>
    <mergeCell ref="H47:L47"/>
    <mergeCell ref="B48:F48"/>
    <mergeCell ref="H48:L48"/>
    <mergeCell ref="C10:D10"/>
    <mergeCell ref="E10:F10"/>
    <mergeCell ref="G10:H10"/>
    <mergeCell ref="K10:L10"/>
    <mergeCell ref="A1:L1"/>
    <mergeCell ref="A2:L2"/>
    <mergeCell ref="C8:D8"/>
    <mergeCell ref="E8:J8"/>
    <mergeCell ref="K8:L8"/>
    <mergeCell ref="C9:D9"/>
    <mergeCell ref="E9:F9"/>
    <mergeCell ref="G9:H9"/>
    <mergeCell ref="I9:J10"/>
    <mergeCell ref="K9:L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9"/>
  <sheetViews>
    <sheetView tabSelected="0" workbookViewId="0" showGridLines="true" showRowColHeaders="1">
      <selection activeCell="A43" sqref="A43"/>
    </sheetView>
  </sheetViews>
  <sheetFormatPr defaultRowHeight="14.4" outlineLevelRow="0" outlineLevelCol="0"/>
  <cols>
    <col min="1" max="1" width="54.42578125" customWidth="true" style="0"/>
    <col min="2" max="2" width="13.28515625" customWidth="true" style="0"/>
    <col min="3" max="3" width="2.140625" customWidth="true" style="0"/>
    <col min="4" max="4" width="11.28515625" customWidth="true" style="0"/>
    <col min="5" max="5" width="2.7109375" customWidth="true" style="0"/>
    <col min="6" max="6" width="11.7109375" customWidth="true" style="0"/>
    <col min="7" max="7" width="2.7109375" customWidth="true" style="0"/>
    <col min="8" max="8" width="13.140625" customWidth="true" style="0"/>
    <col min="9" max="9" width="2.28515625" customWidth="true" style="0"/>
    <col min="10" max="10" width="11.5703125" customWidth="true" style="0"/>
    <col min="11" max="11" width="2.140625" customWidth="true" style="0"/>
    <col min="12" max="12" width="11.5703125" customWidth="true" style="0"/>
  </cols>
  <sheetData>
    <row r="1" spans="1:12" customHeight="1" ht="15.7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>
      <c r="A4" s="4" t="s">
        <v>2</v>
      </c>
      <c r="D4" t="s">
        <v>113</v>
      </c>
    </row>
    <row r="5" spans="1:12">
      <c r="A5" s="4" t="s">
        <v>4</v>
      </c>
      <c r="D5" s="4" t="s">
        <v>135</v>
      </c>
    </row>
    <row r="6" spans="1:12">
      <c r="A6" s="4" t="s">
        <v>6</v>
      </c>
      <c r="F6" s="4"/>
    </row>
    <row r="7" spans="1:12" customHeight="1" ht="15.75"/>
    <row r="8" spans="1:12">
      <c r="A8" s="5"/>
      <c r="B8" s="6"/>
      <c r="C8" s="7" t="s">
        <v>7</v>
      </c>
      <c r="D8" s="7"/>
      <c r="E8" s="8" t="s">
        <v>8</v>
      </c>
      <c r="F8" s="8"/>
      <c r="G8" s="8"/>
      <c r="H8" s="8"/>
      <c r="I8" s="8"/>
      <c r="J8" s="8"/>
      <c r="K8" s="7" t="s">
        <v>9</v>
      </c>
      <c r="L8" s="9"/>
    </row>
    <row r="9" spans="1:12">
      <c r="A9" s="10" t="s">
        <v>10</v>
      </c>
      <c r="B9" s="11" t="s">
        <v>11</v>
      </c>
      <c r="C9" s="12">
        <v>2021</v>
      </c>
      <c r="D9" s="12"/>
      <c r="E9" s="12" t="s">
        <v>12</v>
      </c>
      <c r="F9" s="12"/>
      <c r="G9" s="12" t="s">
        <v>13</v>
      </c>
      <c r="H9" s="12"/>
      <c r="I9" s="13" t="s">
        <v>14</v>
      </c>
      <c r="J9" s="13"/>
      <c r="K9" s="12">
        <v>2023</v>
      </c>
      <c r="L9" s="14"/>
    </row>
    <row r="10" spans="1:12" customHeight="1" ht="15.75">
      <c r="A10" s="15"/>
      <c r="B10" s="16"/>
      <c r="C10" s="17" t="s">
        <v>15</v>
      </c>
      <c r="D10" s="17"/>
      <c r="E10" s="17" t="s">
        <v>15</v>
      </c>
      <c r="F10" s="17"/>
      <c r="G10" s="17" t="s">
        <v>16</v>
      </c>
      <c r="H10" s="17"/>
      <c r="I10" s="18"/>
      <c r="J10" s="18"/>
      <c r="K10" s="17" t="s">
        <v>17</v>
      </c>
      <c r="L10" s="19"/>
    </row>
    <row r="11" spans="1:12">
      <c r="A11" s="20" t="s">
        <v>18</v>
      </c>
      <c r="B11" s="21"/>
      <c r="C11" s="22"/>
      <c r="D11" s="23"/>
      <c r="E11" s="22"/>
      <c r="F11" s="23"/>
      <c r="G11" s="22"/>
      <c r="H11" s="23"/>
      <c r="I11" s="22"/>
      <c r="J11" s="23"/>
      <c r="K11" s="22"/>
      <c r="L11" s="24"/>
    </row>
    <row r="12" spans="1:12">
      <c r="A12" s="25" t="s">
        <v>19</v>
      </c>
      <c r="B12" s="21" t="s">
        <v>20</v>
      </c>
      <c r="C12" s="22" t="s">
        <v>21</v>
      </c>
      <c r="D12" s="26">
        <v>1495621.52</v>
      </c>
      <c r="E12" s="22" t="s">
        <v>21</v>
      </c>
      <c r="F12" s="26">
        <v>686346.97</v>
      </c>
      <c r="G12" s="22" t="s">
        <v>21</v>
      </c>
      <c r="H12" s="26">
        <f>J12-F12</f>
        <v>998143.8</v>
      </c>
      <c r="I12" s="22" t="s">
        <v>21</v>
      </c>
      <c r="J12" s="26">
        <v>1684490.77</v>
      </c>
      <c r="K12" s="22" t="s">
        <v>21</v>
      </c>
      <c r="L12" s="28">
        <v>1761195</v>
      </c>
    </row>
    <row r="13" spans="1:12">
      <c r="A13" s="29" t="s">
        <v>22</v>
      </c>
      <c r="B13" s="21"/>
      <c r="C13" s="22"/>
      <c r="D13" s="30"/>
      <c r="E13" s="22"/>
      <c r="F13" s="30"/>
      <c r="G13" s="22"/>
      <c r="H13" s="30"/>
      <c r="I13" s="22"/>
      <c r="J13" s="30"/>
      <c r="K13" s="22"/>
      <c r="L13" s="31"/>
    </row>
    <row r="14" spans="1:12">
      <c r="A14" s="25" t="s">
        <v>23</v>
      </c>
      <c r="B14" s="21" t="s">
        <v>24</v>
      </c>
      <c r="C14" s="22"/>
      <c r="D14" s="30">
        <v>93000</v>
      </c>
      <c r="E14" s="22"/>
      <c r="F14" s="30">
        <v>44709.68</v>
      </c>
      <c r="G14" s="22"/>
      <c r="H14" s="26">
        <f>J14-F14</f>
        <v>70322.58</v>
      </c>
      <c r="I14" s="22"/>
      <c r="J14" s="30">
        <v>115032.26</v>
      </c>
      <c r="K14" s="22"/>
      <c r="L14" s="31">
        <v>120000</v>
      </c>
    </row>
    <row r="15" spans="1:12">
      <c r="A15" s="25" t="s">
        <v>25</v>
      </c>
      <c r="B15" s="21" t="s">
        <v>26</v>
      </c>
      <c r="C15" s="22"/>
      <c r="D15" s="32">
        <v>72000</v>
      </c>
      <c r="E15" s="22"/>
      <c r="F15" s="32">
        <v>36000</v>
      </c>
      <c r="G15" s="22"/>
      <c r="H15" s="26">
        <f>J15-F15</f>
        <v>36000</v>
      </c>
      <c r="I15" s="22"/>
      <c r="J15" s="32">
        <v>72000</v>
      </c>
      <c r="K15" s="22"/>
      <c r="L15" s="33">
        <v>72000</v>
      </c>
    </row>
    <row r="16" spans="1:12">
      <c r="A16" s="25" t="s">
        <v>27</v>
      </c>
      <c r="B16" s="21" t="s">
        <v>28</v>
      </c>
      <c r="C16" s="22"/>
      <c r="D16" s="32">
        <v>72000</v>
      </c>
      <c r="E16" s="22"/>
      <c r="F16" s="32">
        <v>36000</v>
      </c>
      <c r="G16" s="22"/>
      <c r="H16" s="26">
        <f>J16-F16</f>
        <v>36000</v>
      </c>
      <c r="I16" s="22"/>
      <c r="J16" s="32">
        <v>72000</v>
      </c>
      <c r="K16" s="22"/>
      <c r="L16" s="33">
        <v>72000</v>
      </c>
    </row>
    <row r="17" spans="1:12">
      <c r="A17" s="25" t="s">
        <v>29</v>
      </c>
      <c r="B17" s="21" t="s">
        <v>30</v>
      </c>
      <c r="C17" s="22"/>
      <c r="D17" s="32">
        <v>24000</v>
      </c>
      <c r="E17" s="22"/>
      <c r="F17" s="32">
        <v>18000</v>
      </c>
      <c r="G17" s="22"/>
      <c r="H17" s="26">
        <f>J17-F17</f>
        <v>12000</v>
      </c>
      <c r="I17" s="22"/>
      <c r="J17" s="32">
        <v>30000</v>
      </c>
      <c r="K17" s="22"/>
      <c r="L17" s="33">
        <v>30000</v>
      </c>
    </row>
    <row r="18" spans="1:12">
      <c r="A18" s="25" t="s">
        <v>31</v>
      </c>
      <c r="B18" s="21" t="s">
        <v>32</v>
      </c>
      <c r="C18" s="22"/>
      <c r="D18" s="32">
        <v>17500</v>
      </c>
      <c r="E18" s="22"/>
      <c r="F18" s="32">
        <v>0</v>
      </c>
      <c r="G18" s="22"/>
      <c r="H18" s="26">
        <f>J18-F18</f>
        <v>25000</v>
      </c>
      <c r="I18" s="22"/>
      <c r="J18" s="32">
        <v>25000</v>
      </c>
      <c r="K18" s="22"/>
      <c r="L18" s="33">
        <v>25000</v>
      </c>
    </row>
    <row r="19" spans="1:12">
      <c r="A19" s="25" t="s">
        <v>33</v>
      </c>
      <c r="B19" s="21" t="s">
        <v>34</v>
      </c>
      <c r="C19" s="22"/>
      <c r="D19" s="32">
        <v>30000</v>
      </c>
      <c r="E19" s="22"/>
      <c r="F19" s="32">
        <v>0</v>
      </c>
      <c r="G19" s="22"/>
      <c r="H19" s="26">
        <f>J19-F19</f>
        <v>10000</v>
      </c>
      <c r="I19" s="22"/>
      <c r="J19" s="32">
        <v>10000</v>
      </c>
      <c r="K19" s="22"/>
      <c r="L19" s="33">
        <v>50000</v>
      </c>
    </row>
    <row r="20" spans="1:12">
      <c r="A20" s="25" t="s">
        <v>35</v>
      </c>
      <c r="B20" s="21" t="s">
        <v>36</v>
      </c>
      <c r="C20" s="22"/>
      <c r="D20" s="32">
        <v>134354</v>
      </c>
      <c r="E20" s="22"/>
      <c r="F20" s="32">
        <v>0</v>
      </c>
      <c r="G20" s="22"/>
      <c r="H20" s="26">
        <f>J20-F20</f>
        <v>143169</v>
      </c>
      <c r="I20" s="22"/>
      <c r="J20" s="32">
        <v>143169</v>
      </c>
      <c r="K20" s="22"/>
      <c r="L20" s="33">
        <v>146774</v>
      </c>
    </row>
    <row r="21" spans="1:12">
      <c r="A21" s="25" t="s">
        <v>37</v>
      </c>
      <c r="B21" s="21" t="s">
        <v>38</v>
      </c>
      <c r="C21" s="22"/>
      <c r="D21" s="32">
        <v>20000</v>
      </c>
      <c r="E21" s="22"/>
      <c r="F21" s="32">
        <v>0</v>
      </c>
      <c r="G21" s="22"/>
      <c r="H21" s="26">
        <f>J21-F21</f>
        <v>25000</v>
      </c>
      <c r="I21" s="22"/>
      <c r="J21" s="32">
        <v>25000</v>
      </c>
      <c r="K21" s="22"/>
      <c r="L21" s="33">
        <v>25000</v>
      </c>
    </row>
    <row r="22" spans="1:12">
      <c r="A22" s="25" t="s">
        <v>39</v>
      </c>
      <c r="B22" s="21" t="s">
        <v>40</v>
      </c>
      <c r="C22" s="22"/>
      <c r="D22" s="32">
        <v>134354</v>
      </c>
      <c r="E22" s="22"/>
      <c r="F22" s="32">
        <v>98477</v>
      </c>
      <c r="G22" s="22"/>
      <c r="H22" s="26">
        <f>J22-F22</f>
        <v>31190</v>
      </c>
      <c r="I22" s="22"/>
      <c r="J22" s="32">
        <v>129667</v>
      </c>
      <c r="K22" s="22"/>
      <c r="L22" s="33">
        <v>146774</v>
      </c>
    </row>
    <row r="23" spans="1:12">
      <c r="A23" s="29" t="s">
        <v>41</v>
      </c>
      <c r="B23" s="21"/>
      <c r="C23" s="22"/>
      <c r="D23" s="30"/>
      <c r="E23" s="22"/>
      <c r="F23" s="30"/>
      <c r="G23" s="22"/>
      <c r="H23" s="30"/>
      <c r="I23" s="22"/>
      <c r="J23" s="30"/>
      <c r="K23" s="22"/>
      <c r="L23" s="31"/>
    </row>
    <row r="24" spans="1:12">
      <c r="A24" s="25" t="s">
        <v>42</v>
      </c>
      <c r="B24" s="21" t="s">
        <v>43</v>
      </c>
      <c r="C24" s="22"/>
      <c r="D24" s="30">
        <v>179474.58</v>
      </c>
      <c r="E24" s="22"/>
      <c r="F24" s="30">
        <v>82361.63</v>
      </c>
      <c r="G24" s="22"/>
      <c r="H24" s="26">
        <f>J24-F24</f>
        <v>119777.26</v>
      </c>
      <c r="I24" s="22"/>
      <c r="J24" s="30">
        <v>202138.89</v>
      </c>
      <c r="K24" s="22"/>
      <c r="L24" s="31">
        <v>211343.4</v>
      </c>
    </row>
    <row r="25" spans="1:12">
      <c r="A25" s="25" t="s">
        <v>44</v>
      </c>
      <c r="B25" s="21" t="s">
        <v>45</v>
      </c>
      <c r="C25" s="22"/>
      <c r="D25" s="32">
        <v>4700</v>
      </c>
      <c r="E25" s="22"/>
      <c r="F25" s="32">
        <v>2300</v>
      </c>
      <c r="G25" s="22"/>
      <c r="H25" s="26">
        <f>J25-F25</f>
        <v>3451.61</v>
      </c>
      <c r="I25" s="22"/>
      <c r="J25" s="32">
        <v>5751.61</v>
      </c>
      <c r="K25" s="22"/>
      <c r="L25" s="33">
        <v>6000</v>
      </c>
    </row>
    <row r="26" spans="1:12">
      <c r="A26" s="25" t="s">
        <v>46</v>
      </c>
      <c r="B26" s="21" t="s">
        <v>47</v>
      </c>
      <c r="C26" s="22"/>
      <c r="D26" s="32">
        <v>19776.03</v>
      </c>
      <c r="E26" s="22"/>
      <c r="F26" s="32">
        <v>9914.63</v>
      </c>
      <c r="G26" s="22"/>
      <c r="H26" s="26">
        <f>J26-F26</f>
        <v>13421.69</v>
      </c>
      <c r="I26" s="22"/>
      <c r="J26" s="32">
        <v>23336.32</v>
      </c>
      <c r="K26" s="22"/>
      <c r="L26" s="33">
        <v>39626.89</v>
      </c>
    </row>
    <row r="27" spans="1:12">
      <c r="A27" s="25" t="s">
        <v>48</v>
      </c>
      <c r="B27" s="21" t="s">
        <v>49</v>
      </c>
      <c r="C27" s="22"/>
      <c r="D27" s="32">
        <v>4400</v>
      </c>
      <c r="E27" s="22"/>
      <c r="F27" s="32">
        <v>2300</v>
      </c>
      <c r="G27" s="22"/>
      <c r="H27" s="26">
        <f>J27-F27</f>
        <v>3451.61</v>
      </c>
      <c r="I27" s="22"/>
      <c r="J27" s="32">
        <v>5751.61</v>
      </c>
      <c r="K27" s="22"/>
      <c r="L27" s="33">
        <v>6000</v>
      </c>
    </row>
    <row r="28" spans="1:12">
      <c r="A28" s="29" t="s">
        <v>50</v>
      </c>
      <c r="B28" s="21"/>
      <c r="C28" s="27"/>
      <c r="D28" s="30"/>
      <c r="E28" s="22"/>
      <c r="F28" s="30"/>
      <c r="G28" s="22"/>
      <c r="H28" s="30"/>
      <c r="I28" s="22"/>
      <c r="J28" s="30"/>
      <c r="K28" s="22"/>
      <c r="L28" s="31"/>
    </row>
    <row r="29" spans="1:12">
      <c r="A29" s="25" t="s">
        <v>51</v>
      </c>
      <c r="B29" s="21" t="s">
        <v>52</v>
      </c>
      <c r="C29" s="22"/>
      <c r="D29" s="26">
        <v>1250749.27</v>
      </c>
      <c r="E29" s="22"/>
      <c r="F29" s="26">
        <v>0</v>
      </c>
      <c r="G29" s="22"/>
      <c r="H29" s="26">
        <v>0</v>
      </c>
      <c r="I29" s="22"/>
      <c r="J29" s="26">
        <v>0</v>
      </c>
      <c r="K29" s="22"/>
      <c r="L29" s="28">
        <v>0</v>
      </c>
    </row>
    <row r="30" spans="1:12" customHeight="1" ht="15.75">
      <c r="A30" s="25" t="s">
        <v>53</v>
      </c>
      <c r="B30" s="21" t="s">
        <v>54</v>
      </c>
      <c r="C30" s="22"/>
      <c r="D30" s="35">
        <v>10000</v>
      </c>
      <c r="E30" s="22"/>
      <c r="F30" s="35">
        <v>0</v>
      </c>
      <c r="G30" s="22"/>
      <c r="H30" s="35">
        <v>0</v>
      </c>
      <c r="I30" s="22"/>
      <c r="J30" s="35">
        <v>0</v>
      </c>
      <c r="K30" s="22"/>
      <c r="L30" s="46">
        <v>0</v>
      </c>
    </row>
    <row r="31" spans="1:12">
      <c r="A31" s="29" t="s">
        <v>55</v>
      </c>
      <c r="B31" s="45"/>
      <c r="C31" s="58" t="s">
        <v>21</v>
      </c>
      <c r="D31" s="59">
        <f>SUM(D12:D30)</f>
        <v>3561929.4</v>
      </c>
      <c r="E31" s="60" t="s">
        <v>21</v>
      </c>
      <c r="F31" s="59">
        <f>SUM(F12:F30)</f>
        <v>1016409.91</v>
      </c>
      <c r="G31" s="60" t="s">
        <v>21</v>
      </c>
      <c r="H31" s="59">
        <f>SUM(H12:H30)</f>
        <v>1526927.55</v>
      </c>
      <c r="I31" s="60" t="s">
        <v>21</v>
      </c>
      <c r="J31" s="59">
        <f>SUM(J12:J30)</f>
        <v>2543337.46</v>
      </c>
      <c r="K31" s="60" t="s">
        <v>21</v>
      </c>
      <c r="L31" s="59">
        <f>SUM(L12:L30)</f>
        <v>2711713.29</v>
      </c>
    </row>
    <row r="32" spans="1:12">
      <c r="A32" s="74" t="s">
        <v>56</v>
      </c>
      <c r="B32" s="75"/>
      <c r="C32" s="76"/>
      <c r="D32" s="77"/>
      <c r="E32" s="76"/>
      <c r="F32" s="77"/>
      <c r="G32" s="76"/>
      <c r="H32" s="77"/>
      <c r="I32" s="76"/>
      <c r="J32" s="77"/>
      <c r="K32" s="76"/>
      <c r="L32" s="78"/>
    </row>
    <row r="33" spans="1:12">
      <c r="A33" s="25" t="s">
        <v>57</v>
      </c>
      <c r="B33" s="21" t="s">
        <v>58</v>
      </c>
      <c r="C33" s="22" t="s">
        <v>21</v>
      </c>
      <c r="D33" s="30">
        <v>14995</v>
      </c>
      <c r="E33" s="22" t="s">
        <v>21</v>
      </c>
      <c r="F33" s="30">
        <v>6500</v>
      </c>
      <c r="G33" s="22" t="s">
        <v>21</v>
      </c>
      <c r="H33" s="30">
        <f>J33-F33</f>
        <v>68500</v>
      </c>
      <c r="I33" s="22" t="s">
        <v>21</v>
      </c>
      <c r="J33" s="30">
        <v>75000</v>
      </c>
      <c r="K33" s="22" t="s">
        <v>21</v>
      </c>
      <c r="L33" s="31">
        <v>70000</v>
      </c>
    </row>
    <row r="34" spans="1:12">
      <c r="A34" s="25" t="s">
        <v>61</v>
      </c>
      <c r="B34" s="21" t="s">
        <v>62</v>
      </c>
      <c r="C34" s="22"/>
      <c r="D34" s="32">
        <v>86133.13</v>
      </c>
      <c r="E34" s="22"/>
      <c r="F34" s="32">
        <v>35820</v>
      </c>
      <c r="G34" s="22"/>
      <c r="H34" s="32">
        <f>J34-F34</f>
        <v>52180</v>
      </c>
      <c r="I34" s="22"/>
      <c r="J34" s="32">
        <v>88000</v>
      </c>
      <c r="K34" s="22"/>
      <c r="L34" s="33">
        <v>88000</v>
      </c>
    </row>
    <row r="35" spans="1:12">
      <c r="A35" s="25" t="s">
        <v>71</v>
      </c>
      <c r="B35" s="21" t="s">
        <v>72</v>
      </c>
      <c r="C35" s="22"/>
      <c r="D35" s="32">
        <v>69671.2</v>
      </c>
      <c r="E35" s="22"/>
      <c r="F35" s="32">
        <v>35358.51</v>
      </c>
      <c r="G35" s="22"/>
      <c r="H35" s="32">
        <f>J35-F35</f>
        <v>35641.49</v>
      </c>
      <c r="I35" s="22"/>
      <c r="J35" s="32">
        <v>71000</v>
      </c>
      <c r="K35" s="22"/>
      <c r="L35" s="33">
        <v>60000</v>
      </c>
    </row>
    <row r="36" spans="1:12">
      <c r="A36" s="25" t="s">
        <v>73</v>
      </c>
      <c r="B36" s="21" t="s">
        <v>74</v>
      </c>
      <c r="C36" s="22"/>
      <c r="D36" s="32">
        <v>16511.99</v>
      </c>
      <c r="E36" s="22"/>
      <c r="F36" s="32">
        <v>10234.57</v>
      </c>
      <c r="G36" s="22"/>
      <c r="H36" s="32">
        <f>J36-F36</f>
        <v>14765.43</v>
      </c>
      <c r="I36" s="22"/>
      <c r="J36" s="32">
        <v>25000</v>
      </c>
      <c r="K36" s="22"/>
      <c r="L36" s="33">
        <v>30000</v>
      </c>
    </row>
    <row r="37" spans="1:12">
      <c r="A37" s="25" t="s">
        <v>136</v>
      </c>
      <c r="B37" s="21" t="s">
        <v>137</v>
      </c>
      <c r="C37" s="22"/>
      <c r="D37" s="32">
        <v>65000</v>
      </c>
      <c r="E37" s="22"/>
      <c r="F37" s="32">
        <v>59361</v>
      </c>
      <c r="G37" s="22"/>
      <c r="H37" s="32">
        <f>J37-F37</f>
        <v>5639</v>
      </c>
      <c r="I37" s="22"/>
      <c r="J37" s="32">
        <v>65000</v>
      </c>
      <c r="K37" s="22"/>
      <c r="L37" s="33">
        <v>65000</v>
      </c>
    </row>
    <row r="38" spans="1:12">
      <c r="A38" s="25" t="s">
        <v>81</v>
      </c>
      <c r="B38" s="21" t="s">
        <v>82</v>
      </c>
      <c r="C38" s="22"/>
      <c r="D38" s="32">
        <v>2000</v>
      </c>
      <c r="E38" s="22"/>
      <c r="F38" s="32">
        <v>2000</v>
      </c>
      <c r="G38" s="22"/>
      <c r="H38" s="32">
        <f>J38-F38</f>
        <v>18000</v>
      </c>
      <c r="I38" s="22"/>
      <c r="J38" s="32">
        <v>20000</v>
      </c>
      <c r="K38" s="22"/>
      <c r="L38" s="33">
        <v>20000</v>
      </c>
    </row>
    <row r="39" spans="1:12" customHeight="1" ht="15.75">
      <c r="A39" s="25" t="s">
        <v>91</v>
      </c>
      <c r="B39" s="21" t="s">
        <v>92</v>
      </c>
      <c r="C39" s="22"/>
      <c r="D39" s="35">
        <v>14185</v>
      </c>
      <c r="E39" s="22"/>
      <c r="F39" s="35">
        <v>11580</v>
      </c>
      <c r="G39" s="22"/>
      <c r="H39" s="36">
        <f>J39-F39</f>
        <v>13420</v>
      </c>
      <c r="I39" s="22"/>
      <c r="J39" s="35">
        <v>25000</v>
      </c>
      <c r="K39" s="22"/>
      <c r="L39" s="46">
        <v>17550</v>
      </c>
    </row>
    <row r="40" spans="1:12">
      <c r="A40" s="29" t="s">
        <v>93</v>
      </c>
      <c r="B40" s="45"/>
      <c r="C40" s="48" t="s">
        <v>21</v>
      </c>
      <c r="D40" s="59">
        <f>SUM(D33:D39)</f>
        <v>268496.32</v>
      </c>
      <c r="E40" s="48" t="s">
        <v>21</v>
      </c>
      <c r="F40" s="59">
        <f>SUM(F33:F39)</f>
        <v>160854.08</v>
      </c>
      <c r="G40" s="48" t="s">
        <v>21</v>
      </c>
      <c r="H40" s="59">
        <f>SUM(H33:H39)</f>
        <v>208145.92</v>
      </c>
      <c r="I40" s="48" t="s">
        <v>21</v>
      </c>
      <c r="J40" s="59">
        <f>SUM(J33:J39)</f>
        <v>369000</v>
      </c>
      <c r="K40" s="48" t="s">
        <v>21</v>
      </c>
      <c r="L40" s="61">
        <f>SUM(L33:L39)</f>
        <v>350550</v>
      </c>
    </row>
    <row r="41" spans="1:12">
      <c r="A41" s="74" t="s">
        <v>94</v>
      </c>
      <c r="B41" s="75"/>
      <c r="C41" s="76"/>
      <c r="D41" s="71"/>
      <c r="E41" s="76"/>
      <c r="F41" s="71"/>
      <c r="G41" s="76"/>
      <c r="H41" s="71"/>
      <c r="I41" s="76"/>
      <c r="J41" s="71"/>
      <c r="K41" s="76"/>
      <c r="L41" s="79"/>
    </row>
    <row r="42" spans="1:12" customHeight="1" ht="15.75">
      <c r="A42" s="25" t="s">
        <v>115</v>
      </c>
      <c r="B42" s="21" t="s">
        <v>100</v>
      </c>
      <c r="C42" s="22" t="s">
        <v>21</v>
      </c>
      <c r="D42" s="30">
        <v>0</v>
      </c>
      <c r="E42" s="22" t="s">
        <v>21</v>
      </c>
      <c r="F42" s="30">
        <v>0</v>
      </c>
      <c r="G42" s="22" t="s">
        <v>21</v>
      </c>
      <c r="H42" s="30">
        <v>0</v>
      </c>
      <c r="I42" s="22" t="s">
        <v>21</v>
      </c>
      <c r="J42" s="30">
        <v>0</v>
      </c>
      <c r="K42" s="22" t="s">
        <v>21</v>
      </c>
      <c r="L42" s="31">
        <v>0</v>
      </c>
    </row>
    <row r="43" spans="1:12" customHeight="1" ht="15.75">
      <c r="A43" s="29" t="s">
        <v>103</v>
      </c>
      <c r="B43" s="21"/>
      <c r="C43" s="48" t="s">
        <v>21</v>
      </c>
      <c r="D43" s="63">
        <f>SUM(D42)</f>
        <v>0</v>
      </c>
      <c r="E43" s="48" t="s">
        <v>21</v>
      </c>
      <c r="F43" s="63">
        <f>SUM(F42)</f>
        <v>0</v>
      </c>
      <c r="G43" s="48" t="s">
        <v>21</v>
      </c>
      <c r="H43" s="63">
        <f>SUM(H42)</f>
        <v>0</v>
      </c>
      <c r="I43" s="48" t="s">
        <v>21</v>
      </c>
      <c r="J43" s="63">
        <f>SUM(J42)</f>
        <v>0</v>
      </c>
      <c r="K43" s="48" t="s">
        <v>21</v>
      </c>
      <c r="L43" s="64">
        <f>SUM(L42)</f>
        <v>0</v>
      </c>
    </row>
    <row r="44" spans="1:12" customHeight="1" ht="15.75">
      <c r="A44" s="49" t="s">
        <v>104</v>
      </c>
      <c r="B44" s="50"/>
      <c r="C44" s="51" t="s">
        <v>21</v>
      </c>
      <c r="D44" s="52">
        <f>D31+D40+D43</f>
        <v>3830425.72</v>
      </c>
      <c r="E44" s="53" t="s">
        <v>21</v>
      </c>
      <c r="F44" s="52">
        <f>F31+F40+F43</f>
        <v>1177263.99</v>
      </c>
      <c r="G44" s="53" t="s">
        <v>21</v>
      </c>
      <c r="H44" s="52">
        <f>H31+H40+H43</f>
        <v>1735073.47</v>
      </c>
      <c r="I44" s="53" t="s">
        <v>21</v>
      </c>
      <c r="J44" s="52">
        <f>J31+J40+J43</f>
        <v>2912337.46</v>
      </c>
      <c r="K44" s="53" t="s">
        <v>21</v>
      </c>
      <c r="L44" s="65">
        <f>L31+L40+L43</f>
        <v>3062263.29</v>
      </c>
    </row>
    <row r="45" spans="1:12" customHeight="1" ht="15.75">
      <c r="A45" s="66"/>
      <c r="B45" s="67"/>
      <c r="C45" s="60"/>
      <c r="D45" s="68"/>
      <c r="E45" s="60"/>
      <c r="F45" s="68"/>
      <c r="G45" s="60"/>
      <c r="H45" s="68"/>
      <c r="I45" s="60"/>
      <c r="J45" s="68"/>
      <c r="K45" s="60"/>
      <c r="L45" s="68"/>
    </row>
    <row r="46" spans="1:12">
      <c r="A46" s="22" t="s">
        <v>105</v>
      </c>
      <c r="B46" s="22" t="s">
        <v>106</v>
      </c>
      <c r="C46" s="22"/>
      <c r="D46" s="22"/>
      <c r="E46" s="22"/>
      <c r="F46" s="22"/>
      <c r="G46" s="22" t="s">
        <v>107</v>
      </c>
      <c r="H46" s="22"/>
    </row>
    <row r="48" spans="1:12">
      <c r="A48" s="44" t="s">
        <v>138</v>
      </c>
      <c r="B48" s="54" t="s">
        <v>109</v>
      </c>
      <c r="C48" s="54"/>
      <c r="D48" s="54"/>
      <c r="E48" s="54"/>
      <c r="F48" s="54"/>
      <c r="G48" s="55"/>
      <c r="H48" s="54" t="s">
        <v>117</v>
      </c>
      <c r="I48" s="54"/>
      <c r="J48" s="54"/>
      <c r="K48" s="54"/>
      <c r="L48" s="54"/>
    </row>
    <row r="49" spans="1:12">
      <c r="A49" s="56" t="s">
        <v>139</v>
      </c>
      <c r="B49" s="57" t="s">
        <v>112</v>
      </c>
      <c r="C49" s="57"/>
      <c r="D49" s="57"/>
      <c r="E49" s="57"/>
      <c r="F49" s="57"/>
      <c r="G49" s="22"/>
      <c r="H49" s="57" t="s">
        <v>111</v>
      </c>
      <c r="I49" s="57"/>
      <c r="J49" s="57"/>
      <c r="K49" s="57"/>
      <c r="L49" s="5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48:F48"/>
    <mergeCell ref="H48:L48"/>
    <mergeCell ref="B49:F49"/>
    <mergeCell ref="H49:L49"/>
    <mergeCell ref="C10:D10"/>
    <mergeCell ref="E10:F10"/>
    <mergeCell ref="G10:H10"/>
    <mergeCell ref="K10:L10"/>
    <mergeCell ref="A1:L1"/>
    <mergeCell ref="A2:L2"/>
    <mergeCell ref="C8:D8"/>
    <mergeCell ref="E8:J8"/>
    <mergeCell ref="K8:L8"/>
    <mergeCell ref="C9:D9"/>
    <mergeCell ref="E9:F9"/>
    <mergeCell ref="G9:H9"/>
    <mergeCell ref="I9:J10"/>
    <mergeCell ref="K9:L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1"/>
  <sheetViews>
    <sheetView tabSelected="0" workbookViewId="0" showGridLines="true" showRowColHeaders="1">
      <selection activeCell="H43" sqref="H43"/>
    </sheetView>
  </sheetViews>
  <sheetFormatPr defaultRowHeight="14.4" outlineLevelRow="0" outlineLevelCol="0"/>
  <cols>
    <col min="1" max="1" width="54.42578125" customWidth="true" style="0"/>
    <col min="2" max="2" width="13.28515625" customWidth="true" style="0"/>
    <col min="3" max="3" width="2.140625" customWidth="true" style="0"/>
    <col min="4" max="4" width="11.28515625" customWidth="true" style="0"/>
    <col min="5" max="5" width="2.7109375" customWidth="true" style="0"/>
    <col min="6" max="6" width="11.7109375" customWidth="true" style="0"/>
    <col min="7" max="7" width="2.7109375" customWidth="true" style="0"/>
    <col min="8" max="8" width="13.140625" customWidth="true" style="0"/>
    <col min="9" max="9" width="2.28515625" customWidth="true" style="0"/>
    <col min="10" max="10" width="11.5703125" customWidth="true" style="0"/>
    <col min="11" max="11" width="2.140625" customWidth="true" style="0"/>
    <col min="12" max="12" width="11.5703125" customWidth="true" style="0"/>
  </cols>
  <sheetData>
    <row r="1" spans="1:12" customHeight="1" ht="15.7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>
      <c r="A4" s="4" t="s">
        <v>2</v>
      </c>
      <c r="D4" t="s">
        <v>113</v>
      </c>
    </row>
    <row r="5" spans="1:12">
      <c r="A5" s="4" t="s">
        <v>4</v>
      </c>
      <c r="D5" s="4" t="s">
        <v>140</v>
      </c>
    </row>
    <row r="6" spans="1:12">
      <c r="A6" s="4" t="s">
        <v>6</v>
      </c>
      <c r="F6" s="4"/>
    </row>
    <row r="7" spans="1:12" customHeight="1" ht="15.75"/>
    <row r="8" spans="1:12">
      <c r="A8" s="5"/>
      <c r="B8" s="6"/>
      <c r="C8" s="89" t="s">
        <v>7</v>
      </c>
      <c r="D8" s="94"/>
      <c r="E8" s="91" t="s">
        <v>8</v>
      </c>
      <c r="F8" s="92"/>
      <c r="G8" s="92"/>
      <c r="H8" s="92"/>
      <c r="I8" s="92"/>
      <c r="J8" s="93"/>
      <c r="K8" s="89" t="s">
        <v>9</v>
      </c>
      <c r="L8" s="90"/>
    </row>
    <row r="9" spans="1:12">
      <c r="A9" s="10" t="s">
        <v>10</v>
      </c>
      <c r="B9" s="11" t="s">
        <v>11</v>
      </c>
      <c r="C9" s="80">
        <v>2021</v>
      </c>
      <c r="D9" s="88"/>
      <c r="E9" s="86" t="s">
        <v>12</v>
      </c>
      <c r="F9" s="87"/>
      <c r="G9" s="86" t="s">
        <v>13</v>
      </c>
      <c r="H9" s="87"/>
      <c r="I9" s="82" t="s">
        <v>14</v>
      </c>
      <c r="J9" s="83"/>
      <c r="K9" s="80">
        <v>2023</v>
      </c>
      <c r="L9" s="81"/>
    </row>
    <row r="10" spans="1:12" customHeight="1" ht="15.75">
      <c r="A10" s="15"/>
      <c r="B10" s="16"/>
      <c r="C10" s="95" t="s">
        <v>15</v>
      </c>
      <c r="D10" s="97"/>
      <c r="E10" s="95" t="s">
        <v>15</v>
      </c>
      <c r="F10" s="97"/>
      <c r="G10" s="95" t="s">
        <v>16</v>
      </c>
      <c r="H10" s="97"/>
      <c r="I10" s="84"/>
      <c r="J10" s="85"/>
      <c r="K10" s="95" t="s">
        <v>17</v>
      </c>
      <c r="L10" s="96"/>
    </row>
    <row r="11" spans="1:12">
      <c r="A11" s="20" t="s">
        <v>18</v>
      </c>
      <c r="B11" s="21"/>
      <c r="C11" s="22"/>
      <c r="D11" s="23"/>
      <c r="E11" s="22"/>
      <c r="F11" s="23"/>
      <c r="G11" s="22"/>
      <c r="H11" s="23"/>
      <c r="I11" s="22"/>
      <c r="J11" s="23"/>
      <c r="K11" s="22"/>
      <c r="L11" s="24"/>
    </row>
    <row r="12" spans="1:12">
      <c r="A12" s="25" t="s">
        <v>19</v>
      </c>
      <c r="B12" s="21" t="s">
        <v>20</v>
      </c>
      <c r="C12" s="22" t="s">
        <v>21</v>
      </c>
      <c r="D12" s="26">
        <v>1801874.13</v>
      </c>
      <c r="E12" s="22" t="s">
        <v>21</v>
      </c>
      <c r="F12" s="26">
        <v>514962.29</v>
      </c>
      <c r="G12" s="22" t="s">
        <v>21</v>
      </c>
      <c r="H12" s="26">
        <f>J12-F12</f>
        <v>2035689</v>
      </c>
      <c r="I12" s="22" t="s">
        <v>21</v>
      </c>
      <c r="J12" s="26">
        <v>2550651.29</v>
      </c>
      <c r="K12" s="22" t="s">
        <v>21</v>
      </c>
      <c r="L12" s="28">
        <v>2648511.74</v>
      </c>
    </row>
    <row r="13" spans="1:12">
      <c r="A13" s="29" t="s">
        <v>22</v>
      </c>
      <c r="B13" s="21"/>
      <c r="C13" s="22"/>
      <c r="D13" s="30"/>
      <c r="E13" s="22"/>
      <c r="F13" s="30"/>
      <c r="G13" s="22"/>
      <c r="H13" s="30"/>
      <c r="I13" s="22"/>
      <c r="J13" s="30"/>
      <c r="K13" s="22"/>
      <c r="L13" s="31"/>
    </row>
    <row r="14" spans="1:12">
      <c r="A14" s="25" t="s">
        <v>23</v>
      </c>
      <c r="B14" s="21" t="s">
        <v>24</v>
      </c>
      <c r="C14" s="22"/>
      <c r="D14" s="30">
        <v>141000</v>
      </c>
      <c r="E14" s="22"/>
      <c r="F14" s="30">
        <v>60000</v>
      </c>
      <c r="G14" s="22"/>
      <c r="H14" s="26">
        <f>J14-F14</f>
        <v>108000</v>
      </c>
      <c r="I14" s="22"/>
      <c r="J14" s="30">
        <v>168000</v>
      </c>
      <c r="K14" s="22"/>
      <c r="L14" s="31">
        <v>192000</v>
      </c>
    </row>
    <row r="15" spans="1:12">
      <c r="A15" s="25" t="s">
        <v>25</v>
      </c>
      <c r="B15" s="21" t="s">
        <v>26</v>
      </c>
      <c r="C15" s="22"/>
      <c r="D15" s="32">
        <v>72000</v>
      </c>
      <c r="E15" s="22"/>
      <c r="F15" s="32">
        <v>36000</v>
      </c>
      <c r="G15" s="22"/>
      <c r="H15" s="26">
        <f>J15-F15</f>
        <v>84000</v>
      </c>
      <c r="I15" s="22"/>
      <c r="J15" s="32">
        <v>120000</v>
      </c>
      <c r="K15" s="22"/>
      <c r="L15" s="33">
        <v>72000</v>
      </c>
    </row>
    <row r="16" spans="1:12">
      <c r="A16" s="25" t="s">
        <v>27</v>
      </c>
      <c r="B16" s="21" t="s">
        <v>28</v>
      </c>
      <c r="C16" s="22"/>
      <c r="D16" s="32">
        <v>72000</v>
      </c>
      <c r="E16" s="22"/>
      <c r="F16" s="32">
        <v>36000</v>
      </c>
      <c r="G16" s="22"/>
      <c r="H16" s="26">
        <f>J16-F16</f>
        <v>84000</v>
      </c>
      <c r="I16" s="22"/>
      <c r="J16" s="32">
        <v>120000</v>
      </c>
      <c r="K16" s="22"/>
      <c r="L16" s="33">
        <v>72000</v>
      </c>
    </row>
    <row r="17" spans="1:12">
      <c r="A17" s="25" t="s">
        <v>29</v>
      </c>
      <c r="B17" s="21" t="s">
        <v>30</v>
      </c>
      <c r="C17" s="22"/>
      <c r="D17" s="32">
        <v>36000</v>
      </c>
      <c r="E17" s="22"/>
      <c r="F17" s="32">
        <v>30000</v>
      </c>
      <c r="G17" s="22"/>
      <c r="H17" s="26">
        <f>J17-F17</f>
        <v>12000</v>
      </c>
      <c r="I17" s="22"/>
      <c r="J17" s="32">
        <v>42000</v>
      </c>
      <c r="K17" s="22"/>
      <c r="L17" s="33">
        <v>48000</v>
      </c>
    </row>
    <row r="18" spans="1:12">
      <c r="A18" s="25" t="s">
        <v>31</v>
      </c>
      <c r="B18" s="21" t="s">
        <v>32</v>
      </c>
      <c r="C18" s="22"/>
      <c r="D18" s="32">
        <v>27500</v>
      </c>
      <c r="E18" s="22"/>
      <c r="F18" s="32">
        <v>0</v>
      </c>
      <c r="G18" s="22"/>
      <c r="H18" s="26">
        <f>J18-F18</f>
        <v>35000</v>
      </c>
      <c r="I18" s="22"/>
      <c r="J18" s="32">
        <v>35000</v>
      </c>
      <c r="K18" s="22"/>
      <c r="L18" s="33">
        <v>40000</v>
      </c>
    </row>
    <row r="19" spans="1:12">
      <c r="A19" s="25" t="s">
        <v>33</v>
      </c>
      <c r="B19" s="21" t="s">
        <v>34</v>
      </c>
      <c r="C19" s="22"/>
      <c r="D19" s="32">
        <v>50000</v>
      </c>
      <c r="E19" s="22"/>
      <c r="F19" s="32">
        <v>0</v>
      </c>
      <c r="G19" s="22"/>
      <c r="H19" s="26">
        <f>J19-F19</f>
        <v>0</v>
      </c>
      <c r="I19" s="22"/>
      <c r="J19" s="32">
        <v>0</v>
      </c>
      <c r="K19" s="22"/>
      <c r="L19" s="33">
        <v>80000</v>
      </c>
    </row>
    <row r="20" spans="1:12">
      <c r="A20" s="25" t="s">
        <v>35</v>
      </c>
      <c r="B20" s="21" t="s">
        <v>36</v>
      </c>
      <c r="C20" s="22"/>
      <c r="D20" s="32">
        <v>159967</v>
      </c>
      <c r="E20" s="22"/>
      <c r="F20" s="32">
        <v>0</v>
      </c>
      <c r="G20" s="22"/>
      <c r="H20" s="26">
        <f>J20-F20</f>
        <v>212633</v>
      </c>
      <c r="I20" s="22"/>
      <c r="J20" s="32">
        <v>212633</v>
      </c>
      <c r="K20" s="22"/>
      <c r="L20" s="33">
        <v>220711</v>
      </c>
    </row>
    <row r="21" spans="1:12">
      <c r="A21" s="25" t="s">
        <v>37</v>
      </c>
      <c r="B21" s="21" t="s">
        <v>38</v>
      </c>
      <c r="C21" s="22"/>
      <c r="D21" s="32">
        <v>30000</v>
      </c>
      <c r="E21" s="22"/>
      <c r="F21" s="32">
        <v>0</v>
      </c>
      <c r="G21" s="22"/>
      <c r="H21" s="26">
        <f>J21-F21</f>
        <v>35000</v>
      </c>
      <c r="I21" s="22"/>
      <c r="J21" s="32">
        <v>35000</v>
      </c>
      <c r="K21" s="22"/>
      <c r="L21" s="33">
        <v>40000</v>
      </c>
    </row>
    <row r="22" spans="1:12">
      <c r="A22" s="25" t="s">
        <v>39</v>
      </c>
      <c r="B22" s="21" t="s">
        <v>40</v>
      </c>
      <c r="C22" s="22"/>
      <c r="D22" s="32">
        <v>159835</v>
      </c>
      <c r="E22" s="22"/>
      <c r="F22" s="32">
        <v>85836</v>
      </c>
      <c r="G22" s="22"/>
      <c r="H22" s="26">
        <f>J22-F22</f>
        <v>126698</v>
      </c>
      <c r="I22" s="22"/>
      <c r="J22" s="32">
        <v>212534</v>
      </c>
      <c r="K22" s="22"/>
      <c r="L22" s="33">
        <v>220711</v>
      </c>
    </row>
    <row r="23" spans="1:12">
      <c r="A23" s="29" t="s">
        <v>41</v>
      </c>
      <c r="B23" s="21"/>
      <c r="C23" s="22"/>
      <c r="D23" s="30"/>
      <c r="E23" s="22"/>
      <c r="F23" s="30"/>
      <c r="G23" s="22"/>
      <c r="H23" s="30"/>
      <c r="I23" s="22"/>
      <c r="J23" s="30"/>
      <c r="K23" s="22"/>
      <c r="L23" s="31"/>
    </row>
    <row r="24" spans="1:12">
      <c r="A24" s="25" t="s">
        <v>42</v>
      </c>
      <c r="B24" s="21" t="s">
        <v>43</v>
      </c>
      <c r="C24" s="22"/>
      <c r="D24" s="30">
        <v>216224.9</v>
      </c>
      <c r="E24" s="22"/>
      <c r="F24" s="30">
        <v>62295.47</v>
      </c>
      <c r="G24" s="22"/>
      <c r="H24" s="26">
        <f>J24-F24</f>
        <v>243782.68</v>
      </c>
      <c r="I24" s="22"/>
      <c r="J24" s="30">
        <v>306078.15</v>
      </c>
      <c r="K24" s="22"/>
      <c r="L24" s="31">
        <v>317821.41</v>
      </c>
    </row>
    <row r="25" spans="1:12">
      <c r="A25" s="25" t="s">
        <v>44</v>
      </c>
      <c r="B25" s="21" t="s">
        <v>45</v>
      </c>
      <c r="C25" s="22"/>
      <c r="D25" s="32">
        <v>7000</v>
      </c>
      <c r="E25" s="22"/>
      <c r="F25" s="32">
        <v>2500</v>
      </c>
      <c r="G25" s="22"/>
      <c r="H25" s="26">
        <f>J25-F25</f>
        <v>5900</v>
      </c>
      <c r="I25" s="22"/>
      <c r="J25" s="32">
        <v>8400</v>
      </c>
      <c r="K25" s="22"/>
      <c r="L25" s="33">
        <v>9600</v>
      </c>
    </row>
    <row r="26" spans="1:12">
      <c r="A26" s="25" t="s">
        <v>46</v>
      </c>
      <c r="B26" s="21" t="s">
        <v>47</v>
      </c>
      <c r="C26" s="22"/>
      <c r="D26" s="32">
        <v>24369.98</v>
      </c>
      <c r="E26" s="22"/>
      <c r="F26" s="32">
        <v>8153.67</v>
      </c>
      <c r="G26" s="22"/>
      <c r="H26" s="26">
        <f>J26-F26</f>
        <v>28175.11</v>
      </c>
      <c r="I26" s="22"/>
      <c r="J26" s="32">
        <v>36328.78</v>
      </c>
      <c r="K26" s="22"/>
      <c r="L26" s="33">
        <v>59591.51</v>
      </c>
    </row>
    <row r="27" spans="1:12">
      <c r="A27" s="25" t="s">
        <v>48</v>
      </c>
      <c r="B27" s="21" t="s">
        <v>49</v>
      </c>
      <c r="C27" s="22"/>
      <c r="D27" s="32">
        <v>7400</v>
      </c>
      <c r="E27" s="22"/>
      <c r="F27" s="32">
        <v>3000</v>
      </c>
      <c r="G27" s="22"/>
      <c r="H27" s="26">
        <f>J27-F27</f>
        <v>5400</v>
      </c>
      <c r="I27" s="22"/>
      <c r="J27" s="32">
        <v>8400</v>
      </c>
      <c r="K27" s="22"/>
      <c r="L27" s="33">
        <v>9600</v>
      </c>
    </row>
    <row r="28" spans="1:12">
      <c r="A28" s="29" t="s">
        <v>50</v>
      </c>
      <c r="B28" s="21"/>
      <c r="C28" s="27"/>
      <c r="D28" s="30"/>
      <c r="E28" s="22"/>
      <c r="F28" s="30"/>
      <c r="G28" s="22"/>
      <c r="H28" s="30"/>
      <c r="I28" s="22"/>
      <c r="J28" s="30"/>
      <c r="K28" s="22"/>
      <c r="L28" s="31"/>
    </row>
    <row r="29" spans="1:12">
      <c r="A29" s="25" t="s">
        <v>141</v>
      </c>
      <c r="B29" s="21" t="s">
        <v>52</v>
      </c>
      <c r="C29" s="22"/>
      <c r="D29" s="26">
        <v>1298637.19</v>
      </c>
      <c r="E29" s="22"/>
      <c r="F29" s="26">
        <v>0</v>
      </c>
      <c r="G29" s="22"/>
      <c r="H29" s="26">
        <f>J29-F29</f>
        <v>0</v>
      </c>
      <c r="I29" s="22"/>
      <c r="J29" s="26">
        <v>0</v>
      </c>
      <c r="K29" s="22"/>
      <c r="L29" s="28">
        <v>0</v>
      </c>
    </row>
    <row r="30" spans="1:12" customHeight="1" ht="15.75">
      <c r="A30" s="25" t="s">
        <v>142</v>
      </c>
      <c r="B30" s="21" t="s">
        <v>54</v>
      </c>
      <c r="C30" s="22"/>
      <c r="D30" s="35">
        <v>15000</v>
      </c>
      <c r="E30" s="22"/>
      <c r="F30" s="35">
        <v>0</v>
      </c>
      <c r="G30" s="22"/>
      <c r="H30" s="26">
        <f>J30-F30</f>
        <v>10000</v>
      </c>
      <c r="I30" s="22"/>
      <c r="J30" s="35">
        <v>10000</v>
      </c>
      <c r="K30" s="22"/>
      <c r="L30" s="46">
        <v>0</v>
      </c>
    </row>
    <row r="31" spans="1:12">
      <c r="A31" s="29" t="s">
        <v>55</v>
      </c>
      <c r="B31" s="45"/>
      <c r="C31" s="58" t="s">
        <v>21</v>
      </c>
      <c r="D31" s="59">
        <f>SUM(D12:D30)</f>
        <v>4118808.2</v>
      </c>
      <c r="E31" s="60" t="s">
        <v>21</v>
      </c>
      <c r="F31" s="59">
        <f>SUM(F12:F30)</f>
        <v>838747.43</v>
      </c>
      <c r="G31" s="60" t="s">
        <v>21</v>
      </c>
      <c r="H31" s="59">
        <f>SUM(H12:H30)</f>
        <v>3026277.79</v>
      </c>
      <c r="I31" s="60" t="s">
        <v>21</v>
      </c>
      <c r="J31" s="59">
        <f>SUM(J12:J30)</f>
        <v>3865025.22</v>
      </c>
      <c r="K31" s="60" t="s">
        <v>21</v>
      </c>
      <c r="L31" s="59">
        <f>SUM(L12:L30)</f>
        <v>4030546.66</v>
      </c>
    </row>
    <row r="32" spans="1:12">
      <c r="A32" s="74" t="s">
        <v>56</v>
      </c>
      <c r="B32" s="75"/>
      <c r="C32" s="76"/>
      <c r="D32" s="77"/>
      <c r="E32" s="76"/>
      <c r="F32" s="77"/>
      <c r="G32" s="76"/>
      <c r="H32" s="77"/>
      <c r="I32" s="76"/>
      <c r="J32" s="77"/>
      <c r="K32" s="76"/>
      <c r="L32" s="78"/>
    </row>
    <row r="33" spans="1:12">
      <c r="A33" s="25" t="s">
        <v>57</v>
      </c>
      <c r="B33" s="21" t="s">
        <v>58</v>
      </c>
      <c r="C33" s="22" t="s">
        <v>21</v>
      </c>
      <c r="D33" s="30">
        <v>42409.49</v>
      </c>
      <c r="E33" s="22" t="s">
        <v>21</v>
      </c>
      <c r="F33" s="30">
        <v>24576</v>
      </c>
      <c r="G33" s="22" t="s">
        <v>21</v>
      </c>
      <c r="H33" s="30">
        <f>J33-F33</f>
        <v>104424</v>
      </c>
      <c r="I33" s="22" t="s">
        <v>21</v>
      </c>
      <c r="J33" s="30">
        <v>129000</v>
      </c>
      <c r="K33" s="22" t="s">
        <v>21</v>
      </c>
      <c r="L33" s="31">
        <v>112900</v>
      </c>
    </row>
    <row r="34" spans="1:12">
      <c r="A34" s="25" t="s">
        <v>61</v>
      </c>
      <c r="B34" s="21" t="s">
        <v>62</v>
      </c>
      <c r="C34" s="22"/>
      <c r="D34" s="32">
        <v>84718.81</v>
      </c>
      <c r="E34" s="22"/>
      <c r="F34" s="32">
        <v>40405</v>
      </c>
      <c r="G34" s="22"/>
      <c r="H34" s="32">
        <f>J34-F34</f>
        <v>47595</v>
      </c>
      <c r="I34" s="22"/>
      <c r="J34" s="32">
        <v>88000</v>
      </c>
      <c r="K34" s="22"/>
      <c r="L34" s="33">
        <v>88000</v>
      </c>
    </row>
    <row r="35" spans="1:12">
      <c r="A35" s="25" t="s">
        <v>143</v>
      </c>
      <c r="B35" s="21" t="s">
        <v>144</v>
      </c>
      <c r="C35" s="22"/>
      <c r="D35" s="32">
        <v>69280</v>
      </c>
      <c r="E35" s="22"/>
      <c r="F35" s="32">
        <v>72230</v>
      </c>
      <c r="G35" s="22"/>
      <c r="H35" s="32">
        <f>J35-F35</f>
        <v>22770</v>
      </c>
      <c r="I35" s="22"/>
      <c r="J35" s="32">
        <v>95000</v>
      </c>
      <c r="K35" s="22"/>
      <c r="L35" s="33">
        <v>95000</v>
      </c>
    </row>
    <row r="36" spans="1:12">
      <c r="A36" s="25" t="s">
        <v>69</v>
      </c>
      <c r="B36" s="21" t="s">
        <v>70</v>
      </c>
      <c r="C36" s="22"/>
      <c r="D36" s="32">
        <v>3019</v>
      </c>
      <c r="E36" s="22"/>
      <c r="F36" s="32">
        <v>460</v>
      </c>
      <c r="G36" s="22"/>
      <c r="H36" s="32">
        <f>J36-F36</f>
        <v>4540</v>
      </c>
      <c r="I36" s="22"/>
      <c r="J36" s="32">
        <v>5000</v>
      </c>
      <c r="K36" s="22"/>
      <c r="L36" s="33">
        <v>5000</v>
      </c>
    </row>
    <row r="37" spans="1:12">
      <c r="A37" s="25" t="s">
        <v>71</v>
      </c>
      <c r="B37" s="21" t="s">
        <v>72</v>
      </c>
      <c r="C37" s="22"/>
      <c r="D37" s="32">
        <v>60000</v>
      </c>
      <c r="E37" s="22"/>
      <c r="F37" s="32">
        <v>30840.57</v>
      </c>
      <c r="G37" s="22"/>
      <c r="H37" s="32">
        <f>J37-F37</f>
        <v>44159.43</v>
      </c>
      <c r="I37" s="22"/>
      <c r="J37" s="32">
        <v>75000</v>
      </c>
      <c r="K37" s="22"/>
      <c r="L37" s="33">
        <v>60000</v>
      </c>
    </row>
    <row r="38" spans="1:12">
      <c r="A38" s="25" t="s">
        <v>73</v>
      </c>
      <c r="B38" s="21" t="s">
        <v>74</v>
      </c>
      <c r="C38" s="22"/>
      <c r="D38" s="32">
        <v>16793.52</v>
      </c>
      <c r="E38" s="22"/>
      <c r="F38" s="32">
        <v>9897.76</v>
      </c>
      <c r="G38" s="22"/>
      <c r="H38" s="32">
        <f>J38-F38</f>
        <v>15102.24</v>
      </c>
      <c r="I38" s="22"/>
      <c r="J38" s="32">
        <v>25000</v>
      </c>
      <c r="K38" s="22"/>
      <c r="L38" s="33">
        <v>30000</v>
      </c>
    </row>
    <row r="39" spans="1:12">
      <c r="A39" s="25" t="s">
        <v>81</v>
      </c>
      <c r="B39" s="21" t="s">
        <v>82</v>
      </c>
      <c r="C39" s="22"/>
      <c r="D39" s="32">
        <v>3250</v>
      </c>
      <c r="E39" s="22"/>
      <c r="F39" s="32">
        <v>2750</v>
      </c>
      <c r="G39" s="22"/>
      <c r="H39" s="32">
        <f>J39-F39</f>
        <v>12250</v>
      </c>
      <c r="I39" s="22"/>
      <c r="J39" s="32">
        <v>15000</v>
      </c>
      <c r="K39" s="22"/>
      <c r="L39" s="33">
        <v>15000</v>
      </c>
    </row>
    <row r="40" spans="1:12">
      <c r="A40" s="25" t="s">
        <v>85</v>
      </c>
      <c r="B40" s="21" t="s">
        <v>86</v>
      </c>
      <c r="C40" s="22"/>
      <c r="D40" s="32">
        <v>57000</v>
      </c>
      <c r="E40" s="22"/>
      <c r="F40" s="32">
        <v>0</v>
      </c>
      <c r="G40" s="22"/>
      <c r="H40" s="32">
        <f>J40-F40</f>
        <v>65000</v>
      </c>
      <c r="I40" s="22"/>
      <c r="J40" s="32">
        <v>65000</v>
      </c>
      <c r="K40" s="22"/>
      <c r="L40" s="33">
        <v>65000</v>
      </c>
    </row>
    <row r="41" spans="1:12" customHeight="1" ht="15.75">
      <c r="A41" s="25" t="s">
        <v>91</v>
      </c>
      <c r="B41" s="21" t="s">
        <v>92</v>
      </c>
      <c r="C41" s="22"/>
      <c r="D41" s="35">
        <v>24996</v>
      </c>
      <c r="E41" s="22"/>
      <c r="F41" s="35">
        <v>24622</v>
      </c>
      <c r="G41" s="22"/>
      <c r="H41" s="36">
        <f>J41-F41</f>
        <v>378</v>
      </c>
      <c r="I41" s="22"/>
      <c r="J41" s="35">
        <v>25000</v>
      </c>
      <c r="K41" s="22"/>
      <c r="L41" s="46">
        <v>25000</v>
      </c>
    </row>
    <row r="42" spans="1:12">
      <c r="A42" s="29" t="s">
        <v>93</v>
      </c>
      <c r="B42" s="45"/>
      <c r="C42" s="48" t="s">
        <v>21</v>
      </c>
      <c r="D42" s="59">
        <f>SUM(D33:D41)</f>
        <v>361466.82</v>
      </c>
      <c r="E42" s="48" t="s">
        <v>21</v>
      </c>
      <c r="F42" s="59">
        <f>SUM(F33:F41)</f>
        <v>205781.33</v>
      </c>
      <c r="G42" s="48" t="s">
        <v>21</v>
      </c>
      <c r="H42" s="59">
        <f>SUM(H33:H41)</f>
        <v>316218.67</v>
      </c>
      <c r="I42" s="48" t="s">
        <v>21</v>
      </c>
      <c r="J42" s="59">
        <f>SUM(J33:J41)</f>
        <v>522000</v>
      </c>
      <c r="K42" s="48" t="s">
        <v>21</v>
      </c>
      <c r="L42" s="61">
        <f>SUM(L33:L41)</f>
        <v>495900</v>
      </c>
    </row>
    <row r="43" spans="1:12">
      <c r="A43" s="74" t="s">
        <v>94</v>
      </c>
      <c r="B43" s="75"/>
      <c r="C43" s="76"/>
      <c r="D43" s="71"/>
      <c r="E43" s="76"/>
      <c r="F43" s="71"/>
      <c r="G43" s="76"/>
      <c r="H43" s="71"/>
      <c r="I43" s="76"/>
      <c r="J43" s="71"/>
      <c r="K43" s="76"/>
      <c r="L43" s="79"/>
    </row>
    <row r="44" spans="1:12" customHeight="1" ht="15.75">
      <c r="A44" s="25" t="s">
        <v>115</v>
      </c>
      <c r="B44" s="21" t="s">
        <v>100</v>
      </c>
      <c r="C44" s="22" t="s">
        <v>21</v>
      </c>
      <c r="D44" s="30">
        <v>0</v>
      </c>
      <c r="E44" s="22" t="s">
        <v>21</v>
      </c>
      <c r="F44" s="30">
        <v>0</v>
      </c>
      <c r="G44" s="22" t="s">
        <v>21</v>
      </c>
      <c r="H44" s="30">
        <v>0</v>
      </c>
      <c r="I44" s="22" t="s">
        <v>21</v>
      </c>
      <c r="J44" s="30">
        <v>0</v>
      </c>
      <c r="K44" s="22" t="s">
        <v>21</v>
      </c>
      <c r="L44" s="31">
        <v>0</v>
      </c>
    </row>
    <row r="45" spans="1:12" customHeight="1" ht="15.75">
      <c r="A45" s="29" t="s">
        <v>103</v>
      </c>
      <c r="B45" s="21"/>
      <c r="C45" s="48" t="s">
        <v>21</v>
      </c>
      <c r="D45" s="63">
        <f>SUM(D44)</f>
        <v>0</v>
      </c>
      <c r="E45" s="48" t="s">
        <v>21</v>
      </c>
      <c r="F45" s="63">
        <f>SUM(F44)</f>
        <v>0</v>
      </c>
      <c r="G45" s="48" t="s">
        <v>21</v>
      </c>
      <c r="H45" s="63">
        <f>SUM(H44)</f>
        <v>0</v>
      </c>
      <c r="I45" s="48" t="s">
        <v>21</v>
      </c>
      <c r="J45" s="63">
        <f>SUM(J44)</f>
        <v>0</v>
      </c>
      <c r="K45" s="48" t="s">
        <v>21</v>
      </c>
      <c r="L45" s="64">
        <f>SUM(L44)</f>
        <v>0</v>
      </c>
    </row>
    <row r="46" spans="1:12" customHeight="1" ht="15.75">
      <c r="A46" s="49" t="s">
        <v>104</v>
      </c>
      <c r="B46" s="50"/>
      <c r="C46" s="51" t="s">
        <v>21</v>
      </c>
      <c r="D46" s="52">
        <f>D31+D42+D45</f>
        <v>4480275.02</v>
      </c>
      <c r="E46" s="53" t="s">
        <v>21</v>
      </c>
      <c r="F46" s="52">
        <f>F31+F42+F45</f>
        <v>1044528.76</v>
      </c>
      <c r="G46" s="53" t="s">
        <v>21</v>
      </c>
      <c r="H46" s="52">
        <f>H31+H42+H45</f>
        <v>3342496.46</v>
      </c>
      <c r="I46" s="53" t="s">
        <v>21</v>
      </c>
      <c r="J46" s="52">
        <f>J31+J42+J45</f>
        <v>4387025.22</v>
      </c>
      <c r="K46" s="53" t="s">
        <v>21</v>
      </c>
      <c r="L46" s="65">
        <f>L31+L42+L45</f>
        <v>4526446.66</v>
      </c>
    </row>
    <row r="47" spans="1:12" customHeight="1" ht="15.75">
      <c r="A47" s="66"/>
      <c r="B47" s="67"/>
      <c r="C47" s="60"/>
      <c r="D47" s="68"/>
      <c r="E47" s="60"/>
      <c r="F47" s="68"/>
      <c r="G47" s="60"/>
      <c r="H47" s="68"/>
      <c r="I47" s="60"/>
      <c r="J47" s="68"/>
      <c r="K47" s="60"/>
      <c r="L47" s="68"/>
    </row>
    <row r="48" spans="1:12">
      <c r="A48" s="22" t="s">
        <v>105</v>
      </c>
      <c r="B48" s="22" t="s">
        <v>106</v>
      </c>
      <c r="C48" s="22"/>
      <c r="D48" s="22"/>
      <c r="E48" s="22"/>
      <c r="F48" s="22"/>
      <c r="G48" s="22" t="s">
        <v>107</v>
      </c>
      <c r="H48" s="22"/>
    </row>
    <row r="50" spans="1:12">
      <c r="A50" s="44" t="s">
        <v>145</v>
      </c>
      <c r="B50" s="54" t="s">
        <v>109</v>
      </c>
      <c r="C50" s="54"/>
      <c r="D50" s="54"/>
      <c r="E50" s="54"/>
      <c r="F50" s="54"/>
      <c r="G50" s="55"/>
      <c r="H50" s="54" t="s">
        <v>117</v>
      </c>
      <c r="I50" s="54"/>
      <c r="J50" s="54"/>
      <c r="K50" s="54"/>
      <c r="L50" s="54"/>
    </row>
    <row r="51" spans="1:12">
      <c r="A51" s="56" t="s">
        <v>146</v>
      </c>
      <c r="B51" s="57" t="s">
        <v>112</v>
      </c>
      <c r="C51" s="57"/>
      <c r="D51" s="57"/>
      <c r="E51" s="57"/>
      <c r="F51" s="57"/>
      <c r="G51" s="22"/>
      <c r="H51" s="57" t="s">
        <v>111</v>
      </c>
      <c r="I51" s="57"/>
      <c r="J51" s="57"/>
      <c r="K51" s="57"/>
      <c r="L51" s="5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50:F50"/>
    <mergeCell ref="H50:L50"/>
    <mergeCell ref="B51:F51"/>
    <mergeCell ref="H51:L51"/>
    <mergeCell ref="C10:D10"/>
    <mergeCell ref="E10:F10"/>
    <mergeCell ref="G10:H10"/>
    <mergeCell ref="K10:L10"/>
    <mergeCell ref="A1:L1"/>
    <mergeCell ref="A2:L2"/>
    <mergeCell ref="C8:D8"/>
    <mergeCell ref="E8:J8"/>
    <mergeCell ref="K8:L8"/>
    <mergeCell ref="C9:D9"/>
    <mergeCell ref="E9:F9"/>
    <mergeCell ref="G9:H9"/>
    <mergeCell ref="I9:J10"/>
    <mergeCell ref="K9:L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9"/>
  <sheetViews>
    <sheetView tabSelected="0" workbookViewId="0" showGridLines="true" showRowColHeaders="1">
      <selection activeCell="H52" sqref="H52"/>
    </sheetView>
  </sheetViews>
  <sheetFormatPr defaultRowHeight="14.4" outlineLevelRow="0" outlineLevelCol="0"/>
  <cols>
    <col min="1" max="1" width="54.42578125" customWidth="true" style="0"/>
    <col min="2" max="2" width="13.28515625" customWidth="true" style="0"/>
    <col min="3" max="3" width="2.140625" customWidth="true" style="0"/>
    <col min="4" max="4" width="11.28515625" customWidth="true" style="0"/>
    <col min="5" max="5" width="2.7109375" customWidth="true" style="0"/>
    <col min="6" max="6" width="11.7109375" customWidth="true" style="0"/>
    <col min="7" max="7" width="2.7109375" customWidth="true" style="0"/>
    <col min="8" max="8" width="13.140625" customWidth="true" style="0"/>
    <col min="9" max="9" width="2.28515625" customWidth="true" style="0"/>
    <col min="10" max="10" width="11.5703125" customWidth="true" style="0"/>
    <col min="11" max="11" width="2.140625" customWidth="true" style="0"/>
    <col min="12" max="12" width="11.5703125" customWidth="true" style="0"/>
  </cols>
  <sheetData>
    <row r="1" spans="1:12" customHeight="1" ht="15.7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>
      <c r="A4" s="4" t="s">
        <v>2</v>
      </c>
      <c r="D4" t="s">
        <v>113</v>
      </c>
    </row>
    <row r="5" spans="1:12">
      <c r="A5" s="4" t="s">
        <v>4</v>
      </c>
      <c r="D5" s="4" t="s">
        <v>147</v>
      </c>
    </row>
    <row r="6" spans="1:12">
      <c r="A6" s="4" t="s">
        <v>6</v>
      </c>
      <c r="F6" s="4"/>
    </row>
    <row r="7" spans="1:12" customHeight="1" ht="15.75"/>
    <row r="8" spans="1:12">
      <c r="A8" s="5"/>
      <c r="B8" s="6"/>
      <c r="C8" s="7" t="s">
        <v>7</v>
      </c>
      <c r="D8" s="7"/>
      <c r="E8" s="8" t="s">
        <v>8</v>
      </c>
      <c r="F8" s="8"/>
      <c r="G8" s="8"/>
      <c r="H8" s="8"/>
      <c r="I8" s="8"/>
      <c r="J8" s="8"/>
      <c r="K8" s="7" t="s">
        <v>9</v>
      </c>
      <c r="L8" s="9"/>
    </row>
    <row r="9" spans="1:12">
      <c r="A9" s="10" t="s">
        <v>10</v>
      </c>
      <c r="B9" s="11" t="s">
        <v>11</v>
      </c>
      <c r="C9" s="12">
        <v>2021</v>
      </c>
      <c r="D9" s="12"/>
      <c r="E9" s="12" t="s">
        <v>12</v>
      </c>
      <c r="F9" s="12"/>
      <c r="G9" s="12" t="s">
        <v>13</v>
      </c>
      <c r="H9" s="12"/>
      <c r="I9" s="13" t="s">
        <v>14</v>
      </c>
      <c r="J9" s="13"/>
      <c r="K9" s="12">
        <v>2023</v>
      </c>
      <c r="L9" s="14"/>
    </row>
    <row r="10" spans="1:12" customHeight="1" ht="15.75">
      <c r="A10" s="15"/>
      <c r="B10" s="16"/>
      <c r="C10" s="17" t="s">
        <v>15</v>
      </c>
      <c r="D10" s="17"/>
      <c r="E10" s="17" t="s">
        <v>15</v>
      </c>
      <c r="F10" s="17"/>
      <c r="G10" s="17" t="s">
        <v>16</v>
      </c>
      <c r="H10" s="17"/>
      <c r="I10" s="18"/>
      <c r="J10" s="18"/>
      <c r="K10" s="17" t="s">
        <v>17</v>
      </c>
      <c r="L10" s="19"/>
    </row>
    <row r="11" spans="1:12">
      <c r="A11" s="20" t="s">
        <v>18</v>
      </c>
      <c r="B11" s="21"/>
      <c r="C11" s="22"/>
      <c r="D11" s="23"/>
      <c r="E11" s="22"/>
      <c r="F11" s="23"/>
      <c r="G11" s="22"/>
      <c r="H11" s="23"/>
      <c r="I11" s="22"/>
      <c r="J11" s="23"/>
      <c r="K11" s="22"/>
      <c r="L11" s="24"/>
    </row>
    <row r="12" spans="1:12">
      <c r="A12" s="25" t="s">
        <v>19</v>
      </c>
      <c r="B12" s="21" t="s">
        <v>20</v>
      </c>
      <c r="C12" s="22" t="s">
        <v>21</v>
      </c>
      <c r="D12" s="30">
        <v>542669.87</v>
      </c>
      <c r="E12" s="22" t="s">
        <v>21</v>
      </c>
      <c r="F12" s="26">
        <v>705212.21</v>
      </c>
      <c r="G12" s="22" t="s">
        <v>21</v>
      </c>
      <c r="H12" s="26">
        <f>J12-F12</f>
        <v>798747.79</v>
      </c>
      <c r="I12" s="22" t="s">
        <v>21</v>
      </c>
      <c r="J12" s="26">
        <v>1503960</v>
      </c>
      <c r="K12" s="22" t="s">
        <v>21</v>
      </c>
      <c r="L12" s="28">
        <v>1539672</v>
      </c>
    </row>
    <row r="13" spans="1:12">
      <c r="A13" s="29" t="s">
        <v>22</v>
      </c>
      <c r="B13" s="21"/>
      <c r="C13" s="22"/>
      <c r="D13" s="71"/>
      <c r="E13" s="22"/>
      <c r="F13" s="30"/>
      <c r="G13" s="22"/>
      <c r="H13" s="30"/>
      <c r="I13" s="22"/>
      <c r="J13" s="30"/>
      <c r="K13" s="22"/>
      <c r="L13" s="31"/>
    </row>
    <row r="14" spans="1:12">
      <c r="A14" s="25" t="s">
        <v>23</v>
      </c>
      <c r="B14" s="21" t="s">
        <v>24</v>
      </c>
      <c r="C14" s="22"/>
      <c r="D14" s="26">
        <v>50000</v>
      </c>
      <c r="E14" s="22"/>
      <c r="F14" s="30">
        <v>44928.57</v>
      </c>
      <c r="G14" s="22"/>
      <c r="H14" s="26">
        <f>J14-F14</f>
        <v>51071.43</v>
      </c>
      <c r="I14" s="22"/>
      <c r="J14" s="30">
        <v>96000</v>
      </c>
      <c r="K14" s="22"/>
      <c r="L14" s="31">
        <v>96000</v>
      </c>
    </row>
    <row r="15" spans="1:12">
      <c r="A15" s="25" t="s">
        <v>25</v>
      </c>
      <c r="B15" s="21" t="s">
        <v>26</v>
      </c>
      <c r="C15" s="22"/>
      <c r="D15" s="32">
        <v>72000</v>
      </c>
      <c r="E15" s="22"/>
      <c r="F15" s="32">
        <v>36000</v>
      </c>
      <c r="G15" s="22"/>
      <c r="H15" s="26">
        <f>J15-F15</f>
        <v>36000</v>
      </c>
      <c r="I15" s="22"/>
      <c r="J15" s="32">
        <v>72000</v>
      </c>
      <c r="K15" s="22"/>
      <c r="L15" s="33">
        <v>72000</v>
      </c>
    </row>
    <row r="16" spans="1:12">
      <c r="A16" s="25" t="s">
        <v>27</v>
      </c>
      <c r="B16" s="21" t="s">
        <v>28</v>
      </c>
      <c r="C16" s="22"/>
      <c r="D16" s="32">
        <v>72000</v>
      </c>
      <c r="E16" s="22"/>
      <c r="F16" s="32">
        <v>36000</v>
      </c>
      <c r="G16" s="22"/>
      <c r="H16" s="26">
        <f>J16-F16</f>
        <v>36000</v>
      </c>
      <c r="I16" s="22"/>
      <c r="J16" s="32">
        <v>72000</v>
      </c>
      <c r="K16" s="22"/>
      <c r="L16" s="33">
        <v>72000</v>
      </c>
    </row>
    <row r="17" spans="1:12">
      <c r="A17" s="25" t="s">
        <v>29</v>
      </c>
      <c r="B17" s="21" t="s">
        <v>30</v>
      </c>
      <c r="C17" s="22"/>
      <c r="D17" s="32">
        <v>12000</v>
      </c>
      <c r="E17" s="22"/>
      <c r="F17" s="32">
        <v>24000</v>
      </c>
      <c r="G17" s="22"/>
      <c r="H17" s="26">
        <f>J17-F17</f>
        <v>0</v>
      </c>
      <c r="I17" s="22"/>
      <c r="J17" s="32">
        <v>24000</v>
      </c>
      <c r="K17" s="22"/>
      <c r="L17" s="33">
        <v>24000</v>
      </c>
    </row>
    <row r="18" spans="1:12">
      <c r="A18" s="25" t="s">
        <v>31</v>
      </c>
      <c r="B18" s="21" t="s">
        <v>32</v>
      </c>
      <c r="C18" s="22"/>
      <c r="D18" s="32">
        <v>10000</v>
      </c>
      <c r="E18" s="22"/>
      <c r="F18" s="32">
        <v>0</v>
      </c>
      <c r="G18" s="22"/>
      <c r="H18" s="26">
        <f>J18-F18</f>
        <v>20000</v>
      </c>
      <c r="I18" s="22"/>
      <c r="J18" s="32">
        <v>20000</v>
      </c>
      <c r="K18" s="22"/>
      <c r="L18" s="33">
        <v>20000</v>
      </c>
    </row>
    <row r="19" spans="1:12">
      <c r="A19" s="25" t="s">
        <v>33</v>
      </c>
      <c r="B19" s="21" t="s">
        <v>34</v>
      </c>
      <c r="C19" s="22"/>
      <c r="D19" s="32">
        <v>20000</v>
      </c>
      <c r="E19" s="22"/>
      <c r="F19" s="32">
        <v>0</v>
      </c>
      <c r="G19" s="22"/>
      <c r="H19" s="26">
        <f>J19-F19</f>
        <v>0</v>
      </c>
      <c r="I19" s="22"/>
      <c r="J19" s="32">
        <v>0</v>
      </c>
      <c r="K19" s="22"/>
      <c r="L19" s="33">
        <v>40000</v>
      </c>
    </row>
    <row r="20" spans="1:12">
      <c r="A20" s="25" t="s">
        <v>35</v>
      </c>
      <c r="B20" s="21" t="s">
        <v>36</v>
      </c>
      <c r="C20" s="22"/>
      <c r="D20" s="32">
        <v>40832</v>
      </c>
      <c r="E20" s="22"/>
      <c r="F20" s="32">
        <v>0</v>
      </c>
      <c r="G20" s="22"/>
      <c r="H20" s="26">
        <f>J20-F20</f>
        <v>125330</v>
      </c>
      <c r="I20" s="22"/>
      <c r="J20" s="32">
        <v>125330</v>
      </c>
      <c r="K20" s="22"/>
      <c r="L20" s="33">
        <v>128306</v>
      </c>
    </row>
    <row r="21" spans="1:12">
      <c r="A21" s="25" t="s">
        <v>37</v>
      </c>
      <c r="B21" s="21" t="s">
        <v>38</v>
      </c>
      <c r="C21" s="22"/>
      <c r="D21" s="32">
        <v>10000</v>
      </c>
      <c r="E21" s="22"/>
      <c r="F21" s="32">
        <v>0</v>
      </c>
      <c r="G21" s="22"/>
      <c r="H21" s="26">
        <f>J21-F21</f>
        <v>20000</v>
      </c>
      <c r="I21" s="22"/>
      <c r="J21" s="32">
        <v>20000</v>
      </c>
      <c r="K21" s="22"/>
      <c r="L21" s="33">
        <v>20000</v>
      </c>
    </row>
    <row r="22" spans="1:12">
      <c r="A22" s="25" t="s">
        <v>39</v>
      </c>
      <c r="B22" s="21" t="s">
        <v>40</v>
      </c>
      <c r="C22" s="22"/>
      <c r="D22" s="32">
        <v>40731</v>
      </c>
      <c r="E22" s="22"/>
      <c r="F22" s="32">
        <v>96644</v>
      </c>
      <c r="G22" s="22"/>
      <c r="H22" s="26">
        <f>J22-F22</f>
        <v>28686</v>
      </c>
      <c r="I22" s="22"/>
      <c r="J22" s="32">
        <v>125330</v>
      </c>
      <c r="K22" s="22"/>
      <c r="L22" s="33">
        <v>128306</v>
      </c>
    </row>
    <row r="23" spans="1:12">
      <c r="A23" s="29" t="s">
        <v>41</v>
      </c>
      <c r="B23" s="21"/>
      <c r="C23" s="22"/>
      <c r="D23" s="30"/>
      <c r="E23" s="22"/>
      <c r="F23" s="30"/>
      <c r="G23" s="22"/>
      <c r="H23" s="30"/>
      <c r="I23" s="22"/>
      <c r="J23" s="30"/>
      <c r="K23" s="22"/>
      <c r="L23" s="31"/>
    </row>
    <row r="24" spans="1:12">
      <c r="A24" s="25" t="s">
        <v>42</v>
      </c>
      <c r="B24" s="21" t="s">
        <v>43</v>
      </c>
      <c r="C24" s="22"/>
      <c r="D24" s="30">
        <v>65120.38</v>
      </c>
      <c r="E24" s="22"/>
      <c r="F24" s="30">
        <v>84625.47</v>
      </c>
      <c r="G24" s="22"/>
      <c r="H24" s="26">
        <f>J24-F24</f>
        <v>95849.73</v>
      </c>
      <c r="I24" s="22"/>
      <c r="J24" s="30">
        <v>180475.2</v>
      </c>
      <c r="K24" s="22"/>
      <c r="L24" s="31">
        <v>184760.64</v>
      </c>
    </row>
    <row r="25" spans="1:12">
      <c r="A25" s="25" t="s">
        <v>44</v>
      </c>
      <c r="B25" s="21" t="s">
        <v>45</v>
      </c>
      <c r="C25" s="22"/>
      <c r="D25" s="32">
        <v>2500</v>
      </c>
      <c r="E25" s="22"/>
      <c r="F25" s="32">
        <v>2300</v>
      </c>
      <c r="G25" s="22"/>
      <c r="H25" s="26">
        <f>J25-F25</f>
        <v>2500</v>
      </c>
      <c r="I25" s="22"/>
      <c r="J25" s="32">
        <v>4800</v>
      </c>
      <c r="K25" s="22"/>
      <c r="L25" s="33">
        <v>4800</v>
      </c>
    </row>
    <row r="26" spans="1:12">
      <c r="A26" s="25" t="s">
        <v>46</v>
      </c>
      <c r="B26" s="21" t="s">
        <v>47</v>
      </c>
      <c r="C26" s="22"/>
      <c r="D26" s="32">
        <v>7999.22</v>
      </c>
      <c r="E26" s="22"/>
      <c r="F26" s="32">
        <v>10397.19</v>
      </c>
      <c r="G26" s="22"/>
      <c r="H26" s="26">
        <f>J26-F26</f>
        <v>10231.17</v>
      </c>
      <c r="I26" s="22"/>
      <c r="J26" s="32">
        <v>20628.36</v>
      </c>
      <c r="K26" s="22"/>
      <c r="L26" s="33">
        <v>34642.62</v>
      </c>
    </row>
    <row r="27" spans="1:12">
      <c r="A27" s="25" t="s">
        <v>48</v>
      </c>
      <c r="B27" s="21" t="s">
        <v>49</v>
      </c>
      <c r="C27" s="22"/>
      <c r="D27" s="32">
        <v>2500</v>
      </c>
      <c r="E27" s="22"/>
      <c r="F27" s="32">
        <v>2300</v>
      </c>
      <c r="G27" s="22"/>
      <c r="H27" s="26">
        <f>J27-F27</f>
        <v>2500</v>
      </c>
      <c r="I27" s="22"/>
      <c r="J27" s="32">
        <v>4800</v>
      </c>
      <c r="K27" s="22"/>
      <c r="L27" s="33">
        <v>4800</v>
      </c>
    </row>
    <row r="28" spans="1:12">
      <c r="A28" s="29" t="s">
        <v>50</v>
      </c>
      <c r="B28" s="21"/>
      <c r="C28" s="27"/>
      <c r="D28" s="30"/>
      <c r="E28" s="22"/>
      <c r="F28" s="30"/>
      <c r="G28" s="22"/>
      <c r="H28" s="30"/>
      <c r="I28" s="22"/>
      <c r="J28" s="30"/>
      <c r="K28" s="22"/>
      <c r="L28" s="31"/>
    </row>
    <row r="29" spans="1:12">
      <c r="A29" s="25" t="s">
        <v>51</v>
      </c>
      <c r="B29" s="21" t="s">
        <v>52</v>
      </c>
      <c r="C29" s="22"/>
      <c r="D29" s="26">
        <v>0</v>
      </c>
      <c r="E29" s="22"/>
      <c r="F29" s="26">
        <v>0</v>
      </c>
      <c r="G29" s="22"/>
      <c r="H29" s="26">
        <f>J29-F29</f>
        <v>0</v>
      </c>
      <c r="I29" s="22"/>
      <c r="J29" s="26">
        <v>0</v>
      </c>
      <c r="K29" s="22"/>
      <c r="L29" s="28">
        <v>0</v>
      </c>
    </row>
    <row r="30" spans="1:12" customHeight="1" ht="15.75">
      <c r="A30" s="25" t="s">
        <v>53</v>
      </c>
      <c r="B30" s="21" t="s">
        <v>54</v>
      </c>
      <c r="C30" s="22"/>
      <c r="D30" s="35">
        <v>0</v>
      </c>
      <c r="E30" s="22"/>
      <c r="F30" s="35">
        <v>0</v>
      </c>
      <c r="G30" s="22"/>
      <c r="H30" s="35">
        <v>0</v>
      </c>
      <c r="I30" s="22"/>
      <c r="J30" s="35">
        <v>0</v>
      </c>
      <c r="K30" s="22"/>
      <c r="L30" s="46">
        <v>0</v>
      </c>
    </row>
    <row r="31" spans="1:12">
      <c r="A31" s="29" t="s">
        <v>55</v>
      </c>
      <c r="B31" s="45"/>
      <c r="C31" s="58" t="s">
        <v>21</v>
      </c>
      <c r="D31" s="59">
        <f>SUM(D12:D30)</f>
        <v>948352.47</v>
      </c>
      <c r="E31" s="60" t="s">
        <v>21</v>
      </c>
      <c r="F31" s="59">
        <f>SUM(F12:F30)</f>
        <v>1042407.44</v>
      </c>
      <c r="G31" s="60" t="s">
        <v>21</v>
      </c>
      <c r="H31" s="59">
        <f>SUM(H12:H30)</f>
        <v>1226916.12</v>
      </c>
      <c r="I31" s="60" t="s">
        <v>21</v>
      </c>
      <c r="J31" s="59">
        <f>SUM(J12:J30)</f>
        <v>2269323.56</v>
      </c>
      <c r="K31" s="60" t="s">
        <v>21</v>
      </c>
      <c r="L31" s="59">
        <f>SUM(L12:L30)</f>
        <v>2369287.26</v>
      </c>
    </row>
    <row r="32" spans="1:12">
      <c r="A32" s="74" t="s">
        <v>56</v>
      </c>
      <c r="B32" s="75"/>
      <c r="C32" s="76"/>
      <c r="D32" s="77"/>
      <c r="E32" s="76"/>
      <c r="F32" s="77"/>
      <c r="G32" s="76"/>
      <c r="H32" s="77"/>
      <c r="I32" s="76"/>
      <c r="J32" s="77"/>
      <c r="K32" s="76"/>
      <c r="L32" s="78"/>
    </row>
    <row r="33" spans="1:12">
      <c r="A33" s="25" t="s">
        <v>57</v>
      </c>
      <c r="B33" s="21" t="s">
        <v>58</v>
      </c>
      <c r="C33" s="22" t="s">
        <v>21</v>
      </c>
      <c r="D33" s="30">
        <v>14935</v>
      </c>
      <c r="E33" s="22" t="s">
        <v>21</v>
      </c>
      <c r="F33" s="30">
        <v>19587</v>
      </c>
      <c r="G33" s="22" t="s">
        <v>21</v>
      </c>
      <c r="H33" s="30">
        <f>J33-F33</f>
        <v>60413</v>
      </c>
      <c r="I33" s="22" t="s">
        <v>21</v>
      </c>
      <c r="J33" s="30">
        <v>80000</v>
      </c>
      <c r="K33" s="22" t="s">
        <v>21</v>
      </c>
      <c r="L33" s="31">
        <v>80000</v>
      </c>
    </row>
    <row r="34" spans="1:12">
      <c r="A34" s="25" t="s">
        <v>61</v>
      </c>
      <c r="B34" s="21" t="s">
        <v>62</v>
      </c>
      <c r="C34" s="22"/>
      <c r="D34" s="32">
        <v>55160</v>
      </c>
      <c r="E34" s="22"/>
      <c r="F34" s="32">
        <v>27541.5</v>
      </c>
      <c r="G34" s="22"/>
      <c r="H34" s="32">
        <f>J34-F34</f>
        <v>22458.5</v>
      </c>
      <c r="I34" s="22"/>
      <c r="J34" s="32">
        <v>50000</v>
      </c>
      <c r="K34" s="22"/>
      <c r="L34" s="33">
        <v>50000</v>
      </c>
    </row>
    <row r="35" spans="1:12">
      <c r="A35" s="25" t="s">
        <v>69</v>
      </c>
      <c r="B35" s="21" t="s">
        <v>70</v>
      </c>
      <c r="C35" s="22"/>
      <c r="D35" s="32">
        <v>492</v>
      </c>
      <c r="E35" s="22"/>
      <c r="F35" s="32">
        <v>500</v>
      </c>
      <c r="G35" s="22"/>
      <c r="H35" s="32">
        <f>J35-F35</f>
        <v>0</v>
      </c>
      <c r="I35" s="22"/>
      <c r="J35" s="32">
        <v>500</v>
      </c>
      <c r="K35" s="22"/>
      <c r="L35" s="33">
        <v>1000</v>
      </c>
    </row>
    <row r="36" spans="1:12">
      <c r="A36" s="25" t="s">
        <v>71</v>
      </c>
      <c r="B36" s="21" t="s">
        <v>72</v>
      </c>
      <c r="C36" s="22"/>
      <c r="D36" s="32">
        <v>60000</v>
      </c>
      <c r="E36" s="22"/>
      <c r="F36" s="32">
        <v>30000</v>
      </c>
      <c r="G36" s="22"/>
      <c r="H36" s="32">
        <f>J36-F36</f>
        <v>30000</v>
      </c>
      <c r="I36" s="22"/>
      <c r="J36" s="32">
        <v>60000</v>
      </c>
      <c r="K36" s="22"/>
      <c r="L36" s="33">
        <v>60000</v>
      </c>
    </row>
    <row r="37" spans="1:12">
      <c r="A37" s="25" t="s">
        <v>73</v>
      </c>
      <c r="B37" s="21" t="s">
        <v>74</v>
      </c>
      <c r="C37" s="22"/>
      <c r="D37" s="32">
        <v>24268.8</v>
      </c>
      <c r="E37" s="22"/>
      <c r="F37" s="32">
        <v>12326.05</v>
      </c>
      <c r="G37" s="22"/>
      <c r="H37" s="32">
        <f>J37-F37</f>
        <v>12673.95</v>
      </c>
      <c r="I37" s="22"/>
      <c r="J37" s="32">
        <v>25000</v>
      </c>
      <c r="K37" s="22"/>
      <c r="L37" s="33">
        <v>25000</v>
      </c>
    </row>
    <row r="38" spans="1:12">
      <c r="A38" s="25" t="s">
        <v>81</v>
      </c>
      <c r="B38" s="21" t="s">
        <v>82</v>
      </c>
      <c r="C38" s="22"/>
      <c r="D38" s="32">
        <v>13622.14</v>
      </c>
      <c r="E38" s="22"/>
      <c r="F38" s="32">
        <v>950</v>
      </c>
      <c r="G38" s="22"/>
      <c r="H38" s="32">
        <f>J38-F38</f>
        <v>14050</v>
      </c>
      <c r="I38" s="22"/>
      <c r="J38" s="32">
        <v>15000</v>
      </c>
      <c r="K38" s="22"/>
      <c r="L38" s="33">
        <v>10000</v>
      </c>
    </row>
    <row r="39" spans="1:12" customHeight="1" ht="15.75">
      <c r="A39" s="25" t="s">
        <v>91</v>
      </c>
      <c r="B39" s="21" t="s">
        <v>92</v>
      </c>
      <c r="C39" s="22"/>
      <c r="D39" s="35">
        <v>13914.02</v>
      </c>
      <c r="E39" s="22"/>
      <c r="F39" s="35">
        <v>0</v>
      </c>
      <c r="G39" s="22"/>
      <c r="H39" s="36">
        <f>J39-F39</f>
        <v>25000</v>
      </c>
      <c r="I39" s="22"/>
      <c r="J39" s="35">
        <v>25000</v>
      </c>
      <c r="K39" s="22"/>
      <c r="L39" s="46">
        <v>16725</v>
      </c>
    </row>
    <row r="40" spans="1:12">
      <c r="A40" s="29" t="s">
        <v>93</v>
      </c>
      <c r="B40" s="45"/>
      <c r="C40" s="48" t="s">
        <v>21</v>
      </c>
      <c r="D40" s="59">
        <f>SUM(D33:D39)</f>
        <v>182391.96</v>
      </c>
      <c r="E40" s="48" t="s">
        <v>21</v>
      </c>
      <c r="F40" s="59">
        <f>SUM(F33:F39)</f>
        <v>90904.55</v>
      </c>
      <c r="G40" s="48" t="s">
        <v>21</v>
      </c>
      <c r="H40" s="59">
        <f>SUM(H33:H39)</f>
        <v>164595.45</v>
      </c>
      <c r="I40" s="48" t="s">
        <v>21</v>
      </c>
      <c r="J40" s="59">
        <f>SUM(J33:J39)</f>
        <v>255500</v>
      </c>
      <c r="K40" s="48" t="s">
        <v>21</v>
      </c>
      <c r="L40" s="61">
        <f>SUM(L33:L39)</f>
        <v>242725</v>
      </c>
    </row>
    <row r="41" spans="1:12">
      <c r="A41" s="74" t="s">
        <v>94</v>
      </c>
      <c r="B41" s="75"/>
      <c r="C41" s="76"/>
      <c r="D41" s="71"/>
      <c r="E41" s="76"/>
      <c r="F41" s="71"/>
      <c r="G41" s="76"/>
      <c r="H41" s="71"/>
      <c r="I41" s="76"/>
      <c r="J41" s="71"/>
      <c r="K41" s="76"/>
      <c r="L41" s="79"/>
    </row>
    <row r="42" spans="1:12" customHeight="1" ht="15.75">
      <c r="A42" s="25" t="s">
        <v>115</v>
      </c>
      <c r="B42" s="21" t="s">
        <v>100</v>
      </c>
      <c r="C42" s="22" t="s">
        <v>21</v>
      </c>
      <c r="D42" s="30">
        <v>0</v>
      </c>
      <c r="E42" s="22" t="s">
        <v>21</v>
      </c>
      <c r="F42" s="30">
        <v>0</v>
      </c>
      <c r="G42" s="22" t="s">
        <v>21</v>
      </c>
      <c r="H42" s="30">
        <v>0</v>
      </c>
      <c r="I42" s="22" t="s">
        <v>21</v>
      </c>
      <c r="J42" s="30">
        <v>0</v>
      </c>
      <c r="K42" s="22" t="s">
        <v>21</v>
      </c>
      <c r="L42" s="31">
        <v>0</v>
      </c>
    </row>
    <row r="43" spans="1:12" customHeight="1" ht="15.75">
      <c r="A43" s="29" t="s">
        <v>103</v>
      </c>
      <c r="B43" s="21"/>
      <c r="C43" s="48" t="s">
        <v>21</v>
      </c>
      <c r="D43" s="63">
        <f>SUM(D42)</f>
        <v>0</v>
      </c>
      <c r="E43" s="48" t="s">
        <v>21</v>
      </c>
      <c r="F43" s="63">
        <f>SUM(F42)</f>
        <v>0</v>
      </c>
      <c r="G43" s="48" t="s">
        <v>21</v>
      </c>
      <c r="H43" s="63">
        <f>SUM(H42)</f>
        <v>0</v>
      </c>
      <c r="I43" s="48" t="s">
        <v>21</v>
      </c>
      <c r="J43" s="63">
        <f>SUM(J42)</f>
        <v>0</v>
      </c>
      <c r="K43" s="48" t="s">
        <v>21</v>
      </c>
      <c r="L43" s="64">
        <f>SUM(L42)</f>
        <v>0</v>
      </c>
    </row>
    <row r="44" spans="1:12" customHeight="1" ht="15.75">
      <c r="A44" s="49" t="s">
        <v>104</v>
      </c>
      <c r="B44" s="50"/>
      <c r="C44" s="51" t="s">
        <v>21</v>
      </c>
      <c r="D44" s="52">
        <f>D31+D40+D43</f>
        <v>1130744.43</v>
      </c>
      <c r="E44" s="53" t="s">
        <v>21</v>
      </c>
      <c r="F44" s="52">
        <f>F31+F40+F43</f>
        <v>1133311.99</v>
      </c>
      <c r="G44" s="53" t="s">
        <v>21</v>
      </c>
      <c r="H44" s="52">
        <f>H31+H40+H43</f>
        <v>1391511.57</v>
      </c>
      <c r="I44" s="53" t="s">
        <v>21</v>
      </c>
      <c r="J44" s="52">
        <f>J31+J40+J43</f>
        <v>2524823.56</v>
      </c>
      <c r="K44" s="53" t="s">
        <v>21</v>
      </c>
      <c r="L44" s="65">
        <f>L31+L40+L43</f>
        <v>2612012.26</v>
      </c>
    </row>
    <row r="45" spans="1:12" customHeight="1" ht="15.75">
      <c r="A45" s="66"/>
      <c r="B45" s="67"/>
      <c r="C45" s="60"/>
      <c r="D45" s="68"/>
      <c r="E45" s="60"/>
      <c r="F45" s="68"/>
      <c r="G45" s="60"/>
      <c r="H45" s="68"/>
      <c r="I45" s="60"/>
      <c r="J45" s="68"/>
      <c r="K45" s="60"/>
      <c r="L45" s="68"/>
    </row>
    <row r="46" spans="1:12">
      <c r="A46" s="22" t="s">
        <v>105</v>
      </c>
      <c r="B46" s="22" t="s">
        <v>106</v>
      </c>
      <c r="C46" s="22"/>
      <c r="D46" s="22"/>
      <c r="E46" s="22"/>
      <c r="F46" s="22"/>
      <c r="G46" s="22" t="s">
        <v>107</v>
      </c>
      <c r="H46" s="22"/>
    </row>
    <row r="48" spans="1:12">
      <c r="A48" s="44" t="s">
        <v>148</v>
      </c>
      <c r="B48" s="54" t="s">
        <v>109</v>
      </c>
      <c r="C48" s="54"/>
      <c r="D48" s="54"/>
      <c r="E48" s="54"/>
      <c r="F48" s="54"/>
      <c r="G48" s="55"/>
      <c r="H48" s="54" t="s">
        <v>117</v>
      </c>
      <c r="I48" s="54"/>
      <c r="J48" s="54"/>
      <c r="K48" s="54"/>
      <c r="L48" s="54"/>
    </row>
    <row r="49" spans="1:12">
      <c r="A49" s="56" t="s">
        <v>149</v>
      </c>
      <c r="B49" s="57" t="s">
        <v>112</v>
      </c>
      <c r="C49" s="57"/>
      <c r="D49" s="57"/>
      <c r="E49" s="57"/>
      <c r="F49" s="57"/>
      <c r="G49" s="22"/>
      <c r="H49" s="57" t="s">
        <v>111</v>
      </c>
      <c r="I49" s="57"/>
      <c r="J49" s="57"/>
      <c r="K49" s="57"/>
      <c r="L49" s="5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48:F48"/>
    <mergeCell ref="H48:L48"/>
    <mergeCell ref="B49:F49"/>
    <mergeCell ref="H49:L49"/>
    <mergeCell ref="C10:D10"/>
    <mergeCell ref="E10:F10"/>
    <mergeCell ref="G10:H10"/>
    <mergeCell ref="K10:L10"/>
    <mergeCell ref="A1:L1"/>
    <mergeCell ref="A2:L2"/>
    <mergeCell ref="C8:D8"/>
    <mergeCell ref="E8:J8"/>
    <mergeCell ref="K8:L8"/>
    <mergeCell ref="C9:D9"/>
    <mergeCell ref="E9:F9"/>
    <mergeCell ref="G9:H9"/>
    <mergeCell ref="I9:J10"/>
    <mergeCell ref="K9:L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9"/>
  <sheetViews>
    <sheetView tabSelected="0" workbookViewId="0" showGridLines="true" showRowColHeaders="1">
      <selection activeCell="J45" sqref="J45"/>
    </sheetView>
  </sheetViews>
  <sheetFormatPr defaultRowHeight="14.4" outlineLevelRow="0" outlineLevelCol="0"/>
  <cols>
    <col min="1" max="1" width="54.42578125" customWidth="true" style="0"/>
    <col min="2" max="2" width="13.28515625" customWidth="true" style="0"/>
    <col min="3" max="3" width="2.140625" customWidth="true" style="0"/>
    <col min="4" max="4" width="11.28515625" customWidth="true" style="0"/>
    <col min="5" max="5" width="2.7109375" customWidth="true" style="0"/>
    <col min="6" max="6" width="11.7109375" customWidth="true" style="0"/>
    <col min="7" max="7" width="2.7109375" customWidth="true" style="0"/>
    <col min="8" max="8" width="13.140625" customWidth="true" style="0"/>
    <col min="9" max="9" width="2.28515625" customWidth="true" style="0"/>
    <col min="10" max="10" width="11.5703125" customWidth="true" style="0"/>
    <col min="11" max="11" width="2.140625" customWidth="true" style="0"/>
    <col min="12" max="12" width="11.5703125" customWidth="true" style="99"/>
  </cols>
  <sheetData>
    <row r="1" spans="1:12" customHeight="1" ht="15.7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98"/>
    </row>
    <row r="4" spans="1:12">
      <c r="A4" s="4" t="s">
        <v>2</v>
      </c>
      <c r="D4" t="s">
        <v>113</v>
      </c>
    </row>
    <row r="5" spans="1:12">
      <c r="A5" s="4" t="s">
        <v>4</v>
      </c>
      <c r="D5" s="4" t="s">
        <v>150</v>
      </c>
    </row>
    <row r="6" spans="1:12">
      <c r="A6" s="4" t="s">
        <v>6</v>
      </c>
      <c r="F6" s="4"/>
    </row>
    <row r="7" spans="1:12" customHeight="1" ht="15.75"/>
    <row r="8" spans="1:12">
      <c r="A8" s="5"/>
      <c r="B8" s="6"/>
      <c r="C8" s="7" t="s">
        <v>7</v>
      </c>
      <c r="D8" s="7"/>
      <c r="E8" s="8" t="s">
        <v>8</v>
      </c>
      <c r="F8" s="8"/>
      <c r="G8" s="8"/>
      <c r="H8" s="8"/>
      <c r="I8" s="8"/>
      <c r="J8" s="8"/>
      <c r="K8" s="7" t="s">
        <v>9</v>
      </c>
      <c r="L8" s="9"/>
    </row>
    <row r="9" spans="1:12">
      <c r="A9" s="10" t="s">
        <v>10</v>
      </c>
      <c r="B9" s="11" t="s">
        <v>11</v>
      </c>
      <c r="C9" s="12">
        <v>2021</v>
      </c>
      <c r="D9" s="12"/>
      <c r="E9" s="12" t="s">
        <v>12</v>
      </c>
      <c r="F9" s="12"/>
      <c r="G9" s="12" t="s">
        <v>13</v>
      </c>
      <c r="H9" s="12"/>
      <c r="I9" s="13" t="s">
        <v>14</v>
      </c>
      <c r="J9" s="13"/>
      <c r="K9" s="12">
        <v>2023</v>
      </c>
      <c r="L9" s="14"/>
    </row>
    <row r="10" spans="1:12" customHeight="1" ht="15.75">
      <c r="A10" s="15"/>
      <c r="B10" s="16"/>
      <c r="C10" s="17" t="s">
        <v>15</v>
      </c>
      <c r="D10" s="17"/>
      <c r="E10" s="17" t="s">
        <v>15</v>
      </c>
      <c r="F10" s="17"/>
      <c r="G10" s="17" t="s">
        <v>16</v>
      </c>
      <c r="H10" s="17"/>
      <c r="I10" s="18"/>
      <c r="J10" s="18"/>
      <c r="K10" s="17" t="s">
        <v>17</v>
      </c>
      <c r="L10" s="19"/>
    </row>
    <row r="11" spans="1:12">
      <c r="A11" s="20" t="s">
        <v>18</v>
      </c>
      <c r="B11" s="21"/>
      <c r="C11" s="22"/>
      <c r="D11" s="23"/>
      <c r="E11" s="22"/>
      <c r="F11" s="23"/>
      <c r="G11" s="22"/>
      <c r="H11" s="23"/>
      <c r="I11" s="22"/>
      <c r="J11" s="23"/>
      <c r="K11" s="22"/>
      <c r="L11" s="100"/>
    </row>
    <row r="12" spans="1:12">
      <c r="A12" s="25" t="s">
        <v>19</v>
      </c>
      <c r="B12" s="21" t="s">
        <v>20</v>
      </c>
      <c r="C12" s="22" t="s">
        <v>21</v>
      </c>
      <c r="D12" s="26">
        <v>3644472.58</v>
      </c>
      <c r="E12" s="22" t="s">
        <v>21</v>
      </c>
      <c r="F12" s="26">
        <v>2069077.81</v>
      </c>
      <c r="G12" s="22" t="s">
        <v>21</v>
      </c>
      <c r="H12" s="26">
        <f>J12-F12</f>
        <v>2451721.9</v>
      </c>
      <c r="I12" s="22" t="s">
        <v>21</v>
      </c>
      <c r="J12" s="26">
        <v>4520799.71</v>
      </c>
      <c r="K12" s="22" t="s">
        <v>21</v>
      </c>
      <c r="L12" s="101">
        <v>5595463.69</v>
      </c>
    </row>
    <row r="13" spans="1:12">
      <c r="A13" s="29" t="s">
        <v>22</v>
      </c>
      <c r="B13" s="21"/>
      <c r="C13" s="22"/>
      <c r="D13" s="30"/>
      <c r="E13" s="22"/>
      <c r="F13" s="30"/>
      <c r="G13" s="22"/>
      <c r="H13" s="30"/>
      <c r="I13" s="22"/>
      <c r="J13" s="30"/>
      <c r="K13" s="22"/>
      <c r="L13" s="102"/>
    </row>
    <row r="14" spans="1:12">
      <c r="A14" s="25" t="s">
        <v>23</v>
      </c>
      <c r="B14" s="21" t="s">
        <v>24</v>
      </c>
      <c r="C14" s="22"/>
      <c r="D14" s="30">
        <v>226533.33</v>
      </c>
      <c r="E14" s="22"/>
      <c r="F14" s="30">
        <v>130516.13</v>
      </c>
      <c r="G14" s="22"/>
      <c r="H14" s="26">
        <f>J14-F14</f>
        <v>171548.39</v>
      </c>
      <c r="I14" s="22"/>
      <c r="J14" s="30">
        <v>302064.52</v>
      </c>
      <c r="K14" s="22"/>
      <c r="L14" s="102">
        <v>384000</v>
      </c>
    </row>
    <row r="15" spans="1:12">
      <c r="A15" s="25" t="s">
        <v>25</v>
      </c>
      <c r="B15" s="21" t="s">
        <v>26</v>
      </c>
      <c r="C15" s="22"/>
      <c r="D15" s="32">
        <v>72000</v>
      </c>
      <c r="E15" s="22"/>
      <c r="F15" s="32">
        <v>36000</v>
      </c>
      <c r="G15" s="22"/>
      <c r="H15" s="26">
        <f>J15-F15</f>
        <v>36000</v>
      </c>
      <c r="I15" s="22"/>
      <c r="J15" s="32">
        <v>72000</v>
      </c>
      <c r="K15" s="22"/>
      <c r="L15" s="103">
        <v>72000</v>
      </c>
    </row>
    <row r="16" spans="1:12">
      <c r="A16" s="25" t="s">
        <v>27</v>
      </c>
      <c r="B16" s="21" t="s">
        <v>28</v>
      </c>
      <c r="C16" s="22"/>
      <c r="D16" s="32">
        <v>72000</v>
      </c>
      <c r="E16" s="22"/>
      <c r="F16" s="32">
        <v>36000</v>
      </c>
      <c r="G16" s="22"/>
      <c r="H16" s="26">
        <f>J16-F16</f>
        <v>36000</v>
      </c>
      <c r="I16" s="22"/>
      <c r="J16" s="32">
        <v>72000</v>
      </c>
      <c r="K16" s="22"/>
      <c r="L16" s="103">
        <v>72000</v>
      </c>
    </row>
    <row r="17" spans="1:12">
      <c r="A17" s="25" t="s">
        <v>29</v>
      </c>
      <c r="B17" s="21" t="s">
        <v>30</v>
      </c>
      <c r="C17" s="22"/>
      <c r="D17" s="32">
        <v>60000</v>
      </c>
      <c r="E17" s="22"/>
      <c r="F17" s="32">
        <v>60000</v>
      </c>
      <c r="G17" s="22"/>
      <c r="H17" s="26">
        <f>J17-F17</f>
        <v>18000</v>
      </c>
      <c r="I17" s="22"/>
      <c r="J17" s="32">
        <v>78000</v>
      </c>
      <c r="K17" s="22"/>
      <c r="L17" s="103">
        <v>96000</v>
      </c>
    </row>
    <row r="18" spans="1:12">
      <c r="A18" s="25" t="s">
        <v>151</v>
      </c>
      <c r="B18" s="21" t="s">
        <v>152</v>
      </c>
      <c r="C18" s="22"/>
      <c r="D18" s="32">
        <v>169900</v>
      </c>
      <c r="E18" s="22"/>
      <c r="F18" s="32">
        <v>97887.1</v>
      </c>
      <c r="G18" s="22"/>
      <c r="H18" s="26">
        <f>J18-F18</f>
        <v>128661.28</v>
      </c>
      <c r="I18" s="22"/>
      <c r="J18" s="32">
        <v>226548.38</v>
      </c>
      <c r="K18" s="22"/>
      <c r="L18" s="103">
        <v>252000</v>
      </c>
    </row>
    <row r="19" spans="1:12">
      <c r="A19" s="25" t="s">
        <v>153</v>
      </c>
      <c r="B19" s="21" t="s">
        <v>154</v>
      </c>
      <c r="C19" s="22"/>
      <c r="D19" s="32">
        <v>16990</v>
      </c>
      <c r="E19" s="22"/>
      <c r="F19" s="32">
        <v>9788.71</v>
      </c>
      <c r="G19" s="22"/>
      <c r="H19" s="26">
        <f>J19-F19</f>
        <v>12866.13</v>
      </c>
      <c r="I19" s="22"/>
      <c r="J19" s="32">
        <v>22654.84</v>
      </c>
      <c r="K19" s="22"/>
      <c r="L19" s="103">
        <v>25200</v>
      </c>
    </row>
    <row r="20" spans="1:12">
      <c r="A20" s="25" t="s">
        <v>31</v>
      </c>
      <c r="B20" s="21" t="s">
        <v>32</v>
      </c>
      <c r="C20" s="22"/>
      <c r="D20" s="32">
        <v>45000</v>
      </c>
      <c r="E20" s="22"/>
      <c r="F20" s="32">
        <v>0</v>
      </c>
      <c r="G20" s="22"/>
      <c r="H20" s="26">
        <f>J20-F20</f>
        <v>65000</v>
      </c>
      <c r="I20" s="22"/>
      <c r="J20" s="32">
        <v>65000</v>
      </c>
      <c r="K20" s="22"/>
      <c r="L20" s="103">
        <v>80000</v>
      </c>
    </row>
    <row r="21" spans="1:12">
      <c r="A21" s="25" t="s">
        <v>33</v>
      </c>
      <c r="B21" s="21" t="s">
        <v>34</v>
      </c>
      <c r="C21" s="22"/>
      <c r="D21" s="32">
        <v>90000</v>
      </c>
      <c r="E21" s="22"/>
      <c r="F21" s="32">
        <v>0</v>
      </c>
      <c r="G21" s="22"/>
      <c r="H21" s="26">
        <f>J21-F21</f>
        <v>20000</v>
      </c>
      <c r="I21" s="22"/>
      <c r="J21" s="32">
        <v>20000</v>
      </c>
      <c r="K21" s="22"/>
      <c r="L21" s="103">
        <v>160000</v>
      </c>
    </row>
    <row r="22" spans="1:12">
      <c r="A22" s="25" t="s">
        <v>155</v>
      </c>
      <c r="B22" s="21" t="s">
        <v>156</v>
      </c>
      <c r="C22" s="22"/>
      <c r="D22" s="32">
        <v>182223.63</v>
      </c>
      <c r="E22" s="22"/>
      <c r="F22" s="32">
        <v>103453.89</v>
      </c>
      <c r="G22" s="22"/>
      <c r="H22" s="26">
        <f>J22-F22</f>
        <v>122586.1</v>
      </c>
      <c r="I22" s="22"/>
      <c r="J22" s="32">
        <v>226039.99</v>
      </c>
      <c r="K22" s="22"/>
      <c r="L22" s="103">
        <v>264595.58</v>
      </c>
    </row>
    <row r="23" spans="1:12">
      <c r="A23" s="25" t="s">
        <v>35</v>
      </c>
      <c r="B23" s="21" t="s">
        <v>36</v>
      </c>
      <c r="C23" s="22"/>
      <c r="D23" s="32">
        <v>290318</v>
      </c>
      <c r="E23" s="22"/>
      <c r="F23" s="32">
        <v>0</v>
      </c>
      <c r="G23" s="22"/>
      <c r="H23" s="26">
        <f>J23-F23</f>
        <v>386820</v>
      </c>
      <c r="I23" s="22"/>
      <c r="J23" s="32">
        <v>386820</v>
      </c>
      <c r="K23" s="22"/>
      <c r="L23" s="103">
        <v>466380</v>
      </c>
    </row>
    <row r="24" spans="1:12">
      <c r="A24" s="25" t="s">
        <v>37</v>
      </c>
      <c r="B24" s="21" t="s">
        <v>38</v>
      </c>
      <c r="C24" s="22"/>
      <c r="D24" s="32">
        <v>45000</v>
      </c>
      <c r="E24" s="22"/>
      <c r="F24" s="32">
        <v>0</v>
      </c>
      <c r="G24" s="22"/>
      <c r="H24" s="26">
        <f>J24-F24</f>
        <v>65000</v>
      </c>
      <c r="I24" s="22"/>
      <c r="J24" s="32">
        <v>65000</v>
      </c>
      <c r="K24" s="22"/>
      <c r="L24" s="103">
        <v>80000</v>
      </c>
    </row>
    <row r="25" spans="1:12">
      <c r="A25" s="25" t="s">
        <v>39</v>
      </c>
      <c r="B25" s="21" t="s">
        <v>40</v>
      </c>
      <c r="C25" s="22"/>
      <c r="D25" s="32">
        <v>320487</v>
      </c>
      <c r="E25" s="22"/>
      <c r="F25" s="32">
        <v>326942</v>
      </c>
      <c r="G25" s="22"/>
      <c r="H25" s="26">
        <f>J25-F25</f>
        <v>11945</v>
      </c>
      <c r="I25" s="22"/>
      <c r="J25" s="32">
        <v>338887</v>
      </c>
      <c r="K25" s="22"/>
      <c r="L25" s="103">
        <v>466201</v>
      </c>
    </row>
    <row r="26" spans="1:12">
      <c r="A26" s="29" t="s">
        <v>41</v>
      </c>
      <c r="B26" s="21"/>
      <c r="C26" s="22"/>
      <c r="D26" s="30"/>
      <c r="E26" s="22"/>
      <c r="F26" s="30"/>
      <c r="G26" s="22"/>
      <c r="H26" s="30"/>
      <c r="I26" s="22"/>
      <c r="J26" s="30"/>
      <c r="K26" s="22"/>
      <c r="L26" s="102"/>
    </row>
    <row r="27" spans="1:12">
      <c r="A27" s="25" t="s">
        <v>42</v>
      </c>
      <c r="B27" s="21" t="s">
        <v>43</v>
      </c>
      <c r="C27" s="22"/>
      <c r="D27" s="30">
        <v>437336.7</v>
      </c>
      <c r="E27" s="22"/>
      <c r="F27" s="30">
        <v>248289.33</v>
      </c>
      <c r="G27" s="22"/>
      <c r="H27" s="26">
        <f>J27-F27</f>
        <v>294206.64</v>
      </c>
      <c r="I27" s="22"/>
      <c r="J27" s="30">
        <v>542495.97</v>
      </c>
      <c r="K27" s="22"/>
      <c r="L27" s="102">
        <v>671455.64</v>
      </c>
    </row>
    <row r="28" spans="1:12">
      <c r="A28" s="25" t="s">
        <v>44</v>
      </c>
      <c r="B28" s="21" t="s">
        <v>45</v>
      </c>
      <c r="C28" s="22"/>
      <c r="D28" s="32">
        <v>11400</v>
      </c>
      <c r="E28" s="22"/>
      <c r="F28" s="32">
        <v>6600</v>
      </c>
      <c r="G28" s="22"/>
      <c r="H28" s="26">
        <f>J28-F28</f>
        <v>8503.22</v>
      </c>
      <c r="I28" s="22"/>
      <c r="J28" s="32">
        <v>15103.22</v>
      </c>
      <c r="K28" s="22"/>
      <c r="L28" s="103">
        <v>19200</v>
      </c>
    </row>
    <row r="29" spans="1:12">
      <c r="A29" s="25" t="s">
        <v>46</v>
      </c>
      <c r="B29" s="21" t="s">
        <v>47</v>
      </c>
      <c r="C29" s="22"/>
      <c r="D29" s="32">
        <v>48007.76</v>
      </c>
      <c r="E29" s="22"/>
      <c r="F29" s="32">
        <v>29624.25</v>
      </c>
      <c r="G29" s="22"/>
      <c r="H29" s="26">
        <f>J29-F29</f>
        <v>33073.92</v>
      </c>
      <c r="I29" s="22"/>
      <c r="J29" s="32">
        <v>62698.17</v>
      </c>
      <c r="K29" s="22"/>
      <c r="L29" s="103">
        <v>125876.86</v>
      </c>
    </row>
    <row r="30" spans="1:12">
      <c r="A30" s="25" t="s">
        <v>48</v>
      </c>
      <c r="B30" s="21" t="s">
        <v>49</v>
      </c>
      <c r="C30" s="22"/>
      <c r="D30" s="32">
        <v>11400</v>
      </c>
      <c r="E30" s="22"/>
      <c r="F30" s="32">
        <v>6552.65</v>
      </c>
      <c r="G30" s="22"/>
      <c r="H30" s="26">
        <f>J30-F30</f>
        <v>8550.57</v>
      </c>
      <c r="I30" s="22"/>
      <c r="J30" s="32">
        <v>15103.22</v>
      </c>
      <c r="K30" s="22"/>
      <c r="L30" s="103">
        <v>19200</v>
      </c>
    </row>
    <row r="31" spans="1:12">
      <c r="A31" s="29" t="s">
        <v>50</v>
      </c>
      <c r="B31" s="21"/>
      <c r="C31" s="27"/>
      <c r="D31" s="30"/>
      <c r="E31" s="22"/>
      <c r="F31" s="30"/>
      <c r="G31" s="22"/>
      <c r="H31" s="30"/>
      <c r="I31" s="22"/>
      <c r="J31" s="30"/>
      <c r="K31" s="22"/>
      <c r="L31" s="102"/>
    </row>
    <row r="32" spans="1:12">
      <c r="A32" s="25" t="s">
        <v>141</v>
      </c>
      <c r="B32" s="21" t="s">
        <v>52</v>
      </c>
      <c r="C32" s="22"/>
      <c r="D32" s="26">
        <v>832266.88</v>
      </c>
      <c r="E32" s="22"/>
      <c r="F32" s="26">
        <v>0</v>
      </c>
      <c r="G32" s="22"/>
      <c r="H32" s="26">
        <v>0</v>
      </c>
      <c r="I32" s="22"/>
      <c r="J32" s="26">
        <v>2067691.16</v>
      </c>
      <c r="K32" s="22"/>
      <c r="L32" s="101">
        <v>154662.72</v>
      </c>
    </row>
    <row r="33" spans="1:12" customHeight="1" ht="15.75">
      <c r="A33" s="25" t="s">
        <v>157</v>
      </c>
      <c r="B33" s="21" t="s">
        <v>54</v>
      </c>
      <c r="C33" s="22"/>
      <c r="D33" s="35">
        <v>10000</v>
      </c>
      <c r="E33" s="22"/>
      <c r="F33" s="35">
        <v>0</v>
      </c>
      <c r="G33" s="22"/>
      <c r="H33" s="26">
        <f>J33-F33</f>
        <v>5000</v>
      </c>
      <c r="I33" s="22"/>
      <c r="J33" s="35">
        <v>5000</v>
      </c>
      <c r="K33" s="22"/>
      <c r="L33" s="104">
        <v>0</v>
      </c>
    </row>
    <row r="34" spans="1:12">
      <c r="A34" s="29" t="s">
        <v>55</v>
      </c>
      <c r="B34" s="45"/>
      <c r="C34" s="58" t="s">
        <v>21</v>
      </c>
      <c r="D34" s="59">
        <f>SUM(D12:D33)</f>
        <v>6585335.88</v>
      </c>
      <c r="E34" s="60" t="s">
        <v>21</v>
      </c>
      <c r="F34" s="59">
        <f>SUM(F12:F33)</f>
        <v>3160731.87</v>
      </c>
      <c r="G34" s="60" t="s">
        <v>21</v>
      </c>
      <c r="H34" s="59">
        <f>SUM(H12:H33)</f>
        <v>3875483.15</v>
      </c>
      <c r="I34" s="60" t="s">
        <v>21</v>
      </c>
      <c r="J34" s="59">
        <f>SUM(J12:J33)</f>
        <v>9103906.18</v>
      </c>
      <c r="K34" s="60" t="s">
        <v>21</v>
      </c>
      <c r="L34" s="109">
        <f>SUM(L12:L33)</f>
        <v>9004235.49</v>
      </c>
    </row>
    <row r="35" spans="1:12">
      <c r="A35" s="74" t="s">
        <v>56</v>
      </c>
      <c r="B35" s="75"/>
      <c r="C35" s="76"/>
      <c r="D35" s="77"/>
      <c r="E35" s="76"/>
      <c r="F35" s="77"/>
      <c r="G35" s="76"/>
      <c r="H35" s="77"/>
      <c r="I35" s="76"/>
      <c r="J35" s="77"/>
      <c r="K35" s="76"/>
      <c r="L35" s="111"/>
    </row>
    <row r="36" spans="1:12">
      <c r="A36" s="25" t="s">
        <v>57</v>
      </c>
      <c r="B36" s="21" t="s">
        <v>58</v>
      </c>
      <c r="C36" s="22" t="s">
        <v>21</v>
      </c>
      <c r="D36" s="30">
        <v>28166.67</v>
      </c>
      <c r="E36" s="22" t="s">
        <v>21</v>
      </c>
      <c r="F36" s="30">
        <v>30564.52</v>
      </c>
      <c r="G36" s="22" t="s">
        <v>21</v>
      </c>
      <c r="H36" s="30">
        <f>J36-F36</f>
        <v>69435.48</v>
      </c>
      <c r="I36" s="22" t="s">
        <v>21</v>
      </c>
      <c r="J36" s="30">
        <v>100000</v>
      </c>
      <c r="K36" s="22" t="s">
        <v>21</v>
      </c>
      <c r="L36" s="102">
        <v>200000</v>
      </c>
    </row>
    <row r="37" spans="1:12">
      <c r="A37" s="25" t="s">
        <v>61</v>
      </c>
      <c r="B37" s="21" t="s">
        <v>62</v>
      </c>
      <c r="C37" s="22"/>
      <c r="D37" s="32">
        <v>54751.13</v>
      </c>
      <c r="E37" s="22"/>
      <c r="F37" s="32">
        <v>37038</v>
      </c>
      <c r="G37" s="22"/>
      <c r="H37" s="32">
        <f>J37-F37</f>
        <v>17962</v>
      </c>
      <c r="I37" s="22"/>
      <c r="J37" s="32">
        <v>55000</v>
      </c>
      <c r="K37" s="22"/>
      <c r="L37" s="103">
        <v>104431.23</v>
      </c>
    </row>
    <row r="38" spans="1:12">
      <c r="A38" s="25" t="s">
        <v>158</v>
      </c>
      <c r="B38" s="21" t="s">
        <v>159</v>
      </c>
      <c r="C38" s="22"/>
      <c r="D38" s="32">
        <v>496829</v>
      </c>
      <c r="E38" s="22"/>
      <c r="F38" s="32">
        <v>253500</v>
      </c>
      <c r="G38" s="22"/>
      <c r="H38" s="32">
        <f>J38-F38</f>
        <v>1246500</v>
      </c>
      <c r="I38" s="22"/>
      <c r="J38" s="32">
        <v>1500000</v>
      </c>
      <c r="K38" s="22"/>
      <c r="L38" s="103">
        <v>1700000</v>
      </c>
    </row>
    <row r="39" spans="1:12">
      <c r="A39" s="25" t="s">
        <v>160</v>
      </c>
      <c r="B39" s="21" t="s">
        <v>161</v>
      </c>
      <c r="C39" s="22"/>
      <c r="D39" s="32">
        <v>209654</v>
      </c>
      <c r="E39" s="22"/>
      <c r="F39" s="32">
        <v>129616</v>
      </c>
      <c r="G39" s="22"/>
      <c r="H39" s="32">
        <f>J39-F39</f>
        <v>80384</v>
      </c>
      <c r="I39" s="22"/>
      <c r="J39" s="32">
        <v>210000</v>
      </c>
      <c r="K39" s="22"/>
      <c r="L39" s="103">
        <v>350000</v>
      </c>
    </row>
    <row r="40" spans="1:12">
      <c r="A40" s="25" t="s">
        <v>162</v>
      </c>
      <c r="B40" s="21" t="s">
        <v>64</v>
      </c>
      <c r="C40" s="22"/>
      <c r="D40" s="32">
        <v>0</v>
      </c>
      <c r="E40" s="22"/>
      <c r="F40" s="32">
        <v>0</v>
      </c>
      <c r="G40" s="22"/>
      <c r="H40" s="32">
        <v>0</v>
      </c>
      <c r="I40" s="22"/>
      <c r="J40" s="32">
        <v>0</v>
      </c>
      <c r="K40" s="22"/>
      <c r="L40" s="103">
        <v>250000</v>
      </c>
    </row>
    <row r="41" spans="1:12">
      <c r="A41" s="25" t="s">
        <v>71</v>
      </c>
      <c r="B41" s="21" t="s">
        <v>72</v>
      </c>
      <c r="C41" s="22"/>
      <c r="D41" s="32">
        <v>60000</v>
      </c>
      <c r="E41" s="22"/>
      <c r="F41" s="32">
        <v>30000</v>
      </c>
      <c r="G41" s="22"/>
      <c r="H41" s="32">
        <f>J41-F41</f>
        <v>30000</v>
      </c>
      <c r="I41" s="22"/>
      <c r="J41" s="32">
        <v>60000</v>
      </c>
      <c r="K41" s="22"/>
      <c r="L41" s="103">
        <v>60000</v>
      </c>
    </row>
    <row r="42" spans="1:12">
      <c r="A42" s="25" t="s">
        <v>73</v>
      </c>
      <c r="B42" s="21" t="s">
        <v>74</v>
      </c>
      <c r="C42" s="22"/>
      <c r="D42" s="32">
        <v>24268.8</v>
      </c>
      <c r="E42" s="22"/>
      <c r="F42" s="32">
        <v>12199.64</v>
      </c>
      <c r="G42" s="22"/>
      <c r="H42" s="32">
        <f>J42-F42</f>
        <v>12800.36</v>
      </c>
      <c r="I42" s="22"/>
      <c r="J42" s="32">
        <v>25000</v>
      </c>
      <c r="K42" s="22"/>
      <c r="L42" s="103">
        <v>25000</v>
      </c>
    </row>
    <row r="43" spans="1:12">
      <c r="A43" s="25" t="s">
        <v>81</v>
      </c>
      <c r="B43" s="21" t="s">
        <v>82</v>
      </c>
      <c r="C43" s="22"/>
      <c r="D43" s="32">
        <v>2500</v>
      </c>
      <c r="E43" s="22"/>
      <c r="F43" s="32">
        <v>1500</v>
      </c>
      <c r="G43" s="22"/>
      <c r="H43" s="32">
        <f>J43-F43</f>
        <v>8500</v>
      </c>
      <c r="I43" s="22"/>
      <c r="J43" s="32">
        <v>10000</v>
      </c>
      <c r="K43" s="22"/>
      <c r="L43" s="103">
        <v>30000</v>
      </c>
    </row>
    <row r="44" spans="1:12">
      <c r="A44" s="25" t="s">
        <v>163</v>
      </c>
      <c r="B44" s="21" t="s">
        <v>84</v>
      </c>
      <c r="C44" s="22"/>
      <c r="D44" s="32">
        <v>0</v>
      </c>
      <c r="E44" s="22"/>
      <c r="F44" s="32">
        <v>0</v>
      </c>
      <c r="G44" s="22"/>
      <c r="H44" s="71">
        <v>0</v>
      </c>
      <c r="I44" s="22"/>
      <c r="J44" s="32">
        <v>0</v>
      </c>
      <c r="K44" s="22"/>
      <c r="L44" s="103">
        <v>75000</v>
      </c>
    </row>
    <row r="45" spans="1:12" customHeight="1" ht="15.75">
      <c r="A45" s="25" t="s">
        <v>91</v>
      </c>
      <c r="B45" s="21" t="s">
        <v>92</v>
      </c>
      <c r="C45" s="22"/>
      <c r="D45" s="35">
        <v>5850</v>
      </c>
      <c r="E45" s="22"/>
      <c r="F45" s="35">
        <v>17291.93</v>
      </c>
      <c r="G45" s="22"/>
      <c r="H45" s="36">
        <f>J45-F45</f>
        <v>7708.07</v>
      </c>
      <c r="I45" s="22"/>
      <c r="J45" s="35">
        <v>25000</v>
      </c>
      <c r="K45" s="22"/>
      <c r="L45" s="104">
        <v>130000</v>
      </c>
    </row>
    <row r="46" spans="1:12">
      <c r="A46" s="29" t="s">
        <v>93</v>
      </c>
      <c r="B46" s="45"/>
      <c r="C46" s="48" t="s">
        <v>21</v>
      </c>
      <c r="D46" s="59">
        <f>SUM(D36:D45)</f>
        <v>882019.6</v>
      </c>
      <c r="E46" s="48" t="s">
        <v>21</v>
      </c>
      <c r="F46" s="59">
        <f>SUM(F36:F45)</f>
        <v>511710.09</v>
      </c>
      <c r="G46" s="48" t="s">
        <v>21</v>
      </c>
      <c r="H46" s="59">
        <f>SUM(H36:H45)</f>
        <v>1473289.91</v>
      </c>
      <c r="I46" s="48" t="s">
        <v>21</v>
      </c>
      <c r="J46" s="59">
        <f>SUM(J36:J45)</f>
        <v>1985000</v>
      </c>
      <c r="K46" s="48" t="s">
        <v>21</v>
      </c>
      <c r="L46" s="108">
        <f>SUM(L36:L45)</f>
        <v>2924431.23</v>
      </c>
    </row>
    <row r="47" spans="1:12">
      <c r="A47" s="74" t="s">
        <v>94</v>
      </c>
      <c r="B47" s="75"/>
      <c r="C47" s="76"/>
      <c r="D47" s="71"/>
      <c r="E47" s="76"/>
      <c r="F47" s="71"/>
      <c r="G47" s="76"/>
      <c r="H47" s="71"/>
      <c r="I47" s="76"/>
      <c r="J47" s="71"/>
      <c r="K47" s="76"/>
      <c r="L47" s="110"/>
    </row>
    <row r="48" spans="1:12">
      <c r="A48" s="25" t="s">
        <v>164</v>
      </c>
      <c r="B48" s="21" t="s">
        <v>165</v>
      </c>
      <c r="C48" s="22" t="s">
        <v>21</v>
      </c>
      <c r="D48" s="26">
        <v>0</v>
      </c>
      <c r="E48" s="22" t="s">
        <v>21</v>
      </c>
      <c r="F48" s="26">
        <v>3000000</v>
      </c>
      <c r="G48" s="22" t="s">
        <v>21</v>
      </c>
      <c r="H48" s="26">
        <f>J48-F48</f>
        <v>0</v>
      </c>
      <c r="I48" s="22" t="s">
        <v>21</v>
      </c>
      <c r="J48" s="26">
        <v>3000000</v>
      </c>
      <c r="K48" s="22" t="s">
        <v>21</v>
      </c>
      <c r="L48" s="101">
        <v>0</v>
      </c>
    </row>
    <row r="49" spans="1:12">
      <c r="A49" s="25" t="s">
        <v>166</v>
      </c>
      <c r="B49" s="21" t="s">
        <v>167</v>
      </c>
      <c r="C49" s="22"/>
      <c r="D49" s="26">
        <v>0</v>
      </c>
      <c r="E49" s="22"/>
      <c r="F49" s="26">
        <v>0</v>
      </c>
      <c r="G49" s="22"/>
      <c r="H49" s="26">
        <v>0</v>
      </c>
      <c r="I49" s="22"/>
      <c r="J49" s="26">
        <v>0</v>
      </c>
      <c r="K49" s="22"/>
      <c r="L49" s="101">
        <v>700000</v>
      </c>
    </row>
    <row r="50" spans="1:12">
      <c r="A50" s="25" t="s">
        <v>99</v>
      </c>
      <c r="B50" s="21" t="s">
        <v>100</v>
      </c>
      <c r="C50" s="22"/>
      <c r="D50" s="32">
        <v>0</v>
      </c>
      <c r="E50" s="22"/>
      <c r="F50" s="32">
        <v>0</v>
      </c>
      <c r="G50" s="22"/>
      <c r="H50" s="26">
        <v>0</v>
      </c>
      <c r="I50" s="22"/>
      <c r="J50" s="32">
        <v>0</v>
      </c>
      <c r="K50" s="22"/>
      <c r="L50" s="103">
        <v>865000</v>
      </c>
    </row>
    <row r="51" spans="1:12" customHeight="1" ht="15.75">
      <c r="A51" s="25" t="s">
        <v>168</v>
      </c>
      <c r="B51" s="21" t="s">
        <v>169</v>
      </c>
      <c r="C51" s="22"/>
      <c r="D51" s="30">
        <v>0</v>
      </c>
      <c r="E51" s="22"/>
      <c r="F51" s="30">
        <v>0</v>
      </c>
      <c r="G51" s="22"/>
      <c r="H51" s="32">
        <f>J51-F51</f>
        <v>1500000</v>
      </c>
      <c r="I51" s="22"/>
      <c r="J51" s="30">
        <v>1500000</v>
      </c>
      <c r="K51" s="22"/>
      <c r="L51" s="102">
        <v>0</v>
      </c>
    </row>
    <row r="52" spans="1:12" customHeight="1" ht="15.75">
      <c r="A52" s="29" t="s">
        <v>103</v>
      </c>
      <c r="B52" s="21"/>
      <c r="C52" s="48" t="s">
        <v>21</v>
      </c>
      <c r="D52" s="63">
        <f>SUM(D48)</f>
        <v>0</v>
      </c>
      <c r="E52" s="48" t="s">
        <v>21</v>
      </c>
      <c r="F52" s="63">
        <f>SUM(F48)</f>
        <v>3000000</v>
      </c>
      <c r="G52" s="48" t="s">
        <v>21</v>
      </c>
      <c r="H52" s="63">
        <f>SUM(H48:H51)</f>
        <v>1500000</v>
      </c>
      <c r="I52" s="48" t="s">
        <v>21</v>
      </c>
      <c r="J52" s="63">
        <f>SUM(J48:J51)</f>
        <v>4500000</v>
      </c>
      <c r="K52" s="48" t="s">
        <v>21</v>
      </c>
      <c r="L52" s="105">
        <f>SUM(L48:L51)</f>
        <v>1565000</v>
      </c>
    </row>
    <row r="53" spans="1:12" customHeight="1" ht="15.75">
      <c r="A53" s="49" t="s">
        <v>104</v>
      </c>
      <c r="B53" s="50"/>
      <c r="C53" s="51" t="s">
        <v>21</v>
      </c>
      <c r="D53" s="52">
        <f>D34+D46+D52</f>
        <v>7467355.48</v>
      </c>
      <c r="E53" s="53" t="s">
        <v>21</v>
      </c>
      <c r="F53" s="52">
        <f>F34+F46+F52</f>
        <v>6672441.96</v>
      </c>
      <c r="G53" s="53" t="s">
        <v>21</v>
      </c>
      <c r="H53" s="52">
        <f>H34+H46+H52</f>
        <v>6848773.06</v>
      </c>
      <c r="I53" s="53" t="s">
        <v>21</v>
      </c>
      <c r="J53" s="52">
        <f>J34+J46+J52</f>
        <v>15588906.18</v>
      </c>
      <c r="K53" s="53" t="s">
        <v>21</v>
      </c>
      <c r="L53" s="106">
        <f>L34+L46+L52</f>
        <v>13493666.72</v>
      </c>
    </row>
    <row r="54" spans="1:12" customHeight="1" ht="15.75">
      <c r="A54" s="66"/>
      <c r="B54" s="67"/>
      <c r="C54" s="60"/>
      <c r="D54" s="68"/>
      <c r="E54" s="60"/>
      <c r="F54" s="68"/>
      <c r="G54" s="60"/>
      <c r="H54" s="68"/>
      <c r="I54" s="60"/>
      <c r="J54" s="68"/>
      <c r="K54" s="60"/>
      <c r="L54" s="107"/>
    </row>
    <row r="55" spans="1:12">
      <c r="A55" s="22" t="s">
        <v>105</v>
      </c>
      <c r="B55" s="22" t="s">
        <v>106</v>
      </c>
      <c r="C55" s="22"/>
      <c r="D55" s="22"/>
      <c r="E55" s="22"/>
      <c r="F55" s="22"/>
      <c r="G55" s="22" t="s">
        <v>107</v>
      </c>
      <c r="H55" s="22"/>
    </row>
    <row r="58" spans="1:12">
      <c r="A58" s="44" t="s">
        <v>170</v>
      </c>
      <c r="B58" s="54" t="s">
        <v>109</v>
      </c>
      <c r="C58" s="54"/>
      <c r="D58" s="54"/>
      <c r="E58" s="54"/>
      <c r="F58" s="54"/>
      <c r="G58" s="55"/>
      <c r="H58" s="54" t="s">
        <v>117</v>
      </c>
      <c r="I58" s="54"/>
      <c r="J58" s="54"/>
      <c r="K58" s="54"/>
      <c r="L58" s="54"/>
    </row>
    <row r="59" spans="1:12">
      <c r="A59" s="56" t="s">
        <v>171</v>
      </c>
      <c r="B59" s="57" t="s">
        <v>112</v>
      </c>
      <c r="C59" s="57"/>
      <c r="D59" s="57"/>
      <c r="E59" s="57"/>
      <c r="F59" s="57"/>
      <c r="G59" s="22"/>
      <c r="H59" s="57" t="s">
        <v>111</v>
      </c>
      <c r="I59" s="57"/>
      <c r="J59" s="57"/>
      <c r="K59" s="57"/>
      <c r="L59" s="5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58:F58"/>
    <mergeCell ref="H58:L58"/>
    <mergeCell ref="B59:F59"/>
    <mergeCell ref="H59:L59"/>
    <mergeCell ref="C10:D10"/>
    <mergeCell ref="E10:F10"/>
    <mergeCell ref="G10:H10"/>
    <mergeCell ref="K10:L10"/>
    <mergeCell ref="A1:L1"/>
    <mergeCell ref="A2:L2"/>
    <mergeCell ref="C8:D8"/>
    <mergeCell ref="E8:J8"/>
    <mergeCell ref="K8:L8"/>
    <mergeCell ref="C9:D9"/>
    <mergeCell ref="E9:F9"/>
    <mergeCell ref="G9:H9"/>
    <mergeCell ref="I9:J10"/>
    <mergeCell ref="K9:L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9"/>
  <sheetViews>
    <sheetView tabSelected="0" workbookViewId="0" showGridLines="true" showRowColHeaders="1">
      <selection activeCell="H32" sqref="H32"/>
    </sheetView>
  </sheetViews>
  <sheetFormatPr defaultRowHeight="14.4" outlineLevelRow="0" outlineLevelCol="0"/>
  <cols>
    <col min="1" max="1" width="54.42578125" customWidth="true" style="0"/>
    <col min="2" max="2" width="13.28515625" customWidth="true" style="0"/>
    <col min="3" max="3" width="2.140625" customWidth="true" style="0"/>
    <col min="4" max="4" width="11.28515625" customWidth="true" style="0"/>
    <col min="5" max="5" width="2.7109375" customWidth="true" style="0"/>
    <col min="6" max="6" width="11.7109375" customWidth="true" style="0"/>
    <col min="7" max="7" width="2.7109375" customWidth="true" style="0"/>
    <col min="8" max="8" width="13.140625" customWidth="true" style="0"/>
    <col min="9" max="9" width="2.28515625" customWidth="true" style="0"/>
    <col min="10" max="10" width="11.5703125" customWidth="true" style="0"/>
    <col min="11" max="11" width="2.140625" customWidth="true" style="0"/>
    <col min="12" max="12" width="11.5703125" customWidth="true" style="119"/>
  </cols>
  <sheetData>
    <row r="1" spans="1:12" customHeight="1" ht="15.7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118"/>
    </row>
    <row r="4" spans="1:12">
      <c r="A4" s="4" t="s">
        <v>2</v>
      </c>
      <c r="D4" t="s">
        <v>113</v>
      </c>
    </row>
    <row r="5" spans="1:12">
      <c r="A5" s="4" t="s">
        <v>4</v>
      </c>
      <c r="D5" s="4" t="s">
        <v>172</v>
      </c>
    </row>
    <row r="6" spans="1:12">
      <c r="A6" s="4" t="s">
        <v>6</v>
      </c>
      <c r="F6" s="4"/>
    </row>
    <row r="7" spans="1:12" customHeight="1" ht="15.75"/>
    <row r="8" spans="1:12">
      <c r="A8" s="5"/>
      <c r="B8" s="6"/>
      <c r="C8" s="7" t="s">
        <v>7</v>
      </c>
      <c r="D8" s="7"/>
      <c r="E8" s="8" t="s">
        <v>8</v>
      </c>
      <c r="F8" s="8"/>
      <c r="G8" s="8"/>
      <c r="H8" s="8"/>
      <c r="I8" s="8"/>
      <c r="J8" s="8"/>
      <c r="K8" s="7" t="s">
        <v>9</v>
      </c>
      <c r="L8" s="9"/>
    </row>
    <row r="9" spans="1:12">
      <c r="A9" s="10" t="s">
        <v>10</v>
      </c>
      <c r="B9" s="11" t="s">
        <v>11</v>
      </c>
      <c r="C9" s="12">
        <v>2021</v>
      </c>
      <c r="D9" s="12"/>
      <c r="E9" s="12" t="s">
        <v>12</v>
      </c>
      <c r="F9" s="12"/>
      <c r="G9" s="12" t="s">
        <v>13</v>
      </c>
      <c r="H9" s="12"/>
      <c r="I9" s="13" t="s">
        <v>14</v>
      </c>
      <c r="J9" s="13"/>
      <c r="K9" s="12">
        <v>2023</v>
      </c>
      <c r="L9" s="14"/>
    </row>
    <row r="10" spans="1:12" customHeight="1" ht="15.75">
      <c r="A10" s="15"/>
      <c r="B10" s="16"/>
      <c r="C10" s="17" t="s">
        <v>15</v>
      </c>
      <c r="D10" s="17"/>
      <c r="E10" s="17" t="s">
        <v>15</v>
      </c>
      <c r="F10" s="17"/>
      <c r="G10" s="17" t="s">
        <v>16</v>
      </c>
      <c r="H10" s="17"/>
      <c r="I10" s="18"/>
      <c r="J10" s="18"/>
      <c r="K10" s="17" t="s">
        <v>17</v>
      </c>
      <c r="L10" s="19"/>
    </row>
    <row r="11" spans="1:12">
      <c r="A11" s="20" t="s">
        <v>18</v>
      </c>
      <c r="B11" s="21"/>
      <c r="C11" s="22"/>
      <c r="D11" s="23"/>
      <c r="E11" s="22"/>
      <c r="F11" s="23"/>
      <c r="G11" s="22"/>
      <c r="H11" s="23"/>
      <c r="I11" s="22"/>
      <c r="J11" s="23"/>
      <c r="K11" s="22"/>
      <c r="L11" s="121"/>
    </row>
    <row r="12" spans="1:12">
      <c r="A12" s="25" t="s">
        <v>19</v>
      </c>
      <c r="B12" s="21" t="s">
        <v>20</v>
      </c>
      <c r="C12" s="22" t="s">
        <v>21</v>
      </c>
      <c r="D12" s="112">
        <v>1018644</v>
      </c>
      <c r="E12" s="22" t="s">
        <v>21</v>
      </c>
      <c r="F12" s="112">
        <v>448445.23</v>
      </c>
      <c r="G12" s="22" t="s">
        <v>21</v>
      </c>
      <c r="H12" s="112">
        <f>J12-F12</f>
        <v>570198.77</v>
      </c>
      <c r="I12" s="22" t="s">
        <v>21</v>
      </c>
      <c r="J12" s="112">
        <v>1018644</v>
      </c>
      <c r="K12" s="22" t="s">
        <v>21</v>
      </c>
      <c r="L12" s="122">
        <v>1508988</v>
      </c>
    </row>
    <row r="13" spans="1:12">
      <c r="A13" s="29" t="s">
        <v>22</v>
      </c>
      <c r="B13" s="21"/>
      <c r="C13" s="22"/>
      <c r="D13" s="113"/>
      <c r="E13" s="22"/>
      <c r="F13" s="113"/>
      <c r="G13" s="22"/>
      <c r="H13" s="113"/>
      <c r="I13" s="22"/>
      <c r="J13" s="113"/>
      <c r="K13" s="22"/>
      <c r="L13" s="123"/>
    </row>
    <row r="14" spans="1:12">
      <c r="A14" s="25" t="s">
        <v>23</v>
      </c>
      <c r="B14" s="21" t="s">
        <v>24</v>
      </c>
      <c r="C14" s="22"/>
      <c r="D14" s="113">
        <v>48000</v>
      </c>
      <c r="E14" s="22"/>
      <c r="F14" s="113">
        <v>22967.74</v>
      </c>
      <c r="G14" s="22"/>
      <c r="H14" s="112">
        <f>J14-F14</f>
        <v>25032.26</v>
      </c>
      <c r="I14" s="22"/>
      <c r="J14" s="113">
        <v>48000</v>
      </c>
      <c r="K14" s="22"/>
      <c r="L14" s="123">
        <v>96000</v>
      </c>
    </row>
    <row r="15" spans="1:12">
      <c r="A15" s="25" t="s">
        <v>25</v>
      </c>
      <c r="B15" s="21" t="s">
        <v>26</v>
      </c>
      <c r="C15" s="22"/>
      <c r="D15" s="69">
        <v>72000</v>
      </c>
      <c r="E15" s="22"/>
      <c r="F15" s="69">
        <v>32903.22</v>
      </c>
      <c r="G15" s="22"/>
      <c r="H15" s="112">
        <f>J15-F15</f>
        <v>39096.78</v>
      </c>
      <c r="I15" s="22"/>
      <c r="J15" s="69">
        <v>72000</v>
      </c>
      <c r="K15" s="22"/>
      <c r="L15" s="124">
        <v>72000</v>
      </c>
    </row>
    <row r="16" spans="1:12">
      <c r="A16" s="25" t="s">
        <v>27</v>
      </c>
      <c r="B16" s="21" t="s">
        <v>28</v>
      </c>
      <c r="C16" s="22"/>
      <c r="D16" s="69">
        <v>72000</v>
      </c>
      <c r="E16" s="22"/>
      <c r="F16" s="69">
        <v>32903.22</v>
      </c>
      <c r="G16" s="22"/>
      <c r="H16" s="112">
        <f>J16-F16</f>
        <v>39096.78</v>
      </c>
      <c r="I16" s="22"/>
      <c r="J16" s="69">
        <v>72000</v>
      </c>
      <c r="K16" s="22"/>
      <c r="L16" s="124">
        <v>72000</v>
      </c>
    </row>
    <row r="17" spans="1:12">
      <c r="A17" s="25" t="s">
        <v>29</v>
      </c>
      <c r="B17" s="21" t="s">
        <v>30</v>
      </c>
      <c r="C17" s="22"/>
      <c r="D17" s="69">
        <v>12000</v>
      </c>
      <c r="E17" s="22"/>
      <c r="F17" s="69">
        <v>12000</v>
      </c>
      <c r="G17" s="22"/>
      <c r="H17" s="112">
        <f>J17-F17</f>
        <v>0</v>
      </c>
      <c r="I17" s="22"/>
      <c r="J17" s="69">
        <v>12000</v>
      </c>
      <c r="K17" s="22"/>
      <c r="L17" s="124">
        <v>24000</v>
      </c>
    </row>
    <row r="18" spans="1:12">
      <c r="A18" s="25" t="s">
        <v>151</v>
      </c>
      <c r="B18" s="21" t="s">
        <v>152</v>
      </c>
      <c r="C18" s="22"/>
      <c r="D18" s="69">
        <v>12000</v>
      </c>
      <c r="E18" s="22"/>
      <c r="F18" s="69">
        <v>5483.87</v>
      </c>
      <c r="G18" s="22"/>
      <c r="H18" s="112">
        <f>J18-F18</f>
        <v>6516.13</v>
      </c>
      <c r="I18" s="22"/>
      <c r="J18" s="69">
        <v>12000</v>
      </c>
      <c r="K18" s="22"/>
      <c r="L18" s="124">
        <v>12000</v>
      </c>
    </row>
    <row r="19" spans="1:12">
      <c r="A19" s="25" t="s">
        <v>31</v>
      </c>
      <c r="B19" s="21" t="s">
        <v>32</v>
      </c>
      <c r="C19" s="22"/>
      <c r="D19" s="69">
        <v>10000</v>
      </c>
      <c r="E19" s="22"/>
      <c r="F19" s="69">
        <v>0</v>
      </c>
      <c r="G19" s="22"/>
      <c r="H19" s="112">
        <f>J19-F19</f>
        <v>10000</v>
      </c>
      <c r="I19" s="22"/>
      <c r="J19" s="69">
        <v>10000</v>
      </c>
      <c r="K19" s="22"/>
      <c r="L19" s="124">
        <v>20000</v>
      </c>
    </row>
    <row r="20" spans="1:12">
      <c r="A20" s="25" t="s">
        <v>33</v>
      </c>
      <c r="B20" s="21" t="s">
        <v>34</v>
      </c>
      <c r="C20" s="22"/>
      <c r="D20" s="69">
        <v>20000</v>
      </c>
      <c r="E20" s="22"/>
      <c r="F20" s="69">
        <v>0</v>
      </c>
      <c r="G20" s="22"/>
      <c r="H20" s="112">
        <f>J20-F20</f>
        <v>0</v>
      </c>
      <c r="I20" s="22"/>
      <c r="J20" s="69">
        <v>0</v>
      </c>
      <c r="K20" s="22"/>
      <c r="L20" s="124">
        <v>40000</v>
      </c>
    </row>
    <row r="21" spans="1:12">
      <c r="A21" s="25" t="s">
        <v>155</v>
      </c>
      <c r="B21" s="21" t="s">
        <v>156</v>
      </c>
      <c r="C21" s="22"/>
      <c r="D21" s="69">
        <v>45147.6</v>
      </c>
      <c r="E21" s="22"/>
      <c r="F21" s="69">
        <v>19393.16</v>
      </c>
      <c r="G21" s="22"/>
      <c r="H21" s="112">
        <f>J21-F21</f>
        <v>25754.44</v>
      </c>
      <c r="I21" s="22"/>
      <c r="J21" s="69">
        <v>45147.6</v>
      </c>
      <c r="K21" s="22"/>
      <c r="L21" s="124">
        <v>43237.2</v>
      </c>
    </row>
    <row r="22" spans="1:12">
      <c r="A22" s="25" t="s">
        <v>35</v>
      </c>
      <c r="B22" s="21" t="s">
        <v>36</v>
      </c>
      <c r="C22" s="22"/>
      <c r="D22" s="69">
        <v>84881</v>
      </c>
      <c r="E22" s="22"/>
      <c r="F22" s="69">
        <v>0</v>
      </c>
      <c r="G22" s="22"/>
      <c r="H22" s="112">
        <f>J22-F22</f>
        <v>84881</v>
      </c>
      <c r="I22" s="22"/>
      <c r="J22" s="69">
        <v>84881</v>
      </c>
      <c r="K22" s="22"/>
      <c r="L22" s="124">
        <v>125749</v>
      </c>
    </row>
    <row r="23" spans="1:12">
      <c r="A23" s="25" t="s">
        <v>37</v>
      </c>
      <c r="B23" s="21" t="s">
        <v>38</v>
      </c>
      <c r="C23" s="22"/>
      <c r="D23" s="69">
        <v>10000</v>
      </c>
      <c r="E23" s="22"/>
      <c r="F23" s="69">
        <v>0</v>
      </c>
      <c r="G23" s="22"/>
      <c r="H23" s="112">
        <f>J23-F23</f>
        <v>10000</v>
      </c>
      <c r="I23" s="22"/>
      <c r="J23" s="69">
        <v>10000</v>
      </c>
      <c r="K23" s="22"/>
      <c r="L23" s="124">
        <v>20000</v>
      </c>
    </row>
    <row r="24" spans="1:12">
      <c r="A24" s="25" t="s">
        <v>39</v>
      </c>
      <c r="B24" s="21" t="s">
        <v>40</v>
      </c>
      <c r="C24" s="22"/>
      <c r="D24" s="69">
        <v>84881</v>
      </c>
      <c r="E24" s="22"/>
      <c r="F24" s="69">
        <v>80825</v>
      </c>
      <c r="G24" s="22"/>
      <c r="H24" s="112">
        <f>J24-F24</f>
        <v>4056</v>
      </c>
      <c r="I24" s="22"/>
      <c r="J24" s="69">
        <v>84881</v>
      </c>
      <c r="K24" s="22"/>
      <c r="L24" s="124">
        <v>125749</v>
      </c>
    </row>
    <row r="25" spans="1:12">
      <c r="A25" s="29" t="s">
        <v>41</v>
      </c>
      <c r="B25" s="21"/>
      <c r="C25" s="22"/>
      <c r="D25" s="113"/>
      <c r="E25" s="22"/>
      <c r="F25" s="113"/>
      <c r="G25" s="22"/>
      <c r="H25" s="113"/>
      <c r="I25" s="22"/>
      <c r="J25" s="113"/>
      <c r="K25" s="22"/>
      <c r="L25" s="123"/>
    </row>
    <row r="26" spans="1:12">
      <c r="A26" s="25" t="s">
        <v>42</v>
      </c>
      <c r="B26" s="21" t="s">
        <v>43</v>
      </c>
      <c r="C26" s="22"/>
      <c r="D26" s="113">
        <v>122237.28</v>
      </c>
      <c r="E26" s="22"/>
      <c r="F26" s="113">
        <v>53813.43</v>
      </c>
      <c r="G26" s="22"/>
      <c r="H26" s="112">
        <f>J26-F26</f>
        <v>68423.85</v>
      </c>
      <c r="I26" s="22"/>
      <c r="J26" s="113">
        <v>122237.28</v>
      </c>
      <c r="K26" s="22"/>
      <c r="L26" s="123">
        <v>181078.56</v>
      </c>
    </row>
    <row r="27" spans="1:12">
      <c r="A27" s="25" t="s">
        <v>44</v>
      </c>
      <c r="B27" s="21" t="s">
        <v>45</v>
      </c>
      <c r="C27" s="22"/>
      <c r="D27" s="69">
        <v>2400</v>
      </c>
      <c r="E27" s="22"/>
      <c r="F27" s="69">
        <v>1200</v>
      </c>
      <c r="G27" s="22"/>
      <c r="H27" s="112">
        <f>J27-F27</f>
        <v>1200</v>
      </c>
      <c r="I27" s="22"/>
      <c r="J27" s="69">
        <v>2400</v>
      </c>
      <c r="K27" s="22"/>
      <c r="L27" s="124">
        <v>4800</v>
      </c>
    </row>
    <row r="28" spans="1:12">
      <c r="A28" s="25" t="s">
        <v>46</v>
      </c>
      <c r="B28" s="21" t="s">
        <v>47</v>
      </c>
      <c r="C28" s="22"/>
      <c r="D28" s="69">
        <v>12600</v>
      </c>
      <c r="E28" s="22"/>
      <c r="F28" s="69">
        <v>6487.15</v>
      </c>
      <c r="G28" s="22"/>
      <c r="H28" s="112">
        <f>J28-F28</f>
        <v>10312.85</v>
      </c>
      <c r="I28" s="22"/>
      <c r="J28" s="69">
        <v>16800</v>
      </c>
      <c r="K28" s="22"/>
      <c r="L28" s="124">
        <v>33952.23</v>
      </c>
    </row>
    <row r="29" spans="1:12">
      <c r="A29" s="25" t="s">
        <v>48</v>
      </c>
      <c r="B29" s="21" t="s">
        <v>49</v>
      </c>
      <c r="C29" s="22"/>
      <c r="D29" s="69">
        <v>2356.92</v>
      </c>
      <c r="E29" s="22"/>
      <c r="F29" s="69">
        <v>1200</v>
      </c>
      <c r="G29" s="22"/>
      <c r="H29" s="112">
        <f>J29-F29</f>
        <v>1156.92</v>
      </c>
      <c r="I29" s="22"/>
      <c r="J29" s="69">
        <v>2356.92</v>
      </c>
      <c r="K29" s="22"/>
      <c r="L29" s="124">
        <v>4800</v>
      </c>
    </row>
    <row r="30" spans="1:12">
      <c r="A30" s="29" t="s">
        <v>50</v>
      </c>
      <c r="B30" s="21"/>
      <c r="C30" s="27"/>
      <c r="D30" s="113"/>
      <c r="E30" s="22"/>
      <c r="F30" s="113"/>
      <c r="G30" s="22"/>
      <c r="H30" s="113"/>
      <c r="I30" s="22"/>
      <c r="J30" s="113"/>
      <c r="K30" s="22"/>
      <c r="L30" s="123"/>
    </row>
    <row r="31" spans="1:12">
      <c r="A31" s="25" t="s">
        <v>141</v>
      </c>
      <c r="B31" s="21" t="s">
        <v>52</v>
      </c>
      <c r="C31" s="22"/>
      <c r="D31" s="113">
        <v>1739325.95</v>
      </c>
      <c r="E31" s="22"/>
      <c r="F31" s="112">
        <v>0</v>
      </c>
      <c r="G31" s="22"/>
      <c r="H31" s="112">
        <f>J31-F31</f>
        <v>1739325.95</v>
      </c>
      <c r="I31" s="22"/>
      <c r="J31" s="112">
        <v>1739325.95</v>
      </c>
      <c r="K31" s="22"/>
      <c r="L31" s="122">
        <v>0</v>
      </c>
    </row>
    <row r="32" spans="1:12" customHeight="1" ht="15.75">
      <c r="A32" s="25" t="s">
        <v>142</v>
      </c>
      <c r="B32" s="21" t="s">
        <v>54</v>
      </c>
      <c r="C32" s="22"/>
      <c r="D32" s="114">
        <v>0</v>
      </c>
      <c r="E32" s="22"/>
      <c r="F32" s="114">
        <v>0</v>
      </c>
      <c r="G32" s="22"/>
      <c r="H32" s="114">
        <f>J32-F32</f>
        <v>0</v>
      </c>
      <c r="I32" s="22"/>
      <c r="J32" s="114">
        <v>0</v>
      </c>
      <c r="K32" s="22"/>
      <c r="L32" s="125">
        <v>0</v>
      </c>
    </row>
    <row r="33" spans="1:12" customHeight="1" ht="15.75">
      <c r="A33" s="38" t="s">
        <v>55</v>
      </c>
      <c r="B33" s="39"/>
      <c r="C33" s="40" t="s">
        <v>21</v>
      </c>
      <c r="D33" s="115">
        <f>SUM(D12:D32)</f>
        <v>3368473.75</v>
      </c>
      <c r="E33" s="42" t="s">
        <v>21</v>
      </c>
      <c r="F33" s="115">
        <f>SUM(F12:F32)</f>
        <v>717622.02</v>
      </c>
      <c r="G33" s="42" t="s">
        <v>21</v>
      </c>
      <c r="H33" s="115">
        <f>SUM(H12:H32)</f>
        <v>2635051.73</v>
      </c>
      <c r="I33" s="42" t="s">
        <v>21</v>
      </c>
      <c r="J33" s="115">
        <f>SUM(J12:J32)</f>
        <v>3352673.75</v>
      </c>
      <c r="K33" s="42" t="s">
        <v>21</v>
      </c>
      <c r="L33" s="126">
        <f>SUM(L12:L32)</f>
        <v>2384353.99</v>
      </c>
    </row>
    <row r="34" spans="1:12">
      <c r="A34" s="29" t="s">
        <v>56</v>
      </c>
      <c r="B34" s="45"/>
      <c r="C34" s="22"/>
      <c r="D34" s="23"/>
      <c r="E34" s="22"/>
      <c r="F34" s="23"/>
      <c r="G34" s="22"/>
      <c r="H34" s="23"/>
      <c r="I34" s="22"/>
      <c r="J34" s="23"/>
      <c r="K34" s="22"/>
      <c r="L34" s="121"/>
    </row>
    <row r="35" spans="1:12">
      <c r="A35" s="25" t="s">
        <v>57</v>
      </c>
      <c r="B35" s="21" t="s">
        <v>58</v>
      </c>
      <c r="C35" s="22" t="s">
        <v>21</v>
      </c>
      <c r="D35" s="30">
        <v>7950</v>
      </c>
      <c r="E35" s="22" t="s">
        <v>21</v>
      </c>
      <c r="F35" s="30">
        <v>47900</v>
      </c>
      <c r="G35" s="22" t="s">
        <v>21</v>
      </c>
      <c r="H35" s="30">
        <f>J35-F35</f>
        <v>17100</v>
      </c>
      <c r="I35" s="22" t="s">
        <v>21</v>
      </c>
      <c r="J35" s="30">
        <v>65000</v>
      </c>
      <c r="K35" s="22" t="s">
        <v>21</v>
      </c>
      <c r="L35" s="127">
        <v>100000</v>
      </c>
    </row>
    <row r="36" spans="1:12">
      <c r="A36" s="25" t="s">
        <v>61</v>
      </c>
      <c r="B36" s="21" t="s">
        <v>62</v>
      </c>
      <c r="C36" s="22"/>
      <c r="D36" s="32">
        <v>27265.97</v>
      </c>
      <c r="E36" s="22"/>
      <c r="F36" s="32">
        <v>12859</v>
      </c>
      <c r="G36" s="22"/>
      <c r="H36" s="32">
        <f>J36-F36</f>
        <v>20141</v>
      </c>
      <c r="I36" s="22"/>
      <c r="J36" s="32">
        <v>33000</v>
      </c>
      <c r="K36" s="22"/>
      <c r="L36" s="128">
        <v>142463</v>
      </c>
    </row>
    <row r="37" spans="1:12">
      <c r="A37" s="25" t="s">
        <v>63</v>
      </c>
      <c r="B37" s="21" t="s">
        <v>64</v>
      </c>
      <c r="C37" s="22"/>
      <c r="D37" s="32">
        <v>0</v>
      </c>
      <c r="E37" s="22"/>
      <c r="F37" s="32">
        <v>0</v>
      </c>
      <c r="G37" s="22"/>
      <c r="H37" s="32">
        <v>0</v>
      </c>
      <c r="I37" s="22"/>
      <c r="J37" s="32">
        <v>0</v>
      </c>
      <c r="K37" s="22"/>
      <c r="L37" s="128">
        <v>100000</v>
      </c>
    </row>
    <row r="38" spans="1:12">
      <c r="A38" s="25" t="s">
        <v>71</v>
      </c>
      <c r="B38" s="21" t="s">
        <v>72</v>
      </c>
      <c r="C38" s="22"/>
      <c r="D38" s="32">
        <v>60000</v>
      </c>
      <c r="E38" s="22"/>
      <c r="F38" s="32">
        <v>25000</v>
      </c>
      <c r="G38" s="22"/>
      <c r="H38" s="32">
        <f>J38-F38</f>
        <v>35000</v>
      </c>
      <c r="I38" s="22"/>
      <c r="J38" s="32">
        <v>60000</v>
      </c>
      <c r="K38" s="22"/>
      <c r="L38" s="128">
        <v>60000</v>
      </c>
    </row>
    <row r="39" spans="1:12">
      <c r="A39" s="25" t="s">
        <v>73</v>
      </c>
      <c r="B39" s="21" t="s">
        <v>74</v>
      </c>
      <c r="C39" s="22"/>
      <c r="D39" s="32">
        <v>25000</v>
      </c>
      <c r="E39" s="22"/>
      <c r="F39" s="32">
        <v>10177.24</v>
      </c>
      <c r="G39" s="22"/>
      <c r="H39" s="32">
        <f>J39-F39</f>
        <v>14822.76</v>
      </c>
      <c r="I39" s="22"/>
      <c r="J39" s="32">
        <v>25000</v>
      </c>
      <c r="K39" s="22"/>
      <c r="L39" s="128">
        <v>25000</v>
      </c>
    </row>
    <row r="40" spans="1:12">
      <c r="A40" s="25" t="s">
        <v>173</v>
      </c>
      <c r="B40" s="21" t="s">
        <v>82</v>
      </c>
      <c r="C40" s="22"/>
      <c r="D40" s="32">
        <v>1700</v>
      </c>
      <c r="E40" s="22"/>
      <c r="F40" s="32">
        <v>2850</v>
      </c>
      <c r="G40" s="22"/>
      <c r="H40" s="32">
        <f>J40-F40</f>
        <v>2650</v>
      </c>
      <c r="I40" s="22"/>
      <c r="J40" s="32">
        <v>5500</v>
      </c>
      <c r="K40" s="22"/>
      <c r="L40" s="128">
        <v>210000</v>
      </c>
    </row>
    <row r="41" spans="1:12">
      <c r="A41" s="25" t="s">
        <v>91</v>
      </c>
      <c r="B41" s="21" t="s">
        <v>92</v>
      </c>
      <c r="C41" s="22"/>
      <c r="D41" s="32">
        <v>11200</v>
      </c>
      <c r="E41" s="22"/>
      <c r="F41" s="32">
        <v>10425</v>
      </c>
      <c r="G41" s="22"/>
      <c r="H41" s="32">
        <v>0</v>
      </c>
      <c r="I41" s="22"/>
      <c r="J41" s="32">
        <v>25000</v>
      </c>
      <c r="K41" s="22"/>
      <c r="L41" s="128">
        <v>90000</v>
      </c>
    </row>
    <row r="42" spans="1:12">
      <c r="A42" s="25" t="s">
        <v>174</v>
      </c>
      <c r="B42" s="21" t="s">
        <v>175</v>
      </c>
      <c r="C42" s="22"/>
      <c r="D42" s="32">
        <v>462000</v>
      </c>
      <c r="E42" s="22"/>
      <c r="F42" s="32">
        <v>231000</v>
      </c>
      <c r="G42" s="22"/>
      <c r="H42" s="32">
        <f>J42-F42</f>
        <v>231000</v>
      </c>
      <c r="I42" s="22"/>
      <c r="J42" s="32">
        <v>462000</v>
      </c>
      <c r="K42" s="22"/>
      <c r="L42" s="128">
        <v>887040</v>
      </c>
    </row>
    <row r="43" spans="1:12">
      <c r="A43" s="25" t="s">
        <v>176</v>
      </c>
      <c r="B43" s="21" t="s">
        <v>177</v>
      </c>
      <c r="C43" s="22"/>
      <c r="D43" s="30">
        <v>34241.2</v>
      </c>
      <c r="E43" s="22"/>
      <c r="F43" s="30">
        <v>56500</v>
      </c>
      <c r="G43" s="22"/>
      <c r="H43" s="71">
        <f>J43-F43</f>
        <v>718500</v>
      </c>
      <c r="I43" s="22"/>
      <c r="J43" s="30">
        <v>775000</v>
      </c>
      <c r="K43" s="22"/>
      <c r="L43" s="127">
        <v>1300000</v>
      </c>
    </row>
    <row r="44" spans="1:12">
      <c r="A44" s="25" t="s">
        <v>178</v>
      </c>
      <c r="B44" s="21" t="s">
        <v>179</v>
      </c>
      <c r="C44" s="22"/>
      <c r="D44" s="32">
        <v>0</v>
      </c>
      <c r="E44" s="117"/>
      <c r="F44" s="32">
        <v>0</v>
      </c>
      <c r="G44" s="117"/>
      <c r="H44" s="32">
        <f>J44-F44</f>
        <v>1035000</v>
      </c>
      <c r="I44" s="117"/>
      <c r="J44" s="32">
        <v>1035000</v>
      </c>
      <c r="K44" s="117"/>
      <c r="L44" s="128">
        <v>1350000</v>
      </c>
    </row>
    <row r="45" spans="1:12">
      <c r="A45" s="25" t="s">
        <v>180</v>
      </c>
      <c r="B45" s="21" t="s">
        <v>181</v>
      </c>
      <c r="C45" s="22"/>
      <c r="D45" s="32">
        <v>0</v>
      </c>
      <c r="E45" s="117"/>
      <c r="F45" s="32">
        <v>0</v>
      </c>
      <c r="G45" s="117"/>
      <c r="H45" s="32">
        <f>J45-F45</f>
        <v>75000</v>
      </c>
      <c r="I45" s="117"/>
      <c r="J45" s="32">
        <v>75000</v>
      </c>
      <c r="K45" s="117"/>
      <c r="L45" s="128">
        <v>100000</v>
      </c>
    </row>
    <row r="46" spans="1:12">
      <c r="A46" s="25" t="s">
        <v>182</v>
      </c>
      <c r="B46" s="21" t="s">
        <v>183</v>
      </c>
      <c r="C46" s="22"/>
      <c r="D46" s="32">
        <v>0</v>
      </c>
      <c r="E46" s="117"/>
      <c r="F46" s="32">
        <v>0</v>
      </c>
      <c r="G46" s="117"/>
      <c r="H46" s="32">
        <f>J46-F46</f>
        <v>75000</v>
      </c>
      <c r="I46" s="117"/>
      <c r="J46" s="32">
        <v>75000</v>
      </c>
      <c r="K46" s="117"/>
      <c r="L46" s="128">
        <v>100000</v>
      </c>
    </row>
    <row r="47" spans="1:12">
      <c r="A47" s="25" t="s">
        <v>184</v>
      </c>
      <c r="B47" s="21" t="s">
        <v>185</v>
      </c>
      <c r="C47" s="22"/>
      <c r="D47" s="32">
        <v>0</v>
      </c>
      <c r="E47" s="117"/>
      <c r="F47" s="32">
        <v>0</v>
      </c>
      <c r="G47" s="117"/>
      <c r="H47" s="32">
        <f>J47-F47</f>
        <v>265000</v>
      </c>
      <c r="I47" s="117"/>
      <c r="J47" s="32">
        <v>265000</v>
      </c>
      <c r="K47" s="117"/>
      <c r="L47" s="128">
        <v>200000</v>
      </c>
    </row>
    <row r="48" spans="1:12" customHeight="1" ht="15.75">
      <c r="A48" s="25" t="s">
        <v>186</v>
      </c>
      <c r="B48" s="21" t="s">
        <v>187</v>
      </c>
      <c r="C48" s="22"/>
      <c r="D48" s="35">
        <v>0</v>
      </c>
      <c r="E48" s="22"/>
      <c r="F48" s="35">
        <v>0</v>
      </c>
      <c r="G48" s="22"/>
      <c r="H48" s="35">
        <f>J48-F48</f>
        <v>50000</v>
      </c>
      <c r="I48" s="22"/>
      <c r="J48" s="35">
        <v>50000</v>
      </c>
      <c r="K48" s="22"/>
      <c r="L48" s="129">
        <v>30000</v>
      </c>
    </row>
    <row r="49" spans="1:12" customHeight="1" ht="15.75">
      <c r="A49" s="29" t="s">
        <v>93</v>
      </c>
      <c r="B49" s="21"/>
      <c r="C49" s="48" t="s">
        <v>21</v>
      </c>
      <c r="D49" s="41">
        <f>SUM(D35:D48)</f>
        <v>629357.17</v>
      </c>
      <c r="E49" s="48" t="s">
        <v>21</v>
      </c>
      <c r="F49" s="41">
        <f>SUM(F35:F48)</f>
        <v>396711.24</v>
      </c>
      <c r="G49" s="48" t="s">
        <v>21</v>
      </c>
      <c r="H49" s="41">
        <f>SUM(H35:H48)</f>
        <v>2539213.76</v>
      </c>
      <c r="I49" s="48" t="s">
        <v>21</v>
      </c>
      <c r="J49" s="41">
        <f>SUM(J35:J48)</f>
        <v>2950500</v>
      </c>
      <c r="K49" s="48" t="s">
        <v>21</v>
      </c>
      <c r="L49" s="130">
        <f>SUM(L35:L48)</f>
        <v>4694503</v>
      </c>
    </row>
    <row r="50" spans="1:12">
      <c r="A50" s="29" t="s">
        <v>94</v>
      </c>
      <c r="B50" s="45"/>
      <c r="C50" s="22"/>
      <c r="D50" s="62"/>
      <c r="E50" s="22"/>
      <c r="F50" s="62"/>
      <c r="G50" s="22"/>
      <c r="H50" s="62"/>
      <c r="I50" s="22"/>
      <c r="J50" s="62"/>
      <c r="K50" s="22"/>
      <c r="L50" s="131"/>
    </row>
    <row r="51" spans="1:12">
      <c r="A51" s="25" t="s">
        <v>188</v>
      </c>
      <c r="B51" s="21" t="s">
        <v>100</v>
      </c>
      <c r="C51" s="22" t="s">
        <v>21</v>
      </c>
      <c r="D51" s="26">
        <v>0</v>
      </c>
      <c r="E51" s="22" t="s">
        <v>21</v>
      </c>
      <c r="F51" s="26">
        <v>0</v>
      </c>
      <c r="G51" s="22" t="s">
        <v>21</v>
      </c>
      <c r="H51" s="26">
        <v>0</v>
      </c>
      <c r="I51" s="22" t="s">
        <v>21</v>
      </c>
      <c r="J51" s="26">
        <v>0</v>
      </c>
      <c r="K51" s="22" t="s">
        <v>21</v>
      </c>
      <c r="L51" s="132">
        <v>115000</v>
      </c>
    </row>
    <row r="52" spans="1:12" customHeight="1" ht="15.75">
      <c r="A52" s="25" t="s">
        <v>189</v>
      </c>
      <c r="B52" s="21" t="s">
        <v>169</v>
      </c>
      <c r="C52" s="22"/>
      <c r="D52" s="30">
        <v>0</v>
      </c>
      <c r="E52" s="22"/>
      <c r="F52" s="30">
        <v>0</v>
      </c>
      <c r="G52" s="22"/>
      <c r="H52" s="26">
        <f>J52-F52</f>
        <v>1500000</v>
      </c>
      <c r="I52" s="22"/>
      <c r="J52" s="30">
        <v>1500000</v>
      </c>
      <c r="K52" s="22"/>
      <c r="L52" s="133">
        <v>0</v>
      </c>
    </row>
    <row r="53" spans="1:12" customHeight="1" ht="15.75">
      <c r="A53" s="29" t="s">
        <v>103</v>
      </c>
      <c r="B53" s="21"/>
      <c r="C53" s="48" t="s">
        <v>21</v>
      </c>
      <c r="D53" s="63">
        <f>SUM(D52)</f>
        <v>0</v>
      </c>
      <c r="E53" s="48" t="s">
        <v>21</v>
      </c>
      <c r="F53" s="63">
        <f>SUM(F52)</f>
        <v>0</v>
      </c>
      <c r="G53" s="48" t="s">
        <v>21</v>
      </c>
      <c r="H53" s="63">
        <f>SUM(H52)</f>
        <v>1500000</v>
      </c>
      <c r="I53" s="48" t="s">
        <v>21</v>
      </c>
      <c r="J53" s="63">
        <f>SUM(J52)</f>
        <v>1500000</v>
      </c>
      <c r="K53" s="48" t="s">
        <v>21</v>
      </c>
      <c r="L53" s="134">
        <f>SUM(L51:L52)</f>
        <v>115000</v>
      </c>
    </row>
    <row r="54" spans="1:12" customHeight="1" ht="15.75">
      <c r="A54" s="49" t="s">
        <v>104</v>
      </c>
      <c r="B54" s="50"/>
      <c r="C54" s="51" t="s">
        <v>21</v>
      </c>
      <c r="D54" s="52">
        <f>D33+D49+D53</f>
        <v>3997830.92</v>
      </c>
      <c r="E54" s="53" t="s">
        <v>21</v>
      </c>
      <c r="F54" s="52">
        <f>F33+F49+F53</f>
        <v>1114333.26</v>
      </c>
      <c r="G54" s="53" t="s">
        <v>21</v>
      </c>
      <c r="H54" s="52">
        <f>H33+H49+H53</f>
        <v>6674265.49</v>
      </c>
      <c r="I54" s="53" t="s">
        <v>21</v>
      </c>
      <c r="J54" s="52">
        <f>J33+J49+J53</f>
        <v>7803173.75</v>
      </c>
      <c r="K54" s="53" t="s">
        <v>21</v>
      </c>
      <c r="L54" s="135">
        <f>L33+L49+L53</f>
        <v>7193856.99</v>
      </c>
    </row>
    <row r="55" spans="1:12" customHeight="1" ht="15.75">
      <c r="A55" s="66"/>
      <c r="B55" s="67"/>
      <c r="C55" s="60"/>
      <c r="D55" s="68"/>
      <c r="E55" s="60"/>
      <c r="F55" s="68"/>
      <c r="G55" s="60"/>
      <c r="H55" s="68"/>
      <c r="I55" s="60"/>
      <c r="J55" s="68"/>
      <c r="K55" s="60"/>
      <c r="L55" s="136"/>
    </row>
    <row r="56" spans="1:12">
      <c r="A56" s="22" t="s">
        <v>105</v>
      </c>
      <c r="B56" s="22" t="s">
        <v>106</v>
      </c>
      <c r="C56" s="22"/>
      <c r="D56" s="22"/>
      <c r="E56" s="22"/>
      <c r="F56" s="22"/>
      <c r="G56" s="22" t="s">
        <v>107</v>
      </c>
      <c r="H56" s="22"/>
    </row>
    <row r="58" spans="1:12">
      <c r="A58" s="44" t="s">
        <v>190</v>
      </c>
      <c r="B58" s="54" t="s">
        <v>109</v>
      </c>
      <c r="C58" s="54"/>
      <c r="D58" s="54"/>
      <c r="E58" s="54"/>
      <c r="F58" s="54"/>
      <c r="G58" s="55"/>
      <c r="H58" s="54" t="s">
        <v>117</v>
      </c>
      <c r="I58" s="54"/>
      <c r="J58" s="54"/>
      <c r="K58" s="54"/>
      <c r="L58" s="54"/>
    </row>
    <row r="59" spans="1:12">
      <c r="A59" s="56" t="s">
        <v>191</v>
      </c>
      <c r="B59" s="57" t="s">
        <v>112</v>
      </c>
      <c r="C59" s="57"/>
      <c r="D59" s="57"/>
      <c r="E59" s="57"/>
      <c r="F59" s="57"/>
      <c r="G59" s="22"/>
      <c r="H59" s="57" t="s">
        <v>111</v>
      </c>
      <c r="I59" s="57"/>
      <c r="J59" s="57"/>
      <c r="K59" s="57"/>
      <c r="L59" s="5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58:F58"/>
    <mergeCell ref="H58:L58"/>
    <mergeCell ref="B59:F59"/>
    <mergeCell ref="H59:L59"/>
    <mergeCell ref="C10:D10"/>
    <mergeCell ref="E10:F10"/>
    <mergeCell ref="G10:H10"/>
    <mergeCell ref="K10:L10"/>
    <mergeCell ref="A1:L1"/>
    <mergeCell ref="A2:L2"/>
    <mergeCell ref="C8:D8"/>
    <mergeCell ref="E8:J8"/>
    <mergeCell ref="K8:L8"/>
    <mergeCell ref="C9:D9"/>
    <mergeCell ref="E9:F9"/>
    <mergeCell ref="G9:H9"/>
    <mergeCell ref="I9:J10"/>
    <mergeCell ref="K9:L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0" workbookViewId="0" showGridLines="true" showRowColHeaders="1">
      <selection activeCell="J52" sqref="J52"/>
    </sheetView>
  </sheetViews>
  <sheetFormatPr defaultRowHeight="14.4" outlineLevelRow="0" outlineLevelCol="0"/>
  <cols>
    <col min="1" max="1" width="54.42578125" customWidth="true" style="0"/>
    <col min="2" max="2" width="13.28515625" customWidth="true" style="0"/>
    <col min="3" max="3" width="2.140625" customWidth="true" style="0"/>
    <col min="4" max="4" width="11.28515625" customWidth="true" style="0"/>
    <col min="5" max="5" width="2.7109375" customWidth="true" style="0"/>
    <col min="6" max="6" width="11.7109375" customWidth="true" style="0"/>
    <col min="7" max="7" width="2.7109375" customWidth="true" style="0"/>
    <col min="8" max="8" width="13.140625" customWidth="true" style="0"/>
    <col min="9" max="9" width="2.28515625" customWidth="true" style="0"/>
    <col min="10" max="10" width="11.5703125" customWidth="true" style="0"/>
    <col min="11" max="11" width="2.140625" customWidth="true" style="0"/>
    <col min="12" max="12" width="11.5703125" customWidth="true" style="119"/>
  </cols>
  <sheetData>
    <row r="1" spans="1:12" customHeight="1" ht="15.7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118"/>
    </row>
    <row r="4" spans="1:12">
      <c r="A4" s="4" t="s">
        <v>2</v>
      </c>
      <c r="D4" t="s">
        <v>113</v>
      </c>
    </row>
    <row r="5" spans="1:12">
      <c r="A5" s="4" t="s">
        <v>4</v>
      </c>
      <c r="D5" s="4" t="s">
        <v>192</v>
      </c>
    </row>
    <row r="6" spans="1:12">
      <c r="A6" s="4" t="s">
        <v>6</v>
      </c>
      <c r="F6" s="4"/>
    </row>
    <row r="7" spans="1:12" customHeight="1" ht="15.75"/>
    <row r="8" spans="1:12">
      <c r="A8" s="5"/>
      <c r="B8" s="6"/>
      <c r="C8" s="7" t="s">
        <v>7</v>
      </c>
      <c r="D8" s="7"/>
      <c r="E8" s="8" t="s">
        <v>8</v>
      </c>
      <c r="F8" s="8"/>
      <c r="G8" s="8"/>
      <c r="H8" s="8"/>
      <c r="I8" s="8"/>
      <c r="J8" s="8"/>
      <c r="K8" s="7" t="s">
        <v>9</v>
      </c>
      <c r="L8" s="9"/>
    </row>
    <row r="9" spans="1:12">
      <c r="A9" s="10" t="s">
        <v>10</v>
      </c>
      <c r="B9" s="11" t="s">
        <v>11</v>
      </c>
      <c r="C9" s="12">
        <v>2021</v>
      </c>
      <c r="D9" s="12"/>
      <c r="E9" s="12" t="s">
        <v>12</v>
      </c>
      <c r="F9" s="12"/>
      <c r="G9" s="12" t="s">
        <v>13</v>
      </c>
      <c r="H9" s="12"/>
      <c r="I9" s="13" t="s">
        <v>14</v>
      </c>
      <c r="J9" s="13"/>
      <c r="K9" s="12">
        <v>2023</v>
      </c>
      <c r="L9" s="14"/>
    </row>
    <row r="10" spans="1:12" customHeight="1" ht="15.75">
      <c r="A10" s="15"/>
      <c r="B10" s="16"/>
      <c r="C10" s="17" t="s">
        <v>15</v>
      </c>
      <c r="D10" s="17"/>
      <c r="E10" s="17" t="s">
        <v>15</v>
      </c>
      <c r="F10" s="17"/>
      <c r="G10" s="17" t="s">
        <v>16</v>
      </c>
      <c r="H10" s="17"/>
      <c r="I10" s="18"/>
      <c r="J10" s="18"/>
      <c r="K10" s="17" t="s">
        <v>17</v>
      </c>
      <c r="L10" s="19"/>
    </row>
    <row r="11" spans="1:12">
      <c r="A11" s="20" t="s">
        <v>18</v>
      </c>
      <c r="B11" s="21"/>
      <c r="C11" s="22"/>
      <c r="D11" s="23"/>
      <c r="E11" s="22"/>
      <c r="F11" s="23"/>
      <c r="G11" s="22"/>
      <c r="H11" s="23"/>
      <c r="I11" s="22"/>
      <c r="J11" s="23"/>
      <c r="K11" s="22"/>
      <c r="L11" s="100"/>
    </row>
    <row r="12" spans="1:12">
      <c r="A12" s="25" t="s">
        <v>19</v>
      </c>
      <c r="B12" s="21" t="s">
        <v>20</v>
      </c>
      <c r="C12" s="22" t="s">
        <v>21</v>
      </c>
      <c r="D12" s="26">
        <v>1531782.13</v>
      </c>
      <c r="E12" s="22" t="s">
        <v>21</v>
      </c>
      <c r="F12" s="26">
        <v>701880.5</v>
      </c>
      <c r="G12" s="22" t="s">
        <v>21</v>
      </c>
      <c r="H12" s="26">
        <f>J12-F12</f>
        <v>946157.56</v>
      </c>
      <c r="I12" s="22" t="s">
        <v>21</v>
      </c>
      <c r="J12" s="26">
        <v>1648038.06</v>
      </c>
      <c r="K12" s="22" t="s">
        <v>21</v>
      </c>
      <c r="L12" s="101">
        <v>1658880</v>
      </c>
    </row>
    <row r="13" spans="1:12">
      <c r="A13" s="29" t="s">
        <v>22</v>
      </c>
      <c r="B13" s="21"/>
      <c r="C13" s="22"/>
      <c r="D13" s="30"/>
      <c r="E13" s="22"/>
      <c r="F13" s="30"/>
      <c r="G13" s="22"/>
      <c r="H13" s="30"/>
      <c r="I13" s="22"/>
      <c r="J13" s="30"/>
      <c r="K13" s="22"/>
      <c r="L13" s="102"/>
    </row>
    <row r="14" spans="1:12">
      <c r="A14" s="25" t="s">
        <v>23</v>
      </c>
      <c r="B14" s="21" t="s">
        <v>24</v>
      </c>
      <c r="C14" s="22"/>
      <c r="D14" s="30">
        <v>98000</v>
      </c>
      <c r="E14" s="22"/>
      <c r="F14" s="30">
        <v>56000</v>
      </c>
      <c r="G14" s="22"/>
      <c r="H14" s="26">
        <f>J14-F14</f>
        <v>64000</v>
      </c>
      <c r="I14" s="22"/>
      <c r="J14" s="30">
        <v>120000</v>
      </c>
      <c r="K14" s="22"/>
      <c r="L14" s="102">
        <v>120000</v>
      </c>
    </row>
    <row r="15" spans="1:12">
      <c r="A15" s="25" t="s">
        <v>25</v>
      </c>
      <c r="B15" s="21" t="s">
        <v>26</v>
      </c>
      <c r="C15" s="22"/>
      <c r="D15" s="32">
        <v>72000</v>
      </c>
      <c r="E15" s="22"/>
      <c r="F15" s="32">
        <v>36000</v>
      </c>
      <c r="G15" s="22"/>
      <c r="H15" s="26">
        <f>J15-F15</f>
        <v>36000</v>
      </c>
      <c r="I15" s="22"/>
      <c r="J15" s="32">
        <v>72000</v>
      </c>
      <c r="K15" s="22"/>
      <c r="L15" s="103">
        <v>72000</v>
      </c>
    </row>
    <row r="16" spans="1:12">
      <c r="A16" s="25" t="s">
        <v>27</v>
      </c>
      <c r="B16" s="21" t="s">
        <v>28</v>
      </c>
      <c r="C16" s="22"/>
      <c r="D16" s="32">
        <v>72000</v>
      </c>
      <c r="E16" s="22"/>
      <c r="F16" s="32">
        <v>36000</v>
      </c>
      <c r="G16" s="22"/>
      <c r="H16" s="26">
        <f>J16-F16</f>
        <v>36000</v>
      </c>
      <c r="I16" s="22"/>
      <c r="J16" s="32">
        <v>72000</v>
      </c>
      <c r="K16" s="22"/>
      <c r="L16" s="103">
        <v>72000</v>
      </c>
    </row>
    <row r="17" spans="1:12">
      <c r="A17" s="25" t="s">
        <v>29</v>
      </c>
      <c r="B17" s="21" t="s">
        <v>30</v>
      </c>
      <c r="C17" s="22"/>
      <c r="D17" s="32">
        <v>24000</v>
      </c>
      <c r="E17" s="22"/>
      <c r="F17" s="32">
        <v>30000</v>
      </c>
      <c r="G17" s="22"/>
      <c r="H17" s="26">
        <f>J17-F17</f>
        <v>0</v>
      </c>
      <c r="I17" s="22"/>
      <c r="J17" s="32">
        <v>30000</v>
      </c>
      <c r="K17" s="22"/>
      <c r="L17" s="103">
        <v>30000</v>
      </c>
    </row>
    <row r="18" spans="1:12">
      <c r="A18" s="25" t="s">
        <v>31</v>
      </c>
      <c r="B18" s="21" t="s">
        <v>32</v>
      </c>
      <c r="C18" s="22"/>
      <c r="D18" s="32">
        <v>20000</v>
      </c>
      <c r="E18" s="22"/>
      <c r="F18" s="32">
        <v>0</v>
      </c>
      <c r="G18" s="22"/>
      <c r="H18" s="26">
        <f>J18-F18</f>
        <v>25000</v>
      </c>
      <c r="I18" s="22"/>
      <c r="J18" s="32">
        <v>25000</v>
      </c>
      <c r="K18" s="22"/>
      <c r="L18" s="103">
        <v>25000</v>
      </c>
    </row>
    <row r="19" spans="1:12">
      <c r="A19" s="25" t="s">
        <v>33</v>
      </c>
      <c r="B19" s="21" t="s">
        <v>34</v>
      </c>
      <c r="C19" s="22"/>
      <c r="D19" s="32">
        <v>40000</v>
      </c>
      <c r="E19" s="22"/>
      <c r="F19" s="32">
        <v>0</v>
      </c>
      <c r="G19" s="22"/>
      <c r="H19" s="26">
        <f>J19-F19</f>
        <v>0</v>
      </c>
      <c r="I19" s="22"/>
      <c r="J19" s="32">
        <v>0</v>
      </c>
      <c r="K19" s="22"/>
      <c r="L19" s="103">
        <v>50000</v>
      </c>
    </row>
    <row r="20" spans="1:12">
      <c r="A20" s="25" t="s">
        <v>35</v>
      </c>
      <c r="B20" s="21" t="s">
        <v>36</v>
      </c>
      <c r="C20" s="22"/>
      <c r="D20" s="32">
        <v>126859</v>
      </c>
      <c r="E20" s="22"/>
      <c r="F20" s="32">
        <v>0</v>
      </c>
      <c r="G20" s="22"/>
      <c r="H20" s="26">
        <f>J20-F20</f>
        <v>181066.2</v>
      </c>
      <c r="I20" s="22"/>
      <c r="J20" s="32">
        <v>181066.2</v>
      </c>
      <c r="K20" s="22"/>
      <c r="L20" s="103">
        <v>138240</v>
      </c>
    </row>
    <row r="21" spans="1:12">
      <c r="A21" s="25" t="s">
        <v>37</v>
      </c>
      <c r="B21" s="21" t="s">
        <v>38</v>
      </c>
      <c r="C21" s="22"/>
      <c r="D21" s="32">
        <v>20000</v>
      </c>
      <c r="E21" s="22"/>
      <c r="F21" s="32">
        <v>0</v>
      </c>
      <c r="G21" s="22"/>
      <c r="H21" s="26">
        <f>J21-F21</f>
        <v>28000</v>
      </c>
      <c r="I21" s="22"/>
      <c r="J21" s="32">
        <v>28000</v>
      </c>
      <c r="K21" s="22"/>
      <c r="L21" s="103">
        <v>25000</v>
      </c>
    </row>
    <row r="22" spans="1:12">
      <c r="A22" s="25" t="s">
        <v>39</v>
      </c>
      <c r="B22" s="21" t="s">
        <v>40</v>
      </c>
      <c r="C22" s="22"/>
      <c r="D22" s="32">
        <v>126859</v>
      </c>
      <c r="E22" s="22"/>
      <c r="F22" s="32">
        <v>140717</v>
      </c>
      <c r="G22" s="22"/>
      <c r="H22" s="26">
        <f>J22-F22</f>
        <v>0</v>
      </c>
      <c r="I22" s="22"/>
      <c r="J22" s="32">
        <v>140717</v>
      </c>
      <c r="K22" s="22"/>
      <c r="L22" s="103">
        <v>138240</v>
      </c>
    </row>
    <row r="23" spans="1:12">
      <c r="A23" s="29" t="s">
        <v>41</v>
      </c>
      <c r="B23" s="21"/>
      <c r="C23" s="22"/>
      <c r="D23" s="30"/>
      <c r="E23" s="22"/>
      <c r="F23" s="30"/>
      <c r="G23" s="22"/>
      <c r="H23" s="30"/>
      <c r="I23" s="22"/>
      <c r="J23" s="30"/>
      <c r="K23" s="22"/>
      <c r="L23" s="102"/>
    </row>
    <row r="24" spans="1:12">
      <c r="A24" s="25" t="s">
        <v>42</v>
      </c>
      <c r="B24" s="21" t="s">
        <v>43</v>
      </c>
      <c r="C24" s="22"/>
      <c r="D24" s="30">
        <v>183813.85</v>
      </c>
      <c r="E24" s="22"/>
      <c r="F24" s="30">
        <v>85142.4</v>
      </c>
      <c r="G24" s="22"/>
      <c r="H24" s="26">
        <f>J24-F24</f>
        <v>112622.17</v>
      </c>
      <c r="I24" s="22"/>
      <c r="J24" s="30">
        <v>197764.57</v>
      </c>
      <c r="K24" s="22"/>
      <c r="L24" s="102">
        <v>199065.6</v>
      </c>
    </row>
    <row r="25" spans="1:12">
      <c r="A25" s="25" t="s">
        <v>44</v>
      </c>
      <c r="B25" s="21" t="s">
        <v>45</v>
      </c>
      <c r="C25" s="22"/>
      <c r="D25" s="32">
        <v>4900</v>
      </c>
      <c r="E25" s="22"/>
      <c r="F25" s="32">
        <v>2800</v>
      </c>
      <c r="G25" s="22"/>
      <c r="H25" s="26">
        <f>J25-F25</f>
        <v>3200</v>
      </c>
      <c r="I25" s="22"/>
      <c r="J25" s="32">
        <v>6000</v>
      </c>
      <c r="K25" s="22"/>
      <c r="L25" s="103">
        <v>6000</v>
      </c>
    </row>
    <row r="26" spans="1:12">
      <c r="A26" s="25" t="s">
        <v>46</v>
      </c>
      <c r="B26" s="21" t="s">
        <v>47</v>
      </c>
      <c r="C26" s="22"/>
      <c r="D26" s="32">
        <v>20240.33</v>
      </c>
      <c r="E26" s="22"/>
      <c r="F26" s="32">
        <v>10212.26</v>
      </c>
      <c r="G26" s="22"/>
      <c r="H26" s="26">
        <f>J26-F26</f>
        <v>12129.94</v>
      </c>
      <c r="I26" s="22"/>
      <c r="J26" s="32">
        <v>22342.2</v>
      </c>
      <c r="K26" s="22"/>
      <c r="L26" s="103">
        <v>37324.8</v>
      </c>
    </row>
    <row r="27" spans="1:12">
      <c r="A27" s="25" t="s">
        <v>48</v>
      </c>
      <c r="B27" s="21" t="s">
        <v>49</v>
      </c>
      <c r="C27" s="22"/>
      <c r="D27" s="32">
        <v>4896.35</v>
      </c>
      <c r="E27" s="22"/>
      <c r="F27" s="32">
        <v>2800</v>
      </c>
      <c r="G27" s="22"/>
      <c r="H27" s="26">
        <f>J27-F27</f>
        <v>3200</v>
      </c>
      <c r="I27" s="22"/>
      <c r="J27" s="32">
        <v>6000</v>
      </c>
      <c r="K27" s="22"/>
      <c r="L27" s="103">
        <v>6000</v>
      </c>
    </row>
    <row r="28" spans="1:12">
      <c r="A28" s="29" t="s">
        <v>50</v>
      </c>
      <c r="B28" s="21"/>
      <c r="C28" s="27"/>
      <c r="D28" s="30"/>
      <c r="E28" s="22"/>
      <c r="F28" s="30"/>
      <c r="G28" s="22"/>
      <c r="H28" s="71"/>
      <c r="I28" s="22"/>
      <c r="J28" s="30"/>
      <c r="K28" s="22"/>
      <c r="L28" s="102"/>
    </row>
    <row r="29" spans="1:12">
      <c r="A29" s="25" t="s">
        <v>141</v>
      </c>
      <c r="B29" s="21" t="s">
        <v>52</v>
      </c>
      <c r="C29" s="22"/>
      <c r="D29" s="26">
        <v>0</v>
      </c>
      <c r="E29" s="22"/>
      <c r="F29" s="26">
        <v>1413935.98</v>
      </c>
      <c r="G29" s="22"/>
      <c r="H29" s="26">
        <f>J29-F29</f>
        <v>20224.48</v>
      </c>
      <c r="I29" s="22"/>
      <c r="J29" s="26">
        <v>1434160.46</v>
      </c>
      <c r="K29" s="22"/>
      <c r="L29" s="101">
        <v>0</v>
      </c>
    </row>
    <row r="30" spans="1:12" customHeight="1" ht="15.75">
      <c r="A30" s="25" t="s">
        <v>142</v>
      </c>
      <c r="B30" s="21" t="s">
        <v>54</v>
      </c>
      <c r="C30" s="22"/>
      <c r="D30" s="35">
        <v>5000</v>
      </c>
      <c r="E30" s="22"/>
      <c r="F30" s="35">
        <v>0</v>
      </c>
      <c r="G30" s="22"/>
      <c r="H30" s="35">
        <v>0</v>
      </c>
      <c r="I30" s="22"/>
      <c r="J30" s="35">
        <v>5000</v>
      </c>
      <c r="K30" s="22"/>
      <c r="L30" s="104">
        <v>0</v>
      </c>
    </row>
    <row r="31" spans="1:12">
      <c r="A31" s="29" t="s">
        <v>55</v>
      </c>
      <c r="B31" s="45"/>
      <c r="C31" s="58" t="s">
        <v>21</v>
      </c>
      <c r="D31" s="59">
        <f>SUM(D12:D30)</f>
        <v>2350350.66</v>
      </c>
      <c r="E31" s="60" t="s">
        <v>21</v>
      </c>
      <c r="F31" s="59">
        <f>SUM(F12:F30)</f>
        <v>2515488.14</v>
      </c>
      <c r="G31" s="60" t="s">
        <v>21</v>
      </c>
      <c r="H31" s="59">
        <f>SUM(H12:H30)</f>
        <v>1467600.35</v>
      </c>
      <c r="I31" s="60" t="s">
        <v>21</v>
      </c>
      <c r="J31" s="59">
        <f>SUM(J12:J30)</f>
        <v>3988088.49</v>
      </c>
      <c r="K31" s="60" t="s">
        <v>21</v>
      </c>
      <c r="L31" s="109">
        <f>SUM(L12:L30)</f>
        <v>2577750.4</v>
      </c>
    </row>
    <row r="32" spans="1:12">
      <c r="A32" s="74" t="s">
        <v>56</v>
      </c>
      <c r="B32" s="75"/>
      <c r="C32" s="76"/>
      <c r="D32" s="77"/>
      <c r="E32" s="76"/>
      <c r="F32" s="77"/>
      <c r="G32" s="76"/>
      <c r="H32" s="77"/>
      <c r="I32" s="76"/>
      <c r="J32" s="77"/>
      <c r="K32" s="76"/>
      <c r="L32" s="111"/>
    </row>
    <row r="33" spans="1:12">
      <c r="A33" s="25" t="s">
        <v>57</v>
      </c>
      <c r="B33" s="21" t="s">
        <v>58</v>
      </c>
      <c r="C33" s="22" t="s">
        <v>21</v>
      </c>
      <c r="D33" s="30">
        <v>13150</v>
      </c>
      <c r="E33" s="22" t="s">
        <v>21</v>
      </c>
      <c r="F33" s="30">
        <v>9950</v>
      </c>
      <c r="G33" s="22" t="s">
        <v>21</v>
      </c>
      <c r="H33" s="30">
        <f>J33-F33</f>
        <v>70050</v>
      </c>
      <c r="I33" s="22" t="s">
        <v>21</v>
      </c>
      <c r="J33" s="30">
        <v>80000</v>
      </c>
      <c r="K33" s="22" t="s">
        <v>21</v>
      </c>
      <c r="L33" s="137">
        <v>62900</v>
      </c>
    </row>
    <row r="34" spans="1:12">
      <c r="A34" s="25" t="s">
        <v>59</v>
      </c>
      <c r="B34" s="21" t="s">
        <v>60</v>
      </c>
      <c r="C34" s="22"/>
      <c r="D34" s="32">
        <v>0</v>
      </c>
      <c r="E34" s="22"/>
      <c r="F34" s="32">
        <v>0</v>
      </c>
      <c r="G34" s="22"/>
      <c r="H34" s="32">
        <f>J34-F34</f>
        <v>0</v>
      </c>
      <c r="I34" s="22"/>
      <c r="J34" s="32">
        <v>0</v>
      </c>
      <c r="K34" s="22"/>
      <c r="L34" s="138">
        <v>120000</v>
      </c>
    </row>
    <row r="35" spans="1:12">
      <c r="A35" s="25" t="s">
        <v>61</v>
      </c>
      <c r="B35" s="21" t="s">
        <v>62</v>
      </c>
      <c r="C35" s="22"/>
      <c r="D35" s="32">
        <v>42549.48</v>
      </c>
      <c r="E35" s="22"/>
      <c r="F35" s="32">
        <v>8228</v>
      </c>
      <c r="G35" s="22"/>
      <c r="H35" s="32">
        <f>J35-F35</f>
        <v>33772</v>
      </c>
      <c r="I35" s="22"/>
      <c r="J35" s="32">
        <v>42000</v>
      </c>
      <c r="K35" s="22"/>
      <c r="L35" s="138">
        <v>42000</v>
      </c>
    </row>
    <row r="36" spans="1:12">
      <c r="A36" s="25" t="s">
        <v>71</v>
      </c>
      <c r="B36" s="21" t="s">
        <v>72</v>
      </c>
      <c r="D36" s="32">
        <v>60000</v>
      </c>
      <c r="E36" s="22"/>
      <c r="F36" s="32">
        <v>30000</v>
      </c>
      <c r="G36" s="22"/>
      <c r="H36" s="32">
        <f>J36-F36</f>
        <v>30000</v>
      </c>
      <c r="I36" s="22"/>
      <c r="J36" s="32">
        <v>60000</v>
      </c>
      <c r="K36" s="22"/>
      <c r="L36" s="138">
        <v>60000</v>
      </c>
    </row>
    <row r="37" spans="1:12">
      <c r="A37" s="25" t="s">
        <v>73</v>
      </c>
      <c r="B37" s="21" t="s">
        <v>74</v>
      </c>
      <c r="D37" s="32">
        <v>25000</v>
      </c>
      <c r="E37" s="22"/>
      <c r="F37" s="32">
        <v>14621.33</v>
      </c>
      <c r="G37" s="22"/>
      <c r="H37" s="32">
        <f>J37-F37</f>
        <v>10378.67</v>
      </c>
      <c r="I37" s="22"/>
      <c r="J37" s="32">
        <v>25000</v>
      </c>
      <c r="K37" s="22"/>
      <c r="L37" s="138">
        <v>30000</v>
      </c>
    </row>
    <row r="38" spans="1:12">
      <c r="A38" s="25" t="s">
        <v>81</v>
      </c>
      <c r="B38" s="21" t="s">
        <v>82</v>
      </c>
      <c r="D38" s="32">
        <v>10000</v>
      </c>
      <c r="E38" s="22"/>
      <c r="F38" s="32">
        <v>3200</v>
      </c>
      <c r="G38" s="22"/>
      <c r="H38" s="32">
        <f>J38-F38</f>
        <v>6800</v>
      </c>
      <c r="I38" s="22"/>
      <c r="J38" s="32">
        <v>10000</v>
      </c>
      <c r="K38" s="22"/>
      <c r="L38" s="138">
        <v>10000</v>
      </c>
    </row>
    <row r="39" spans="1:12">
      <c r="A39" s="25" t="s">
        <v>91</v>
      </c>
      <c r="B39" s="21" t="s">
        <v>92</v>
      </c>
      <c r="D39" s="30">
        <v>24974</v>
      </c>
      <c r="E39" s="22"/>
      <c r="F39" s="30">
        <v>21280</v>
      </c>
      <c r="G39" s="22"/>
      <c r="H39" s="71">
        <f>J39-F39</f>
        <v>3720</v>
      </c>
      <c r="I39" s="22"/>
      <c r="J39" s="30">
        <v>25000</v>
      </c>
      <c r="K39" s="22"/>
      <c r="L39" s="137">
        <v>25000</v>
      </c>
    </row>
    <row r="40" spans="1:12">
      <c r="A40" s="25" t="s">
        <v>193</v>
      </c>
      <c r="B40" s="21" t="s">
        <v>194</v>
      </c>
      <c r="D40" s="32">
        <v>0</v>
      </c>
      <c r="E40" s="117"/>
      <c r="F40" s="32">
        <v>0</v>
      </c>
      <c r="G40" s="117"/>
      <c r="H40" s="32">
        <f>J40-F40</f>
        <v>47500</v>
      </c>
      <c r="I40" s="117"/>
      <c r="J40" s="32">
        <v>47500</v>
      </c>
      <c r="K40" s="117"/>
      <c r="L40" s="138">
        <v>50800</v>
      </c>
    </row>
    <row r="41" spans="1:12">
      <c r="A41" s="25" t="s">
        <v>195</v>
      </c>
      <c r="B41" s="21" t="s">
        <v>196</v>
      </c>
      <c r="D41" s="32">
        <v>0</v>
      </c>
      <c r="E41" s="117"/>
      <c r="F41" s="32">
        <v>0</v>
      </c>
      <c r="G41" s="117"/>
      <c r="H41" s="32">
        <f>J41-F41</f>
        <v>90000</v>
      </c>
      <c r="I41" s="117"/>
      <c r="J41" s="32">
        <v>90000</v>
      </c>
      <c r="K41" s="117"/>
      <c r="L41" s="138">
        <v>90000</v>
      </c>
    </row>
    <row r="42" spans="1:12">
      <c r="A42" s="25" t="s">
        <v>197</v>
      </c>
      <c r="B42" s="21" t="s">
        <v>198</v>
      </c>
      <c r="D42" s="32">
        <v>0</v>
      </c>
      <c r="E42" s="117"/>
      <c r="F42" s="32">
        <v>0</v>
      </c>
      <c r="G42" s="117"/>
      <c r="H42" s="32">
        <f>J42-F42</f>
        <v>1000000</v>
      </c>
      <c r="I42" s="117"/>
      <c r="J42" s="32">
        <v>1000000</v>
      </c>
      <c r="K42" s="117"/>
      <c r="L42" s="138">
        <v>2219200</v>
      </c>
    </row>
    <row r="43" spans="1:12">
      <c r="A43" s="25" t="s">
        <v>199</v>
      </c>
      <c r="B43" s="21" t="s">
        <v>200</v>
      </c>
      <c r="D43" s="32">
        <v>0</v>
      </c>
      <c r="E43" s="117"/>
      <c r="F43" s="32">
        <v>0</v>
      </c>
      <c r="G43" s="117"/>
      <c r="H43" s="32">
        <v>3187500</v>
      </c>
      <c r="I43" s="117"/>
      <c r="J43" s="32">
        <v>3187500</v>
      </c>
      <c r="K43" s="117"/>
      <c r="L43" s="138">
        <v>0</v>
      </c>
    </row>
    <row r="44" spans="1:12">
      <c r="A44" s="25" t="s">
        <v>201</v>
      </c>
      <c r="B44" s="21" t="s">
        <v>202</v>
      </c>
      <c r="D44" s="32">
        <v>0</v>
      </c>
      <c r="E44" s="22"/>
      <c r="F44" s="32">
        <v>2998800</v>
      </c>
      <c r="G44" s="22"/>
      <c r="H44" s="32">
        <f>J44-F44</f>
        <v>1200</v>
      </c>
      <c r="I44" s="22"/>
      <c r="J44" s="32">
        <v>3000000</v>
      </c>
      <c r="K44" s="22"/>
      <c r="L44" s="138">
        <v>0</v>
      </c>
    </row>
    <row r="45" spans="1:12" customHeight="1" ht="15.75">
      <c r="A45" s="25" t="s">
        <v>203</v>
      </c>
      <c r="B45" s="21" t="s">
        <v>204</v>
      </c>
      <c r="D45" s="35">
        <v>0</v>
      </c>
      <c r="E45" s="22"/>
      <c r="F45" s="35">
        <v>0</v>
      </c>
      <c r="G45" s="22"/>
      <c r="H45" s="35">
        <v>0</v>
      </c>
      <c r="I45" s="22"/>
      <c r="J45" s="35">
        <v>0</v>
      </c>
      <c r="K45" s="22"/>
      <c r="L45" s="139">
        <v>2100000</v>
      </c>
    </row>
    <row r="46" spans="1:12">
      <c r="A46" s="29" t="s">
        <v>93</v>
      </c>
      <c r="B46" s="45"/>
      <c r="C46" s="48" t="s">
        <v>21</v>
      </c>
      <c r="D46" s="59">
        <f>SUM(D33:D45)</f>
        <v>175673.48</v>
      </c>
      <c r="E46" s="48" t="s">
        <v>21</v>
      </c>
      <c r="F46" s="59">
        <f>SUM(F33:F45)</f>
        <v>3086079.33</v>
      </c>
      <c r="G46" s="48" t="s">
        <v>21</v>
      </c>
      <c r="H46" s="59">
        <f>SUM(H33:H44)</f>
        <v>4480920.67</v>
      </c>
      <c r="I46" s="48" t="s">
        <v>21</v>
      </c>
      <c r="J46" s="59">
        <f>SUM(J33:J45)</f>
        <v>7567000</v>
      </c>
      <c r="K46" s="48" t="s">
        <v>21</v>
      </c>
      <c r="L46" s="109">
        <f>SUM(L33:L45)</f>
        <v>4809900</v>
      </c>
    </row>
    <row r="47" spans="1:12">
      <c r="A47" s="74" t="s">
        <v>94</v>
      </c>
      <c r="B47" s="75"/>
      <c r="C47" s="140"/>
      <c r="D47" s="71"/>
      <c r="E47" s="76"/>
      <c r="F47" s="71"/>
      <c r="G47" s="76"/>
      <c r="H47" s="71"/>
      <c r="I47" s="76"/>
      <c r="J47" s="71"/>
      <c r="K47" s="76"/>
      <c r="L47" s="110"/>
    </row>
    <row r="48" spans="1:12">
      <c r="A48" s="25" t="s">
        <v>205</v>
      </c>
      <c r="B48" s="21" t="s">
        <v>206</v>
      </c>
      <c r="C48" t="s">
        <v>21</v>
      </c>
      <c r="D48" s="30">
        <v>0</v>
      </c>
      <c r="E48" s="22" t="s">
        <v>21</v>
      </c>
      <c r="F48" s="30">
        <v>0</v>
      </c>
      <c r="G48" s="22" t="s">
        <v>21</v>
      </c>
      <c r="H48" s="30">
        <v>0</v>
      </c>
      <c r="I48" s="22" t="s">
        <v>21</v>
      </c>
      <c r="J48" s="30">
        <v>0</v>
      </c>
      <c r="K48" s="22" t="s">
        <v>21</v>
      </c>
      <c r="L48" s="102">
        <v>300000</v>
      </c>
    </row>
    <row r="49" spans="1:12" customHeight="1" ht="15.75">
      <c r="A49" s="25" t="s">
        <v>189</v>
      </c>
      <c r="B49" s="21" t="s">
        <v>169</v>
      </c>
      <c r="C49" s="22"/>
      <c r="D49" s="30">
        <v>0</v>
      </c>
      <c r="E49" s="22"/>
      <c r="F49" s="30">
        <v>0</v>
      </c>
      <c r="G49" s="22"/>
      <c r="H49" s="26">
        <v>0</v>
      </c>
      <c r="I49" s="22"/>
      <c r="J49" s="30">
        <v>0</v>
      </c>
      <c r="K49" s="22"/>
      <c r="L49" s="102">
        <v>0</v>
      </c>
    </row>
    <row r="50" spans="1:12" customHeight="1" ht="15.75">
      <c r="A50" s="29" t="s">
        <v>103</v>
      </c>
      <c r="B50" s="21"/>
      <c r="C50" s="48" t="s">
        <v>21</v>
      </c>
      <c r="D50" s="63">
        <f>SUM(D49)</f>
        <v>0</v>
      </c>
      <c r="E50" s="48" t="s">
        <v>21</v>
      </c>
      <c r="F50" s="63">
        <f>SUM(F49)</f>
        <v>0</v>
      </c>
      <c r="G50" s="48" t="s">
        <v>21</v>
      </c>
      <c r="H50" s="63">
        <f>SUM(H49)</f>
        <v>0</v>
      </c>
      <c r="I50" s="48" t="s">
        <v>21</v>
      </c>
      <c r="J50" s="63">
        <f>SUM(J49)</f>
        <v>0</v>
      </c>
      <c r="K50" s="48" t="s">
        <v>21</v>
      </c>
      <c r="L50" s="105">
        <f>SUM(L48:L49)</f>
        <v>300000</v>
      </c>
    </row>
    <row r="51" spans="1:12" customHeight="1" ht="15.75">
      <c r="A51" s="49" t="s">
        <v>104</v>
      </c>
      <c r="B51" s="50"/>
      <c r="C51" s="51" t="s">
        <v>21</v>
      </c>
      <c r="D51" s="52">
        <f>D31+D46+D50</f>
        <v>2526024.14</v>
      </c>
      <c r="E51" s="53" t="s">
        <v>21</v>
      </c>
      <c r="F51" s="52">
        <f>F31+F46+F50</f>
        <v>5601567.47</v>
      </c>
      <c r="G51" s="53" t="s">
        <v>21</v>
      </c>
      <c r="H51" s="52">
        <f>H31+H46+H50</f>
        <v>5948521.02</v>
      </c>
      <c r="I51" s="53" t="s">
        <v>21</v>
      </c>
      <c r="J51" s="52">
        <f>J31+J46+J50</f>
        <v>11555088.49</v>
      </c>
      <c r="K51" s="53" t="s">
        <v>21</v>
      </c>
      <c r="L51" s="106">
        <f>L31+L46+L50</f>
        <v>7687650.4</v>
      </c>
    </row>
    <row r="52" spans="1:12" customHeight="1" ht="15.75">
      <c r="A52" s="22" t="s">
        <v>105</v>
      </c>
      <c r="B52" s="22" t="s">
        <v>106</v>
      </c>
      <c r="C52" s="22"/>
      <c r="D52" s="22"/>
      <c r="E52" s="22"/>
      <c r="F52" s="22"/>
      <c r="G52" s="22" t="s">
        <v>107</v>
      </c>
      <c r="H52" s="22"/>
      <c r="L52" s="99"/>
    </row>
    <row r="53" spans="1:12">
      <c r="L53" s="99"/>
    </row>
    <row r="54" spans="1:12">
      <c r="A54" s="44" t="s">
        <v>207</v>
      </c>
      <c r="B54" s="54" t="s">
        <v>109</v>
      </c>
      <c r="C54" s="54"/>
      <c r="D54" s="54"/>
      <c r="E54" s="54"/>
      <c r="F54" s="54"/>
      <c r="G54" s="55"/>
      <c r="H54" s="54" t="s">
        <v>117</v>
      </c>
      <c r="I54" s="54"/>
      <c r="J54" s="54"/>
      <c r="K54" s="54"/>
      <c r="L54" s="54"/>
    </row>
    <row r="55" spans="1:12">
      <c r="A55" s="56" t="s">
        <v>208</v>
      </c>
      <c r="B55" s="57" t="s">
        <v>112</v>
      </c>
      <c r="C55" s="57"/>
      <c r="D55" s="57"/>
      <c r="E55" s="57"/>
      <c r="F55" s="57"/>
      <c r="G55" s="22"/>
      <c r="H55" s="57" t="s">
        <v>111</v>
      </c>
      <c r="I55" s="57"/>
      <c r="J55" s="57"/>
      <c r="K55" s="57"/>
      <c r="L55" s="5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54:F54"/>
    <mergeCell ref="H54:L54"/>
    <mergeCell ref="B55:F55"/>
    <mergeCell ref="H55:L55"/>
    <mergeCell ref="C10:D10"/>
    <mergeCell ref="E10:F10"/>
    <mergeCell ref="G10:H10"/>
    <mergeCell ref="K10:L10"/>
    <mergeCell ref="A1:L1"/>
    <mergeCell ref="A2:L2"/>
    <mergeCell ref="C8:D8"/>
    <mergeCell ref="E8:J8"/>
    <mergeCell ref="K8:L8"/>
    <mergeCell ref="C9:D9"/>
    <mergeCell ref="E9:F9"/>
    <mergeCell ref="G9:H9"/>
    <mergeCell ref="I9:J10"/>
    <mergeCell ref="K9:L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9"/>
  <sheetViews>
    <sheetView tabSelected="0" workbookViewId="0" showGridLines="true" showRowColHeaders="1">
      <selection activeCell="H48" sqref="H48:L48"/>
    </sheetView>
  </sheetViews>
  <sheetFormatPr defaultRowHeight="14.4" outlineLevelRow="0" outlineLevelCol="0"/>
  <cols>
    <col min="1" max="1" width="54.42578125" customWidth="true" style="0"/>
    <col min="2" max="2" width="13.28515625" customWidth="true" style="0"/>
    <col min="3" max="3" width="2.140625" customWidth="true" style="0"/>
    <col min="4" max="4" width="11.28515625" customWidth="true" style="0"/>
    <col min="5" max="5" width="2.7109375" customWidth="true" style="0"/>
    <col min="6" max="6" width="11.7109375" customWidth="true" style="0"/>
    <col min="7" max="7" width="2.7109375" customWidth="true" style="0"/>
    <col min="8" max="8" width="13.140625" customWidth="true" style="0"/>
    <col min="9" max="9" width="2.28515625" customWidth="true" style="0"/>
    <col min="10" max="10" width="11.5703125" customWidth="true" style="0"/>
    <col min="11" max="11" width="2.140625" customWidth="true" style="0"/>
    <col min="12" max="12" width="11.5703125" customWidth="true" style="119"/>
  </cols>
  <sheetData>
    <row r="1" spans="1:12" customHeight="1" ht="15.7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118"/>
    </row>
    <row r="4" spans="1:12">
      <c r="A4" s="4" t="s">
        <v>2</v>
      </c>
      <c r="D4" t="s">
        <v>113</v>
      </c>
    </row>
    <row r="5" spans="1:12">
      <c r="A5" s="4" t="s">
        <v>4</v>
      </c>
      <c r="D5" s="4" t="s">
        <v>209</v>
      </c>
    </row>
    <row r="6" spans="1:12">
      <c r="A6" s="4" t="s">
        <v>6</v>
      </c>
      <c r="F6" s="4"/>
    </row>
    <row r="7" spans="1:12" customHeight="1" ht="15.75"/>
    <row r="8" spans="1:12">
      <c r="A8" s="5"/>
      <c r="B8" s="6"/>
      <c r="C8" s="7" t="s">
        <v>7</v>
      </c>
      <c r="D8" s="7"/>
      <c r="E8" s="8" t="s">
        <v>8</v>
      </c>
      <c r="F8" s="8"/>
      <c r="G8" s="8"/>
      <c r="H8" s="8"/>
      <c r="I8" s="8"/>
      <c r="J8" s="8"/>
      <c r="K8" s="7" t="s">
        <v>9</v>
      </c>
      <c r="L8" s="9"/>
    </row>
    <row r="9" spans="1:12">
      <c r="A9" s="10" t="s">
        <v>10</v>
      </c>
      <c r="B9" s="11" t="s">
        <v>11</v>
      </c>
      <c r="C9" s="12">
        <v>2021</v>
      </c>
      <c r="D9" s="12"/>
      <c r="E9" s="12" t="s">
        <v>12</v>
      </c>
      <c r="F9" s="12"/>
      <c r="G9" s="12" t="s">
        <v>13</v>
      </c>
      <c r="H9" s="12"/>
      <c r="I9" s="13" t="s">
        <v>14</v>
      </c>
      <c r="J9" s="13"/>
      <c r="K9" s="12">
        <v>2023</v>
      </c>
      <c r="L9" s="14"/>
    </row>
    <row r="10" spans="1:12" customHeight="1" ht="15.75">
      <c r="A10" s="15"/>
      <c r="B10" s="16"/>
      <c r="C10" s="17" t="s">
        <v>15</v>
      </c>
      <c r="D10" s="17"/>
      <c r="E10" s="17" t="s">
        <v>15</v>
      </c>
      <c r="F10" s="17"/>
      <c r="G10" s="17" t="s">
        <v>16</v>
      </c>
      <c r="H10" s="17"/>
      <c r="I10" s="18"/>
      <c r="J10" s="18"/>
      <c r="K10" s="17" t="s">
        <v>17</v>
      </c>
      <c r="L10" s="19"/>
    </row>
    <row r="11" spans="1:12">
      <c r="A11" s="20" t="s">
        <v>18</v>
      </c>
      <c r="B11" s="21"/>
      <c r="C11" s="22"/>
      <c r="D11" s="23"/>
      <c r="E11" s="22"/>
      <c r="F11" s="23"/>
      <c r="G11" s="22"/>
      <c r="H11" s="23"/>
      <c r="I11" s="22"/>
      <c r="J11" s="23"/>
      <c r="K11" s="22"/>
      <c r="L11" s="24"/>
    </row>
    <row r="12" spans="1:12">
      <c r="A12" s="25" t="s">
        <v>19</v>
      </c>
      <c r="B12" s="21" t="s">
        <v>20</v>
      </c>
      <c r="C12" s="22" t="s">
        <v>21</v>
      </c>
      <c r="D12" s="26">
        <v>879495.32</v>
      </c>
      <c r="E12" s="22" t="s">
        <v>21</v>
      </c>
      <c r="F12" s="26">
        <v>473111</v>
      </c>
      <c r="G12" s="22" t="s">
        <v>21</v>
      </c>
      <c r="H12" s="26">
        <f>J12-F12</f>
        <v>626071.74</v>
      </c>
      <c r="I12" s="22" t="s">
        <v>21</v>
      </c>
      <c r="J12" s="26">
        <v>1099182.74</v>
      </c>
      <c r="K12" s="22" t="s">
        <v>21</v>
      </c>
      <c r="L12" s="28">
        <v>1181808</v>
      </c>
    </row>
    <row r="13" spans="1:12">
      <c r="A13" s="29" t="s">
        <v>22</v>
      </c>
      <c r="B13" s="21"/>
      <c r="C13" s="22"/>
      <c r="D13" s="30"/>
      <c r="E13" s="22"/>
      <c r="F13" s="30"/>
      <c r="G13" s="22"/>
      <c r="H13" s="30"/>
      <c r="I13" s="22"/>
      <c r="J13" s="30"/>
      <c r="K13" s="22"/>
      <c r="L13" s="31"/>
    </row>
    <row r="14" spans="1:12">
      <c r="A14" s="25" t="s">
        <v>23</v>
      </c>
      <c r="B14" s="21" t="s">
        <v>24</v>
      </c>
      <c r="C14" s="22"/>
      <c r="D14" s="30">
        <v>24000</v>
      </c>
      <c r="E14" s="22"/>
      <c r="F14" s="30">
        <v>14000</v>
      </c>
      <c r="G14" s="22"/>
      <c r="H14" s="26">
        <f>J14-F14</f>
        <v>29032.26</v>
      </c>
      <c r="I14" s="22"/>
      <c r="J14" s="30">
        <v>43032.26</v>
      </c>
      <c r="K14" s="22"/>
      <c r="L14" s="31">
        <v>48000</v>
      </c>
    </row>
    <row r="15" spans="1:12">
      <c r="A15" s="25" t="s">
        <v>25</v>
      </c>
      <c r="B15" s="21" t="s">
        <v>26</v>
      </c>
      <c r="C15" s="22"/>
      <c r="D15" s="32">
        <v>72000</v>
      </c>
      <c r="E15" s="22"/>
      <c r="F15" s="32">
        <v>36000</v>
      </c>
      <c r="G15" s="22"/>
      <c r="H15" s="26">
        <f>J15-F15</f>
        <v>36000</v>
      </c>
      <c r="I15" s="22"/>
      <c r="J15" s="32">
        <v>72000</v>
      </c>
      <c r="K15" s="22"/>
      <c r="L15" s="33">
        <v>72000</v>
      </c>
    </row>
    <row r="16" spans="1:12">
      <c r="A16" s="25" t="s">
        <v>27</v>
      </c>
      <c r="B16" s="21" t="s">
        <v>28</v>
      </c>
      <c r="C16" s="22"/>
      <c r="D16" s="32">
        <v>72000</v>
      </c>
      <c r="E16" s="22"/>
      <c r="F16" s="32">
        <v>36000</v>
      </c>
      <c r="G16" s="22"/>
      <c r="H16" s="26">
        <f>J16-F16</f>
        <v>36000</v>
      </c>
      <c r="I16" s="22"/>
      <c r="J16" s="32">
        <v>72000</v>
      </c>
      <c r="K16" s="22"/>
      <c r="L16" s="33">
        <v>72000</v>
      </c>
    </row>
    <row r="17" spans="1:12">
      <c r="A17" s="25" t="s">
        <v>29</v>
      </c>
      <c r="B17" s="21" t="s">
        <v>30</v>
      </c>
      <c r="C17" s="22"/>
      <c r="D17" s="32">
        <v>6000</v>
      </c>
      <c r="E17" s="22"/>
      <c r="F17" s="32">
        <v>6000</v>
      </c>
      <c r="G17" s="22"/>
      <c r="H17" s="26">
        <f>J17-F17</f>
        <v>6000</v>
      </c>
      <c r="I17" s="22"/>
      <c r="J17" s="32">
        <v>12000</v>
      </c>
      <c r="K17" s="22"/>
      <c r="L17" s="33">
        <v>12000</v>
      </c>
    </row>
    <row r="18" spans="1:12">
      <c r="A18" s="25" t="s">
        <v>31</v>
      </c>
      <c r="B18" s="21" t="s">
        <v>32</v>
      </c>
      <c r="C18" s="22"/>
      <c r="D18" s="32">
        <v>5000</v>
      </c>
      <c r="E18" s="22"/>
      <c r="F18" s="32">
        <v>0</v>
      </c>
      <c r="G18" s="22"/>
      <c r="H18" s="26">
        <f>J18-F18</f>
        <v>10000</v>
      </c>
      <c r="I18" s="22"/>
      <c r="J18" s="32">
        <v>10000</v>
      </c>
      <c r="K18" s="22"/>
      <c r="L18" s="33">
        <v>10000</v>
      </c>
    </row>
    <row r="19" spans="1:12">
      <c r="A19" s="25" t="s">
        <v>33</v>
      </c>
      <c r="B19" s="21" t="s">
        <v>34</v>
      </c>
      <c r="C19" s="22"/>
      <c r="D19" s="32">
        <v>10000</v>
      </c>
      <c r="E19" s="22"/>
      <c r="F19" s="32">
        <v>0</v>
      </c>
      <c r="G19" s="22"/>
      <c r="H19" s="26">
        <f>J19-F19</f>
        <v>10000</v>
      </c>
      <c r="I19" s="22"/>
      <c r="J19" s="32">
        <v>10000</v>
      </c>
      <c r="K19" s="22"/>
      <c r="L19" s="33">
        <v>20000</v>
      </c>
    </row>
    <row r="20" spans="1:12">
      <c r="A20" s="25" t="s">
        <v>35</v>
      </c>
      <c r="B20" s="21" t="s">
        <v>36</v>
      </c>
      <c r="C20" s="22"/>
      <c r="D20" s="32">
        <v>74036</v>
      </c>
      <c r="E20" s="22"/>
      <c r="F20" s="32">
        <v>0</v>
      </c>
      <c r="G20" s="22"/>
      <c r="H20" s="26">
        <f>J20-F20</f>
        <v>95811</v>
      </c>
      <c r="I20" s="22"/>
      <c r="J20" s="32">
        <v>95811</v>
      </c>
      <c r="K20" s="22"/>
      <c r="L20" s="33">
        <v>98484</v>
      </c>
    </row>
    <row r="21" spans="1:12">
      <c r="A21" s="25" t="s">
        <v>37</v>
      </c>
      <c r="B21" s="21" t="s">
        <v>38</v>
      </c>
      <c r="C21" s="22"/>
      <c r="D21" s="32">
        <v>5000</v>
      </c>
      <c r="E21" s="22"/>
      <c r="F21" s="32">
        <v>0</v>
      </c>
      <c r="G21" s="22"/>
      <c r="H21" s="26">
        <f>J21-F21</f>
        <v>10000</v>
      </c>
      <c r="I21" s="22"/>
      <c r="J21" s="32">
        <v>10000</v>
      </c>
      <c r="K21" s="22"/>
      <c r="L21" s="33">
        <v>10000</v>
      </c>
    </row>
    <row r="22" spans="1:12">
      <c r="A22" s="25" t="s">
        <v>39</v>
      </c>
      <c r="B22" s="21" t="s">
        <v>40</v>
      </c>
      <c r="C22" s="22"/>
      <c r="D22" s="32">
        <v>72847</v>
      </c>
      <c r="E22" s="22"/>
      <c r="F22" s="32">
        <v>75460</v>
      </c>
      <c r="G22" s="22"/>
      <c r="H22" s="26">
        <f>J22-F22</f>
        <v>0</v>
      </c>
      <c r="I22" s="22"/>
      <c r="J22" s="32">
        <v>75460</v>
      </c>
      <c r="K22" s="22"/>
      <c r="L22" s="33">
        <v>98484</v>
      </c>
    </row>
    <row r="23" spans="1:12">
      <c r="A23" s="29" t="s">
        <v>41</v>
      </c>
      <c r="B23" s="21"/>
      <c r="C23" s="22"/>
      <c r="D23" s="30"/>
      <c r="E23" s="22"/>
      <c r="F23" s="30"/>
      <c r="G23" s="22"/>
      <c r="H23" s="30"/>
      <c r="I23" s="22"/>
      <c r="J23" s="30"/>
      <c r="K23" s="22"/>
      <c r="L23" s="31"/>
    </row>
    <row r="24" spans="1:12">
      <c r="A24" s="25" t="s">
        <v>42</v>
      </c>
      <c r="B24" s="21" t="s">
        <v>43</v>
      </c>
      <c r="C24" s="22"/>
      <c r="D24" s="30">
        <v>105539.44</v>
      </c>
      <c r="E24" s="22"/>
      <c r="F24" s="30">
        <v>56773.32</v>
      </c>
      <c r="G24" s="22"/>
      <c r="H24" s="26">
        <f>J24-F24</f>
        <v>75128.61</v>
      </c>
      <c r="I24" s="22"/>
      <c r="J24" s="30">
        <v>131901.93</v>
      </c>
      <c r="K24" s="22"/>
      <c r="L24" s="31">
        <v>141816.96</v>
      </c>
    </row>
    <row r="25" spans="1:12">
      <c r="A25" s="25" t="s">
        <v>44</v>
      </c>
      <c r="B25" s="21" t="s">
        <v>45</v>
      </c>
      <c r="C25" s="22"/>
      <c r="D25" s="32">
        <v>1200</v>
      </c>
      <c r="E25" s="22"/>
      <c r="F25" s="32">
        <v>700</v>
      </c>
      <c r="G25" s="22"/>
      <c r="H25" s="26">
        <f>J25-F25</f>
        <v>1451.61</v>
      </c>
      <c r="I25" s="22"/>
      <c r="J25" s="32">
        <v>2151.61</v>
      </c>
      <c r="K25" s="22"/>
      <c r="L25" s="33">
        <v>2400</v>
      </c>
    </row>
    <row r="26" spans="1:12">
      <c r="A26" s="25" t="s">
        <v>46</v>
      </c>
      <c r="B26" s="21" t="s">
        <v>47</v>
      </c>
      <c r="C26" s="22"/>
      <c r="D26" s="32">
        <v>10800</v>
      </c>
      <c r="E26" s="22"/>
      <c r="F26" s="32">
        <v>6416.22</v>
      </c>
      <c r="G26" s="22"/>
      <c r="H26" s="26">
        <f>J26-F26</f>
        <v>7288.77</v>
      </c>
      <c r="I26" s="22"/>
      <c r="J26" s="32">
        <v>13704.99</v>
      </c>
      <c r="K26" s="22"/>
      <c r="L26" s="33">
        <v>26590.68</v>
      </c>
    </row>
    <row r="27" spans="1:12">
      <c r="A27" s="25" t="s">
        <v>48</v>
      </c>
      <c r="B27" s="21" t="s">
        <v>49</v>
      </c>
      <c r="C27" s="22"/>
      <c r="D27" s="32">
        <v>1200</v>
      </c>
      <c r="E27" s="22"/>
      <c r="F27" s="32">
        <v>700</v>
      </c>
      <c r="G27" s="22"/>
      <c r="H27" s="26">
        <f>J27-F27</f>
        <v>1451.61</v>
      </c>
      <c r="I27" s="22"/>
      <c r="J27" s="32">
        <v>2151.61</v>
      </c>
      <c r="K27" s="22"/>
      <c r="L27" s="33">
        <v>2400</v>
      </c>
    </row>
    <row r="28" spans="1:12">
      <c r="A28" s="29" t="s">
        <v>50</v>
      </c>
      <c r="B28" s="21"/>
      <c r="C28" s="27"/>
      <c r="D28" s="30" t="s">
        <v>210</v>
      </c>
      <c r="E28" s="22"/>
      <c r="F28" s="30"/>
      <c r="G28" s="22"/>
      <c r="H28" s="30"/>
      <c r="I28" s="22"/>
      <c r="J28" s="30"/>
      <c r="K28" s="22"/>
      <c r="L28" s="31"/>
    </row>
    <row r="29" spans="1:12" customHeight="1" ht="15.75">
      <c r="A29" s="25" t="s">
        <v>53</v>
      </c>
      <c r="B29" s="21" t="s">
        <v>54</v>
      </c>
      <c r="C29" s="22"/>
      <c r="D29" s="35">
        <v>0</v>
      </c>
      <c r="E29" s="22"/>
      <c r="F29" s="35">
        <v>0</v>
      </c>
      <c r="G29" s="22"/>
      <c r="H29" s="35">
        <f>J29-F29</f>
        <v>0</v>
      </c>
      <c r="I29" s="22"/>
      <c r="J29" s="35">
        <v>0</v>
      </c>
      <c r="K29" s="22"/>
      <c r="L29" s="46">
        <v>0</v>
      </c>
    </row>
    <row r="30" spans="1:12">
      <c r="A30" s="29" t="s">
        <v>55</v>
      </c>
      <c r="B30" s="45"/>
      <c r="C30" s="58" t="s">
        <v>21</v>
      </c>
      <c r="D30" s="59">
        <f>SUM(D12:D29)</f>
        <v>1339117.76</v>
      </c>
      <c r="E30" s="60" t="s">
        <v>21</v>
      </c>
      <c r="F30" s="59">
        <f>SUM(F12:F29)</f>
        <v>705160.54</v>
      </c>
      <c r="G30" s="60" t="s">
        <v>21</v>
      </c>
      <c r="H30" s="59">
        <f>SUM(H12:H29)</f>
        <v>944235.6</v>
      </c>
      <c r="I30" s="60" t="s">
        <v>21</v>
      </c>
      <c r="J30" s="59">
        <f>SUM(J12:J29)</f>
        <v>1649396.14</v>
      </c>
      <c r="K30" s="60" t="s">
        <v>21</v>
      </c>
      <c r="L30" s="59">
        <f>SUM(L12:L29)</f>
        <v>1795983.64</v>
      </c>
    </row>
    <row r="31" spans="1:12">
      <c r="A31" s="74" t="s">
        <v>56</v>
      </c>
      <c r="B31" s="75"/>
      <c r="C31" s="76"/>
      <c r="D31" s="77"/>
      <c r="E31" s="76"/>
      <c r="F31" s="77"/>
      <c r="G31" s="76"/>
      <c r="H31" s="77"/>
      <c r="I31" s="76"/>
      <c r="J31" s="77"/>
      <c r="K31" s="76"/>
      <c r="L31" s="78"/>
    </row>
    <row r="32" spans="1:12">
      <c r="A32" s="25" t="s">
        <v>57</v>
      </c>
      <c r="B32" s="21" t="s">
        <v>58</v>
      </c>
      <c r="C32" s="22" t="s">
        <v>21</v>
      </c>
      <c r="D32" s="30">
        <v>10420</v>
      </c>
      <c r="E32" s="22" t="s">
        <v>21</v>
      </c>
      <c r="F32" s="30">
        <v>46180</v>
      </c>
      <c r="G32" s="22" t="s">
        <v>21</v>
      </c>
      <c r="H32" s="30">
        <f>J32-F32</f>
        <v>13820</v>
      </c>
      <c r="I32" s="22" t="s">
        <v>21</v>
      </c>
      <c r="J32" s="30">
        <v>60000</v>
      </c>
      <c r="K32" s="22" t="s">
        <v>21</v>
      </c>
      <c r="L32" s="31">
        <f>SUM(J32:K32)</f>
        <v>60000</v>
      </c>
    </row>
    <row r="33" spans="1:12">
      <c r="A33" s="25" t="s">
        <v>61</v>
      </c>
      <c r="B33" s="21" t="s">
        <v>62</v>
      </c>
      <c r="C33" s="22"/>
      <c r="D33" s="32">
        <v>55455.74</v>
      </c>
      <c r="E33" s="22"/>
      <c r="F33" s="32">
        <v>34638</v>
      </c>
      <c r="G33" s="22"/>
      <c r="H33" s="32">
        <f>J33-F33</f>
        <v>35362</v>
      </c>
      <c r="I33" s="22"/>
      <c r="J33" s="32">
        <v>70000</v>
      </c>
      <c r="K33" s="22"/>
      <c r="L33" s="33">
        <v>65000</v>
      </c>
    </row>
    <row r="34" spans="1:12">
      <c r="A34" s="25" t="s">
        <v>71</v>
      </c>
      <c r="B34" s="21" t="s">
        <v>72</v>
      </c>
      <c r="D34" s="32">
        <v>60000</v>
      </c>
      <c r="E34" s="22"/>
      <c r="F34" s="32">
        <v>30000</v>
      </c>
      <c r="G34" s="22"/>
      <c r="H34" s="32">
        <f>J34-F34</f>
        <v>30000</v>
      </c>
      <c r="I34" s="22"/>
      <c r="J34" s="32">
        <v>60000</v>
      </c>
      <c r="K34" s="22"/>
      <c r="L34" s="33">
        <f>SUM(J34:K34)</f>
        <v>60000</v>
      </c>
    </row>
    <row r="35" spans="1:12">
      <c r="A35" s="25" t="s">
        <v>73</v>
      </c>
      <c r="B35" s="21" t="s">
        <v>74</v>
      </c>
      <c r="D35" s="32">
        <v>25000</v>
      </c>
      <c r="E35" s="22"/>
      <c r="F35" s="32">
        <v>6092.67</v>
      </c>
      <c r="G35" s="22"/>
      <c r="H35" s="32">
        <f>J35-F35</f>
        <v>18907.33</v>
      </c>
      <c r="I35" s="22"/>
      <c r="J35" s="32">
        <v>25000</v>
      </c>
      <c r="K35" s="22"/>
      <c r="L35" s="33">
        <f>SUM(J35:K35)</f>
        <v>25000</v>
      </c>
    </row>
    <row r="36" spans="1:12">
      <c r="A36" s="25" t="s">
        <v>81</v>
      </c>
      <c r="B36" s="21" t="s">
        <v>82</v>
      </c>
      <c r="D36" s="32">
        <v>7140</v>
      </c>
      <c r="E36" s="22"/>
      <c r="F36" s="32">
        <v>4600</v>
      </c>
      <c r="G36" s="22"/>
      <c r="H36" s="32">
        <f>J36-F36</f>
        <v>5400</v>
      </c>
      <c r="I36" s="22"/>
      <c r="J36" s="32">
        <v>10000</v>
      </c>
      <c r="K36" s="22"/>
      <c r="L36" s="33">
        <f>SUM(J36:K36)</f>
        <v>10000</v>
      </c>
    </row>
    <row r="37" spans="1:12" customHeight="1" ht="15.75">
      <c r="A37" s="25" t="s">
        <v>91</v>
      </c>
      <c r="B37" s="21" t="s">
        <v>92</v>
      </c>
      <c r="D37" s="35">
        <v>7582.74</v>
      </c>
      <c r="E37" s="22"/>
      <c r="F37" s="35">
        <v>0</v>
      </c>
      <c r="G37" s="22"/>
      <c r="H37" s="36">
        <f>J37-F37</f>
        <v>25000</v>
      </c>
      <c r="I37" s="22"/>
      <c r="J37" s="35">
        <v>25000</v>
      </c>
      <c r="K37" s="22"/>
      <c r="L37" s="46">
        <v>17500</v>
      </c>
    </row>
    <row r="38" spans="1:12">
      <c r="A38" s="29" t="s">
        <v>93</v>
      </c>
      <c r="B38" s="45"/>
      <c r="C38" s="48" t="s">
        <v>21</v>
      </c>
      <c r="D38" s="59">
        <f>SUM(D32:D37)</f>
        <v>165598.48</v>
      </c>
      <c r="E38" s="48" t="s">
        <v>21</v>
      </c>
      <c r="F38" s="59">
        <f>SUM(F32:F37)</f>
        <v>121510.67</v>
      </c>
      <c r="G38" s="48" t="s">
        <v>21</v>
      </c>
      <c r="H38" s="59">
        <f>SUM(H32:H37)</f>
        <v>128489.33</v>
      </c>
      <c r="I38" s="48" t="s">
        <v>21</v>
      </c>
      <c r="J38" s="59">
        <f>SUM(J32:J37)</f>
        <v>250000</v>
      </c>
      <c r="K38" s="48" t="s">
        <v>21</v>
      </c>
      <c r="L38" s="61">
        <f>SUM(L32:L37)</f>
        <v>237500</v>
      </c>
    </row>
    <row r="39" spans="1:12">
      <c r="A39" s="74" t="s">
        <v>94</v>
      </c>
      <c r="B39" s="75"/>
      <c r="C39" s="140"/>
      <c r="D39" s="71"/>
      <c r="E39" s="76"/>
      <c r="F39" s="71"/>
      <c r="G39" s="76"/>
      <c r="H39" s="71"/>
      <c r="I39" s="76"/>
      <c r="J39" s="71"/>
      <c r="K39" s="76"/>
      <c r="L39" s="79"/>
    </row>
    <row r="40" spans="1:12" customHeight="1" ht="15.75">
      <c r="A40" s="25" t="s">
        <v>115</v>
      </c>
      <c r="B40" s="21" t="s">
        <v>100</v>
      </c>
      <c r="C40" s="22" t="s">
        <v>21</v>
      </c>
      <c r="D40" s="30">
        <v>0</v>
      </c>
      <c r="E40" s="22" t="s">
        <v>21</v>
      </c>
      <c r="F40" s="30">
        <v>0</v>
      </c>
      <c r="G40" s="22" t="s">
        <v>21</v>
      </c>
      <c r="H40" s="30">
        <v>0</v>
      </c>
      <c r="I40" s="22" t="s">
        <v>21</v>
      </c>
      <c r="J40" s="30">
        <v>0</v>
      </c>
      <c r="K40" s="22" t="s">
        <v>21</v>
      </c>
      <c r="L40" s="31">
        <v>0</v>
      </c>
    </row>
    <row r="41" spans="1:12" customHeight="1" ht="15.75">
      <c r="A41" s="29" t="s">
        <v>103</v>
      </c>
      <c r="B41" s="21"/>
      <c r="C41" s="48" t="s">
        <v>21</v>
      </c>
      <c r="D41" s="63">
        <f>SUM(D40)</f>
        <v>0</v>
      </c>
      <c r="E41" s="48" t="s">
        <v>21</v>
      </c>
      <c r="F41" s="63">
        <f>SUM(F40)</f>
        <v>0</v>
      </c>
      <c r="G41" s="48" t="s">
        <v>21</v>
      </c>
      <c r="H41" s="63">
        <f>SUM(H40)</f>
        <v>0</v>
      </c>
      <c r="I41" s="48" t="s">
        <v>21</v>
      </c>
      <c r="J41" s="63">
        <f>SUM(J40)</f>
        <v>0</v>
      </c>
      <c r="K41" s="48" t="s">
        <v>21</v>
      </c>
      <c r="L41" s="64">
        <f>SUM(L40)</f>
        <v>0</v>
      </c>
    </row>
    <row r="42" spans="1:12" customHeight="1" ht="15.75">
      <c r="A42" s="49" t="s">
        <v>104</v>
      </c>
      <c r="B42" s="50"/>
      <c r="C42" s="51" t="s">
        <v>21</v>
      </c>
      <c r="D42" s="52">
        <f>D30+D38+D41</f>
        <v>1504716.24</v>
      </c>
      <c r="E42" s="53" t="s">
        <v>21</v>
      </c>
      <c r="F42" s="52">
        <f>F30+F38+F41</f>
        <v>826671.21</v>
      </c>
      <c r="G42" s="53" t="s">
        <v>21</v>
      </c>
      <c r="H42" s="52">
        <f>H30+H38+H41</f>
        <v>1072724.93</v>
      </c>
      <c r="I42" s="53" t="s">
        <v>21</v>
      </c>
      <c r="J42" s="52">
        <f>J30+J38+J41</f>
        <v>1899396.14</v>
      </c>
      <c r="K42" s="53" t="s">
        <v>21</v>
      </c>
      <c r="L42" s="65">
        <f>L30+L38+L41</f>
        <v>2033483.64</v>
      </c>
    </row>
    <row r="43" spans="1:12" customHeight="1" ht="15.75">
      <c r="A43" s="66"/>
      <c r="B43" s="67"/>
      <c r="C43" s="60"/>
      <c r="D43" s="68"/>
      <c r="E43" s="60"/>
      <c r="F43" s="68"/>
      <c r="G43" s="60"/>
      <c r="H43" s="68"/>
      <c r="I43" s="60"/>
      <c r="J43" s="68"/>
      <c r="K43" s="60"/>
      <c r="L43" s="68"/>
    </row>
    <row r="44" spans="1:12">
      <c r="A44" s="22" t="s">
        <v>105</v>
      </c>
      <c r="B44" s="22" t="s">
        <v>106</v>
      </c>
      <c r="C44" s="22"/>
      <c r="D44" s="22"/>
      <c r="E44" s="22"/>
      <c r="F44" s="22"/>
      <c r="G44" s="22" t="s">
        <v>107</v>
      </c>
      <c r="H44" s="22"/>
      <c r="L44" s="119"/>
    </row>
    <row r="45" spans="1:12">
      <c r="L45" s="119"/>
    </row>
    <row r="46" spans="1:12">
      <c r="L46" s="119"/>
    </row>
    <row r="47" spans="1:12">
      <c r="A47" s="44" t="s">
        <v>211</v>
      </c>
      <c r="B47" s="54" t="s">
        <v>109</v>
      </c>
      <c r="C47" s="54"/>
      <c r="D47" s="54"/>
      <c r="E47" s="54"/>
      <c r="F47" s="54"/>
      <c r="G47" s="55"/>
      <c r="H47" s="54" t="s">
        <v>117</v>
      </c>
      <c r="I47" s="54"/>
      <c r="J47" s="54"/>
      <c r="K47" s="54"/>
      <c r="L47" s="54"/>
    </row>
    <row r="48" spans="1:12">
      <c r="A48" s="56" t="s">
        <v>212</v>
      </c>
      <c r="B48" s="57" t="s">
        <v>112</v>
      </c>
      <c r="C48" s="57"/>
      <c r="D48" s="57"/>
      <c r="E48" s="57"/>
      <c r="F48" s="57"/>
      <c r="G48" s="22"/>
      <c r="H48" s="57" t="s">
        <v>111</v>
      </c>
      <c r="I48" s="57"/>
      <c r="J48" s="57"/>
      <c r="K48" s="57"/>
      <c r="L48" s="57"/>
    </row>
    <row r="49" spans="1:12">
      <c r="L49" s="11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47:F47"/>
    <mergeCell ref="H47:L47"/>
    <mergeCell ref="B48:F48"/>
    <mergeCell ref="H48:L48"/>
    <mergeCell ref="C10:D10"/>
    <mergeCell ref="E10:F10"/>
    <mergeCell ref="G10:H10"/>
    <mergeCell ref="K10:L10"/>
    <mergeCell ref="A1:L1"/>
    <mergeCell ref="A2:L2"/>
    <mergeCell ref="C8:D8"/>
    <mergeCell ref="E8:J8"/>
    <mergeCell ref="K8:L8"/>
    <mergeCell ref="C9:D9"/>
    <mergeCell ref="E9:F9"/>
    <mergeCell ref="G9:H9"/>
    <mergeCell ref="I9:J10"/>
    <mergeCell ref="K9:L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6"/>
  <sheetViews>
    <sheetView tabSelected="0" workbookViewId="0" showGridLines="true" showRowColHeaders="1">
      <selection activeCell="D12" sqref="D12"/>
    </sheetView>
  </sheetViews>
  <sheetFormatPr defaultRowHeight="14.4" outlineLevelRow="0" outlineLevelCol="0"/>
  <cols>
    <col min="1" max="1" width="54.42578125" customWidth="true" style="0"/>
    <col min="2" max="2" width="13.28515625" customWidth="true" style="0"/>
    <col min="3" max="3" width="2.140625" customWidth="true" style="0"/>
    <col min="4" max="4" width="11.28515625" customWidth="true" style="0"/>
    <col min="5" max="5" width="2.7109375" customWidth="true" style="0"/>
    <col min="6" max="6" width="11.7109375" customWidth="true" style="0"/>
    <col min="7" max="7" width="2.7109375" customWidth="true" style="0"/>
    <col min="8" max="8" width="13.140625" customWidth="true" style="0"/>
    <col min="9" max="9" width="2.28515625" customWidth="true" style="0"/>
    <col min="10" max="10" width="11.5703125" customWidth="true" style="0"/>
    <col min="11" max="11" width="2.140625" customWidth="true" style="0"/>
    <col min="12" max="12" width="11.5703125" customWidth="true" style="119"/>
  </cols>
  <sheetData>
    <row r="1" spans="1:12" customHeight="1" ht="15.7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118"/>
    </row>
    <row r="4" spans="1:12">
      <c r="A4" s="4" t="s">
        <v>2</v>
      </c>
      <c r="D4" t="s">
        <v>113</v>
      </c>
    </row>
    <row r="5" spans="1:12">
      <c r="A5" s="4" t="s">
        <v>4</v>
      </c>
      <c r="D5" s="4" t="s">
        <v>213</v>
      </c>
    </row>
    <row r="6" spans="1:12">
      <c r="A6" s="4" t="s">
        <v>6</v>
      </c>
      <c r="F6" s="4"/>
    </row>
    <row r="7" spans="1:12" customHeight="1" ht="15.75"/>
    <row r="8" spans="1:12">
      <c r="A8" s="5"/>
      <c r="B8" s="6"/>
      <c r="C8" s="7" t="s">
        <v>7</v>
      </c>
      <c r="D8" s="7"/>
      <c r="E8" s="8" t="s">
        <v>8</v>
      </c>
      <c r="F8" s="8"/>
      <c r="G8" s="8"/>
      <c r="H8" s="8"/>
      <c r="I8" s="8"/>
      <c r="J8" s="8"/>
      <c r="K8" s="7" t="s">
        <v>9</v>
      </c>
      <c r="L8" s="9"/>
    </row>
    <row r="9" spans="1:12">
      <c r="A9" s="10" t="s">
        <v>10</v>
      </c>
      <c r="B9" s="11" t="s">
        <v>11</v>
      </c>
      <c r="C9" s="12">
        <v>2021</v>
      </c>
      <c r="D9" s="12"/>
      <c r="E9" s="12" t="s">
        <v>12</v>
      </c>
      <c r="F9" s="12"/>
      <c r="G9" s="12" t="s">
        <v>13</v>
      </c>
      <c r="H9" s="12"/>
      <c r="I9" s="13" t="s">
        <v>14</v>
      </c>
      <c r="J9" s="13"/>
      <c r="K9" s="12">
        <v>2023</v>
      </c>
      <c r="L9" s="14"/>
    </row>
    <row r="10" spans="1:12" customHeight="1" ht="15.75">
      <c r="A10" s="15"/>
      <c r="B10" s="16"/>
      <c r="C10" s="17" t="s">
        <v>15</v>
      </c>
      <c r="D10" s="17"/>
      <c r="E10" s="17" t="s">
        <v>15</v>
      </c>
      <c r="F10" s="17"/>
      <c r="G10" s="17" t="s">
        <v>16</v>
      </c>
      <c r="H10" s="17"/>
      <c r="I10" s="18"/>
      <c r="J10" s="18"/>
      <c r="K10" s="17" t="s">
        <v>17</v>
      </c>
      <c r="L10" s="19"/>
    </row>
    <row r="11" spans="1:12">
      <c r="A11" s="29" t="s">
        <v>214</v>
      </c>
      <c r="B11" s="45"/>
      <c r="D11" s="141"/>
      <c r="F11" s="141"/>
      <c r="H11" s="141"/>
      <c r="J11" s="141"/>
      <c r="L11" s="142"/>
    </row>
    <row r="12" spans="1:12">
      <c r="A12" s="25" t="s">
        <v>215</v>
      </c>
      <c r="B12" s="21" t="s">
        <v>216</v>
      </c>
      <c r="C12" s="22" t="s">
        <v>21</v>
      </c>
      <c r="D12" s="26">
        <v>1474876.58</v>
      </c>
      <c r="E12" s="22" t="s">
        <v>21</v>
      </c>
      <c r="F12" s="26">
        <v>1170194.64</v>
      </c>
      <c r="G12" s="22" t="s">
        <v>21</v>
      </c>
      <c r="H12" s="26">
        <f>J12-F12</f>
        <v>329805.36</v>
      </c>
      <c r="I12" s="22" t="s">
        <v>21</v>
      </c>
      <c r="J12" s="26">
        <v>1500000</v>
      </c>
      <c r="K12" s="22" t="s">
        <v>21</v>
      </c>
      <c r="L12" s="28">
        <v>1500000</v>
      </c>
    </row>
    <row r="13" spans="1:12">
      <c r="A13" s="25" t="s">
        <v>217</v>
      </c>
      <c r="B13" s="21" t="s">
        <v>218</v>
      </c>
      <c r="C13" s="22"/>
      <c r="D13" s="30">
        <v>0</v>
      </c>
      <c r="E13" s="22"/>
      <c r="F13" s="30">
        <v>0</v>
      </c>
      <c r="G13" s="22"/>
      <c r="H13" s="30">
        <f>J13-F13</f>
        <v>184025.07</v>
      </c>
      <c r="I13" s="22"/>
      <c r="J13" s="30">
        <v>184025.07</v>
      </c>
      <c r="K13" s="22"/>
      <c r="L13" s="31">
        <v>0</v>
      </c>
    </row>
    <row r="14" spans="1:12">
      <c r="A14" s="25" t="s">
        <v>219</v>
      </c>
      <c r="B14" s="21" t="s">
        <v>220</v>
      </c>
      <c r="C14" s="22"/>
      <c r="D14" s="32">
        <v>399999.95</v>
      </c>
      <c r="E14" s="22"/>
      <c r="F14" s="32">
        <v>184891</v>
      </c>
      <c r="G14" s="22"/>
      <c r="H14" s="32">
        <f>J14-F14</f>
        <v>115109</v>
      </c>
      <c r="I14" s="22"/>
      <c r="J14" s="120">
        <v>300000</v>
      </c>
      <c r="K14" s="22"/>
      <c r="L14" s="143">
        <v>300000</v>
      </c>
    </row>
    <row r="15" spans="1:12">
      <c r="A15" s="25" t="s">
        <v>221</v>
      </c>
      <c r="B15" s="21" t="s">
        <v>222</v>
      </c>
      <c r="C15" s="22"/>
      <c r="D15" s="32">
        <v>704594.75</v>
      </c>
      <c r="E15" s="22"/>
      <c r="F15" s="32">
        <v>333501.26</v>
      </c>
      <c r="G15" s="22"/>
      <c r="H15" s="32">
        <f>J15-F15</f>
        <v>66498.74</v>
      </c>
      <c r="I15" s="22"/>
      <c r="J15" s="32">
        <v>400000</v>
      </c>
      <c r="K15" s="22"/>
      <c r="L15" s="33">
        <v>350000</v>
      </c>
    </row>
    <row r="16" spans="1:12">
      <c r="A16" s="25" t="s">
        <v>223</v>
      </c>
      <c r="B16" s="21" t="s">
        <v>224</v>
      </c>
      <c r="C16" s="22"/>
      <c r="D16" s="32">
        <v>599997.5</v>
      </c>
      <c r="E16" s="22"/>
      <c r="F16" s="32">
        <v>312720.71</v>
      </c>
      <c r="G16" s="22"/>
      <c r="H16" s="32">
        <f>J16-F16</f>
        <v>87279.29</v>
      </c>
      <c r="I16" s="22"/>
      <c r="J16" s="32">
        <v>400000</v>
      </c>
      <c r="K16" s="22"/>
      <c r="L16" s="33">
        <v>350000</v>
      </c>
    </row>
    <row r="17" spans="1:12">
      <c r="A17" s="25" t="s">
        <v>225</v>
      </c>
      <c r="B17" s="21" t="s">
        <v>226</v>
      </c>
      <c r="C17" s="22"/>
      <c r="D17" s="32">
        <v>0</v>
      </c>
      <c r="E17" s="22"/>
      <c r="F17" s="32">
        <v>1071875</v>
      </c>
      <c r="G17" s="22"/>
      <c r="H17" s="32">
        <f>J17-F17</f>
        <v>2008125</v>
      </c>
      <c r="I17" s="22"/>
      <c r="J17" s="32">
        <v>3080000</v>
      </c>
      <c r="K17" s="22"/>
      <c r="L17" s="33">
        <v>3240000</v>
      </c>
    </row>
    <row r="18" spans="1:12">
      <c r="A18" s="25" t="s">
        <v>227</v>
      </c>
      <c r="B18" s="21" t="s">
        <v>228</v>
      </c>
      <c r="C18" s="22"/>
      <c r="D18" s="32">
        <v>335081.09</v>
      </c>
      <c r="E18" s="22"/>
      <c r="F18" s="32">
        <v>72811</v>
      </c>
      <c r="G18" s="22"/>
      <c r="H18" s="32">
        <f>J18-F18</f>
        <v>327189</v>
      </c>
      <c r="I18" s="22"/>
      <c r="J18" s="32">
        <v>400000</v>
      </c>
      <c r="K18" s="22"/>
      <c r="L18" s="33">
        <v>350000</v>
      </c>
    </row>
    <row r="19" spans="1:12">
      <c r="A19" s="25" t="s">
        <v>229</v>
      </c>
      <c r="B19" s="21" t="s">
        <v>230</v>
      </c>
      <c r="C19" s="22"/>
      <c r="D19" s="32">
        <v>208350</v>
      </c>
      <c r="E19" s="22"/>
      <c r="F19" s="32">
        <v>287579.5</v>
      </c>
      <c r="G19" s="22"/>
      <c r="H19" s="32">
        <f>J19-F19</f>
        <v>62420.5</v>
      </c>
      <c r="I19" s="22"/>
      <c r="J19" s="32">
        <v>350000</v>
      </c>
      <c r="K19" s="22"/>
      <c r="L19" s="33">
        <v>350000</v>
      </c>
    </row>
    <row r="20" spans="1:12">
      <c r="A20" s="25" t="s">
        <v>231</v>
      </c>
      <c r="B20" s="21" t="s">
        <v>232</v>
      </c>
      <c r="C20" s="22"/>
      <c r="D20" s="32">
        <v>535737.8</v>
      </c>
      <c r="E20" s="22"/>
      <c r="F20" s="32">
        <v>298477.01</v>
      </c>
      <c r="G20" s="22"/>
      <c r="H20" s="32">
        <f>J20-F20</f>
        <v>1522.99</v>
      </c>
      <c r="I20" s="22"/>
      <c r="J20" s="32">
        <v>300000</v>
      </c>
      <c r="K20" s="22"/>
      <c r="L20" s="33">
        <v>300000</v>
      </c>
    </row>
    <row r="21" spans="1:12">
      <c r="A21" s="25" t="s">
        <v>233</v>
      </c>
      <c r="B21" s="21" t="s">
        <v>234</v>
      </c>
      <c r="C21" s="22"/>
      <c r="D21" s="32">
        <v>149194.67</v>
      </c>
      <c r="E21" s="22"/>
      <c r="F21" s="32">
        <v>89735.13</v>
      </c>
      <c r="G21" s="22"/>
      <c r="H21" s="32">
        <f>J21-F21</f>
        <v>85264.87</v>
      </c>
      <c r="I21" s="22"/>
      <c r="J21" s="32">
        <v>175000</v>
      </c>
      <c r="K21" s="22"/>
      <c r="L21" s="33">
        <v>175000</v>
      </c>
    </row>
    <row r="22" spans="1:12">
      <c r="A22" s="25" t="s">
        <v>235</v>
      </c>
      <c r="B22" s="21" t="s">
        <v>236</v>
      </c>
      <c r="C22" s="22"/>
      <c r="D22" s="32">
        <v>36000</v>
      </c>
      <c r="E22" s="22"/>
      <c r="F22" s="32">
        <v>18000</v>
      </c>
      <c r="G22" s="22"/>
      <c r="H22" s="32">
        <f>J22-F22</f>
        <v>18000</v>
      </c>
      <c r="I22" s="22"/>
      <c r="J22" s="32">
        <v>36000</v>
      </c>
      <c r="K22" s="22"/>
      <c r="L22" s="33">
        <v>36000</v>
      </c>
    </row>
    <row r="23" spans="1:12">
      <c r="A23" s="25" t="s">
        <v>237</v>
      </c>
      <c r="B23" s="21" t="s">
        <v>238</v>
      </c>
      <c r="C23" s="22"/>
      <c r="D23" s="32">
        <v>58750.4</v>
      </c>
      <c r="E23" s="22"/>
      <c r="F23" s="32">
        <v>30558.51</v>
      </c>
      <c r="G23" s="22"/>
      <c r="H23" s="32">
        <f>J23-F23</f>
        <v>29441.49</v>
      </c>
      <c r="I23" s="22"/>
      <c r="J23" s="32">
        <v>60000</v>
      </c>
      <c r="K23" s="22"/>
      <c r="L23" s="33">
        <v>60000</v>
      </c>
    </row>
    <row r="24" spans="1:12">
      <c r="A24" s="25" t="s">
        <v>239</v>
      </c>
      <c r="B24" s="21" t="s">
        <v>240</v>
      </c>
      <c r="C24" s="22"/>
      <c r="D24" s="32">
        <v>12500</v>
      </c>
      <c r="E24" s="22"/>
      <c r="F24" s="32">
        <v>14000</v>
      </c>
      <c r="G24" s="22"/>
      <c r="H24" s="32">
        <f>J24-F24</f>
        <v>16000</v>
      </c>
      <c r="I24" s="22"/>
      <c r="J24" s="32">
        <v>30000</v>
      </c>
      <c r="K24" s="22"/>
      <c r="L24" s="33">
        <v>30000</v>
      </c>
    </row>
    <row r="25" spans="1:12">
      <c r="A25" s="25" t="s">
        <v>241</v>
      </c>
      <c r="B25" s="21" t="s">
        <v>242</v>
      </c>
      <c r="C25" s="22"/>
      <c r="D25" s="32">
        <v>139752</v>
      </c>
      <c r="E25" s="22"/>
      <c r="F25" s="32">
        <v>70400</v>
      </c>
      <c r="G25" s="22"/>
      <c r="H25" s="32">
        <f>J25-F25</f>
        <v>79600</v>
      </c>
      <c r="I25" s="22"/>
      <c r="J25" s="32">
        <v>150000</v>
      </c>
      <c r="K25" s="22"/>
      <c r="L25" s="33">
        <v>150000</v>
      </c>
    </row>
    <row r="26" spans="1:12">
      <c r="A26" s="25" t="s">
        <v>243</v>
      </c>
      <c r="B26" s="21" t="s">
        <v>244</v>
      </c>
      <c r="C26" s="22"/>
      <c r="D26" s="32">
        <v>0</v>
      </c>
      <c r="E26" s="22"/>
      <c r="F26" s="32">
        <v>50000</v>
      </c>
      <c r="G26" s="22"/>
      <c r="H26" s="32">
        <f>J26-F26</f>
        <v>0</v>
      </c>
      <c r="I26" s="22"/>
      <c r="J26" s="32">
        <v>50000</v>
      </c>
      <c r="K26" s="22"/>
      <c r="L26" s="33">
        <v>50000</v>
      </c>
    </row>
    <row r="27" spans="1:12">
      <c r="A27" s="25" t="s">
        <v>245</v>
      </c>
      <c r="B27" s="21" t="s">
        <v>246</v>
      </c>
      <c r="C27" s="22"/>
      <c r="D27" s="32">
        <v>539450</v>
      </c>
      <c r="E27" s="22"/>
      <c r="F27" s="32">
        <v>50000</v>
      </c>
      <c r="G27" s="22"/>
      <c r="H27" s="32">
        <f>J27-F27</f>
        <v>0</v>
      </c>
      <c r="I27" s="22"/>
      <c r="J27" s="32">
        <v>50000</v>
      </c>
      <c r="K27" s="22"/>
      <c r="L27" s="33">
        <v>50000</v>
      </c>
    </row>
    <row r="28" spans="1:12">
      <c r="A28" s="25" t="s">
        <v>247</v>
      </c>
      <c r="B28" s="21" t="s">
        <v>248</v>
      </c>
      <c r="C28" s="22"/>
      <c r="D28" s="32">
        <v>2496875</v>
      </c>
      <c r="E28" s="22"/>
      <c r="F28" s="32">
        <v>1000000</v>
      </c>
      <c r="G28" s="22"/>
      <c r="H28" s="32">
        <f>J28-F28</f>
        <v>0</v>
      </c>
      <c r="I28" s="22"/>
      <c r="J28" s="32">
        <v>1000000</v>
      </c>
      <c r="K28" s="22"/>
      <c r="L28" s="33">
        <v>0</v>
      </c>
    </row>
    <row r="29" spans="1:12">
      <c r="A29" s="25" t="s">
        <v>249</v>
      </c>
      <c r="B29" s="21" t="s">
        <v>250</v>
      </c>
      <c r="C29" s="22"/>
      <c r="D29" s="32">
        <v>0</v>
      </c>
      <c r="E29" s="22"/>
      <c r="F29" s="32">
        <v>0</v>
      </c>
      <c r="G29" s="22"/>
      <c r="H29" s="32">
        <f>J29-F29</f>
        <v>1350000</v>
      </c>
      <c r="I29" s="22"/>
      <c r="J29" s="32">
        <v>1350000</v>
      </c>
      <c r="K29" s="22"/>
      <c r="L29" s="33">
        <v>0</v>
      </c>
    </row>
    <row r="30" spans="1:12">
      <c r="A30" s="25" t="s">
        <v>251</v>
      </c>
      <c r="B30" s="21" t="s">
        <v>252</v>
      </c>
      <c r="C30" s="22"/>
      <c r="D30" s="32">
        <v>0</v>
      </c>
      <c r="E30" s="22"/>
      <c r="F30" s="32">
        <v>0</v>
      </c>
      <c r="G30" s="22"/>
      <c r="H30" s="32">
        <f>J30-F30</f>
        <v>352000</v>
      </c>
      <c r="I30" s="22"/>
      <c r="J30" s="32">
        <v>352000</v>
      </c>
      <c r="K30" s="22"/>
      <c r="L30" s="33">
        <v>352000</v>
      </c>
    </row>
    <row r="31" spans="1:12">
      <c r="A31" s="25" t="s">
        <v>253</v>
      </c>
      <c r="B31" s="21" t="s">
        <v>254</v>
      </c>
      <c r="C31" s="22"/>
      <c r="D31" s="32">
        <v>3885613.19</v>
      </c>
      <c r="E31" s="22"/>
      <c r="F31" s="32">
        <v>2604535.15</v>
      </c>
      <c r="G31" s="22"/>
      <c r="H31" s="32">
        <f>J31-F31</f>
        <v>2145464.85</v>
      </c>
      <c r="I31" s="22"/>
      <c r="J31" s="32">
        <v>4750000</v>
      </c>
      <c r="K31" s="22"/>
      <c r="L31" s="33">
        <v>2000000</v>
      </c>
    </row>
    <row r="32" spans="1:12">
      <c r="A32" s="25" t="s">
        <v>255</v>
      </c>
      <c r="B32" s="21" t="s">
        <v>175</v>
      </c>
      <c r="C32" s="22"/>
      <c r="D32" s="32">
        <v>30000</v>
      </c>
      <c r="E32" s="22"/>
      <c r="F32" s="32">
        <v>43000</v>
      </c>
      <c r="G32" s="22"/>
      <c r="H32" s="32">
        <f>J32-F32</f>
        <v>57000</v>
      </c>
      <c r="I32" s="22"/>
      <c r="J32" s="32">
        <v>100000</v>
      </c>
      <c r="K32" s="22"/>
      <c r="L32" s="33">
        <v>100000</v>
      </c>
    </row>
    <row r="33" spans="1:12" customHeight="1" ht="15.75">
      <c r="A33" s="25" t="s">
        <v>256</v>
      </c>
      <c r="B33" s="21" t="s">
        <v>177</v>
      </c>
      <c r="C33" s="22"/>
      <c r="D33" s="36">
        <v>237600</v>
      </c>
      <c r="E33" s="22"/>
      <c r="F33" s="36">
        <v>427200</v>
      </c>
      <c r="G33" s="22"/>
      <c r="H33" s="36">
        <f>J33-F33</f>
        <v>139200</v>
      </c>
      <c r="I33" s="22"/>
      <c r="J33" s="36">
        <v>566400</v>
      </c>
      <c r="K33" s="22"/>
      <c r="L33" s="37">
        <v>566400</v>
      </c>
    </row>
    <row r="34" spans="1:12">
      <c r="A34" s="25" t="s">
        <v>257</v>
      </c>
      <c r="B34" s="21" t="s">
        <v>258</v>
      </c>
      <c r="C34" s="22" t="s">
        <v>21</v>
      </c>
      <c r="D34" s="26">
        <v>0</v>
      </c>
      <c r="E34" s="22" t="s">
        <v>21</v>
      </c>
      <c r="F34" s="26">
        <v>0</v>
      </c>
      <c r="G34" s="22" t="s">
        <v>21</v>
      </c>
      <c r="H34" s="26">
        <f>J34-F34</f>
        <v>100000</v>
      </c>
      <c r="I34" s="22" t="s">
        <v>21</v>
      </c>
      <c r="J34" s="26">
        <v>100000</v>
      </c>
      <c r="K34" s="22" t="s">
        <v>21</v>
      </c>
      <c r="L34" s="28">
        <v>100000</v>
      </c>
    </row>
    <row r="35" spans="1:12">
      <c r="A35" s="25" t="s">
        <v>259</v>
      </c>
      <c r="B35" s="21" t="s">
        <v>260</v>
      </c>
      <c r="C35" s="22"/>
      <c r="D35" s="26">
        <v>0</v>
      </c>
      <c r="E35" s="22"/>
      <c r="F35" s="26">
        <v>0</v>
      </c>
      <c r="G35" s="22"/>
      <c r="H35" s="26">
        <f>J35-F35</f>
        <v>200000</v>
      </c>
      <c r="I35" s="22"/>
      <c r="J35" s="26">
        <v>200000</v>
      </c>
      <c r="K35" s="22"/>
      <c r="L35" s="28">
        <v>0</v>
      </c>
    </row>
    <row r="36" spans="1:12">
      <c r="A36" s="25" t="s">
        <v>261</v>
      </c>
      <c r="B36" s="21" t="s">
        <v>262</v>
      </c>
      <c r="C36" s="22"/>
      <c r="D36" s="26">
        <v>1201311.56</v>
      </c>
      <c r="E36" s="22"/>
      <c r="F36" s="26">
        <v>488524</v>
      </c>
      <c r="G36" s="22"/>
      <c r="H36" s="26">
        <f>J36-F36</f>
        <v>711476</v>
      </c>
      <c r="I36" s="22"/>
      <c r="J36" s="26">
        <v>1200000</v>
      </c>
      <c r="K36" s="22"/>
      <c r="L36" s="28">
        <v>1200000</v>
      </c>
    </row>
    <row r="37" spans="1:12">
      <c r="A37" s="25" t="s">
        <v>263</v>
      </c>
      <c r="B37" s="21" t="s">
        <v>264</v>
      </c>
      <c r="C37" s="22"/>
      <c r="D37" s="32">
        <v>0</v>
      </c>
      <c r="E37" s="22"/>
      <c r="F37" s="32">
        <v>0</v>
      </c>
      <c r="G37" s="22"/>
      <c r="H37" s="32">
        <f>J37-F37</f>
        <v>21000</v>
      </c>
      <c r="I37" s="22"/>
      <c r="J37" s="32">
        <v>21000</v>
      </c>
      <c r="K37" s="22"/>
      <c r="L37" s="33">
        <v>21000</v>
      </c>
    </row>
    <row r="38" spans="1:12">
      <c r="A38" s="25" t="s">
        <v>265</v>
      </c>
      <c r="B38" s="21" t="s">
        <v>266</v>
      </c>
      <c r="C38" s="22"/>
      <c r="D38" s="32">
        <v>0</v>
      </c>
      <c r="E38" s="22"/>
      <c r="F38" s="32">
        <v>0</v>
      </c>
      <c r="G38" s="22"/>
      <c r="H38" s="32">
        <f>J38-F38</f>
        <v>200000</v>
      </c>
      <c r="I38" s="22"/>
      <c r="J38" s="32">
        <v>200000</v>
      </c>
      <c r="K38" s="22"/>
      <c r="L38" s="33">
        <v>200000</v>
      </c>
    </row>
    <row r="39" spans="1:12">
      <c r="A39" s="25" t="s">
        <v>267</v>
      </c>
      <c r="B39" s="21" t="s">
        <v>268</v>
      </c>
      <c r="C39" s="144"/>
      <c r="D39" s="145">
        <v>0</v>
      </c>
      <c r="E39" s="144"/>
      <c r="F39" s="145">
        <v>124804</v>
      </c>
      <c r="G39" s="144"/>
      <c r="H39" s="145">
        <f>J39-F39</f>
        <v>25196</v>
      </c>
      <c r="I39" s="144"/>
      <c r="J39" s="145">
        <v>150000</v>
      </c>
      <c r="K39" s="146"/>
      <c r="L39" s="147">
        <v>300000</v>
      </c>
    </row>
    <row r="40" spans="1:12">
      <c r="A40" s="25" t="s">
        <v>269</v>
      </c>
      <c r="B40" s="21" t="s">
        <v>270</v>
      </c>
      <c r="C40" s="144"/>
      <c r="D40" s="120">
        <v>867524</v>
      </c>
      <c r="E40" s="148"/>
      <c r="F40" s="120">
        <v>1998885</v>
      </c>
      <c r="G40" s="148"/>
      <c r="H40" s="120">
        <f>J40-F40</f>
        <v>1115</v>
      </c>
      <c r="I40" s="148"/>
      <c r="J40" s="120">
        <v>2000000</v>
      </c>
      <c r="K40" s="148"/>
      <c r="L40" s="143">
        <v>1000000</v>
      </c>
    </row>
    <row r="41" spans="1:12">
      <c r="A41" s="25" t="s">
        <v>271</v>
      </c>
      <c r="B41" s="21" t="s">
        <v>272</v>
      </c>
      <c r="C41" s="144"/>
      <c r="D41" s="120">
        <v>0</v>
      </c>
      <c r="E41" s="148"/>
      <c r="F41" s="120">
        <v>0</v>
      </c>
      <c r="G41" s="148"/>
      <c r="H41" s="120">
        <f>J41-F41</f>
        <v>20000</v>
      </c>
      <c r="I41" s="148"/>
      <c r="J41" s="120">
        <v>20000</v>
      </c>
      <c r="K41" s="148"/>
      <c r="L41" s="143">
        <v>20000</v>
      </c>
    </row>
    <row r="42" spans="1:12">
      <c r="A42" s="25" t="s">
        <v>273</v>
      </c>
      <c r="B42" s="21" t="s">
        <v>274</v>
      </c>
      <c r="C42" s="144"/>
      <c r="D42" s="120">
        <v>124900</v>
      </c>
      <c r="E42" s="148"/>
      <c r="F42" s="120">
        <v>0</v>
      </c>
      <c r="G42" s="148"/>
      <c r="H42" s="120">
        <f>J42-F42</f>
        <v>100000</v>
      </c>
      <c r="I42" s="148"/>
      <c r="J42" s="120">
        <v>100000</v>
      </c>
      <c r="K42" s="148"/>
      <c r="L42" s="143">
        <v>300000</v>
      </c>
    </row>
    <row r="43" spans="1:12">
      <c r="A43" s="25" t="s">
        <v>275</v>
      </c>
      <c r="B43" s="21" t="s">
        <v>276</v>
      </c>
      <c r="C43" s="144"/>
      <c r="D43" s="120">
        <v>0</v>
      </c>
      <c r="E43" s="148"/>
      <c r="F43" s="120">
        <v>0</v>
      </c>
      <c r="G43" s="148"/>
      <c r="H43" s="120">
        <f>J43-F43</f>
        <v>52800</v>
      </c>
      <c r="I43" s="148"/>
      <c r="J43" s="120">
        <v>52800</v>
      </c>
      <c r="K43" s="148"/>
      <c r="L43" s="143">
        <v>52800</v>
      </c>
    </row>
    <row r="44" spans="1:12">
      <c r="A44" s="25" t="s">
        <v>277</v>
      </c>
      <c r="B44" s="21" t="s">
        <v>278</v>
      </c>
      <c r="C44" s="144"/>
      <c r="D44" s="120">
        <v>63906</v>
      </c>
      <c r="E44" s="148"/>
      <c r="F44" s="120">
        <v>0</v>
      </c>
      <c r="G44" s="148"/>
      <c r="H44" s="120">
        <f>J44-F44</f>
        <v>150000</v>
      </c>
      <c r="I44" s="148"/>
      <c r="J44" s="120">
        <v>150000</v>
      </c>
      <c r="K44" s="148"/>
      <c r="L44" s="143">
        <v>150000</v>
      </c>
    </row>
    <row r="45" spans="1:12">
      <c r="A45" s="25" t="s">
        <v>279</v>
      </c>
      <c r="B45" s="21" t="s">
        <v>280</v>
      </c>
      <c r="C45" s="144"/>
      <c r="D45" s="120">
        <v>0</v>
      </c>
      <c r="E45" s="148"/>
      <c r="F45" s="120">
        <v>99971.68</v>
      </c>
      <c r="G45" s="148"/>
      <c r="H45" s="120">
        <f>J45-F45</f>
        <v>28.320000000007</v>
      </c>
      <c r="I45" s="148"/>
      <c r="J45" s="120">
        <v>100000</v>
      </c>
      <c r="K45" s="148"/>
      <c r="L45" s="143">
        <v>0</v>
      </c>
    </row>
    <row r="46" spans="1:12">
      <c r="A46" s="25" t="s">
        <v>281</v>
      </c>
      <c r="B46" s="21" t="s">
        <v>282</v>
      </c>
      <c r="C46" s="144"/>
      <c r="D46" s="149">
        <v>0</v>
      </c>
      <c r="E46" s="148"/>
      <c r="F46" s="149">
        <v>0</v>
      </c>
      <c r="G46" s="148"/>
      <c r="H46" s="149">
        <v>0</v>
      </c>
      <c r="I46" s="148"/>
      <c r="J46" s="149">
        <v>0</v>
      </c>
      <c r="K46" s="148"/>
      <c r="L46" s="150">
        <v>500000</v>
      </c>
    </row>
    <row r="47" spans="1:12">
      <c r="A47" s="25" t="s">
        <v>283</v>
      </c>
      <c r="B47" s="21" t="s">
        <v>284</v>
      </c>
      <c r="C47" s="144"/>
      <c r="D47" s="149">
        <v>1168517</v>
      </c>
      <c r="E47" s="148"/>
      <c r="F47" s="149">
        <v>0</v>
      </c>
      <c r="G47" s="148"/>
      <c r="H47" s="149">
        <f>J47-F47</f>
        <v>1592687.6</v>
      </c>
      <c r="I47" s="148"/>
      <c r="J47" s="149">
        <v>1592687.6</v>
      </c>
      <c r="K47" s="148"/>
      <c r="L47" s="150">
        <v>1362227.28</v>
      </c>
    </row>
    <row r="48" spans="1:12">
      <c r="A48" s="25" t="s">
        <v>285</v>
      </c>
      <c r="B48" s="21" t="s">
        <v>286</v>
      </c>
      <c r="C48" s="144"/>
      <c r="D48" s="120">
        <v>312000</v>
      </c>
      <c r="E48" s="148"/>
      <c r="F48" s="120">
        <v>112500</v>
      </c>
      <c r="G48" s="148"/>
      <c r="H48" s="120">
        <f>J48-F48</f>
        <v>137500</v>
      </c>
      <c r="I48" s="148"/>
      <c r="J48" s="120">
        <v>250000</v>
      </c>
      <c r="K48" s="148"/>
      <c r="L48" s="143">
        <v>250000</v>
      </c>
    </row>
    <row r="49" spans="1:12" customHeight="1" ht="15.75">
      <c r="A49" s="25" t="s">
        <v>287</v>
      </c>
      <c r="B49" s="21" t="s">
        <v>288</v>
      </c>
      <c r="C49" s="144"/>
      <c r="D49" s="120">
        <v>4277673.69</v>
      </c>
      <c r="E49" s="148"/>
      <c r="F49" s="120">
        <v>2691578</v>
      </c>
      <c r="G49" s="148"/>
      <c r="H49" s="120">
        <f>J49-F49</f>
        <v>500519.15</v>
      </c>
      <c r="I49" s="148"/>
      <c r="J49" s="120">
        <v>3192097.15</v>
      </c>
      <c r="K49" s="148"/>
      <c r="L49" s="143">
        <v>500000</v>
      </c>
    </row>
    <row r="50" spans="1:12" customHeight="1" ht="15.75">
      <c r="A50" s="38" t="s">
        <v>289</v>
      </c>
      <c r="B50" s="151"/>
      <c r="C50" s="152" t="s">
        <v>21</v>
      </c>
      <c r="D50" s="63">
        <f>SUM(D12:D49)</f>
        <v>19860205.18</v>
      </c>
      <c r="E50" s="152" t="s">
        <v>21</v>
      </c>
      <c r="F50" s="63">
        <f>SUM(F12:F49)</f>
        <v>13645741.59</v>
      </c>
      <c r="G50" s="152" t="s">
        <v>21</v>
      </c>
      <c r="H50" s="63">
        <f>SUM(H12:H49)</f>
        <v>11266268.23</v>
      </c>
      <c r="I50" s="152" t="s">
        <v>21</v>
      </c>
      <c r="J50" s="63">
        <f>SUM(J12:J49)</f>
        <v>24912009.82</v>
      </c>
      <c r="K50" s="152" t="s">
        <v>21</v>
      </c>
      <c r="L50" s="63">
        <f>SUM(L12:L49)</f>
        <v>16265427.28</v>
      </c>
    </row>
    <row r="51" spans="1:12">
      <c r="A51" s="153"/>
      <c r="B51" s="67"/>
      <c r="C51" s="153"/>
      <c r="D51" s="68"/>
      <c r="E51" s="153"/>
      <c r="F51" s="68"/>
      <c r="G51" s="153"/>
      <c r="H51" s="68"/>
      <c r="I51" s="153"/>
      <c r="J51" s="68"/>
      <c r="K51" s="153"/>
      <c r="L51" s="68"/>
    </row>
    <row r="52" spans="1:12">
      <c r="A52" s="22" t="s">
        <v>105</v>
      </c>
      <c r="B52" s="22" t="s">
        <v>106</v>
      </c>
      <c r="C52" s="22"/>
      <c r="D52" s="22"/>
      <c r="E52" s="22"/>
      <c r="F52" s="22"/>
      <c r="G52" s="22" t="s">
        <v>107</v>
      </c>
      <c r="H52" s="22"/>
      <c r="L52" s="119"/>
    </row>
    <row r="53" spans="1:12">
      <c r="B53" t="s">
        <v>134</v>
      </c>
      <c r="L53" s="119"/>
    </row>
    <row r="54" spans="1:12">
      <c r="L54" s="119"/>
    </row>
    <row r="55" spans="1:12">
      <c r="A55" s="44" t="s">
        <v>108</v>
      </c>
      <c r="B55" s="54" t="s">
        <v>109</v>
      </c>
      <c r="C55" s="54"/>
      <c r="D55" s="54"/>
      <c r="E55" s="54"/>
      <c r="F55" s="54"/>
      <c r="G55" s="55"/>
      <c r="H55" s="54" t="s">
        <v>117</v>
      </c>
      <c r="I55" s="54"/>
      <c r="J55" s="54"/>
      <c r="K55" s="54"/>
      <c r="L55" s="54"/>
    </row>
    <row r="56" spans="1:12">
      <c r="A56" s="56" t="s">
        <v>111</v>
      </c>
      <c r="B56" s="57" t="s">
        <v>112</v>
      </c>
      <c r="C56" s="57"/>
      <c r="D56" s="57"/>
      <c r="E56" s="57"/>
      <c r="F56" s="57"/>
      <c r="G56" s="22"/>
      <c r="H56" s="57" t="s">
        <v>111</v>
      </c>
      <c r="I56" s="57"/>
      <c r="J56" s="57"/>
      <c r="K56" s="57"/>
      <c r="L56" s="5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55:F55"/>
    <mergeCell ref="H55:L55"/>
    <mergeCell ref="B56:F56"/>
    <mergeCell ref="H56:L56"/>
    <mergeCell ref="C10:D10"/>
    <mergeCell ref="E10:F10"/>
    <mergeCell ref="G10:H10"/>
    <mergeCell ref="K10:L10"/>
    <mergeCell ref="A1:L1"/>
    <mergeCell ref="A2:L2"/>
    <mergeCell ref="C8:D8"/>
    <mergeCell ref="E8:J8"/>
    <mergeCell ref="K8:L8"/>
    <mergeCell ref="C9:D9"/>
    <mergeCell ref="E9:F9"/>
    <mergeCell ref="G9:H9"/>
    <mergeCell ref="I9:J10"/>
    <mergeCell ref="K9:L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3"/>
  <sheetViews>
    <sheetView tabSelected="0" workbookViewId="0" showGridLines="true" showRowColHeaders="1">
      <selection activeCell="B34" sqref="B34"/>
    </sheetView>
  </sheetViews>
  <sheetFormatPr defaultRowHeight="14.4" outlineLevelRow="0" outlineLevelCol="0"/>
  <cols>
    <col min="1" max="1" width="54.42578125" customWidth="true" style="0"/>
    <col min="2" max="2" width="13.28515625" customWidth="true" style="0"/>
    <col min="3" max="3" width="2.140625" customWidth="true" style="0"/>
    <col min="4" max="4" width="11.28515625" customWidth="true" style="0"/>
    <col min="5" max="5" width="2.7109375" customWidth="true" style="0"/>
    <col min="6" max="6" width="11.7109375" customWidth="true" style="0"/>
    <col min="7" max="7" width="2.7109375" customWidth="true" style="0"/>
    <col min="8" max="8" width="13.140625" customWidth="true" style="0"/>
    <col min="9" max="9" width="2.28515625" customWidth="true" style="0"/>
    <col min="10" max="10" width="11.5703125" customWidth="true" style="0"/>
    <col min="11" max="11" width="2.140625" customWidth="true" style="0"/>
    <col min="12" max="12" width="11.5703125" customWidth="true" style="119"/>
  </cols>
  <sheetData>
    <row r="1" spans="1:12" customHeight="1" ht="15.7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118"/>
    </row>
    <row r="4" spans="1:12">
      <c r="A4" s="4" t="s">
        <v>2</v>
      </c>
      <c r="D4" t="s">
        <v>113</v>
      </c>
    </row>
    <row r="5" spans="1:12">
      <c r="A5" s="4" t="s">
        <v>4</v>
      </c>
      <c r="D5" s="4" t="s">
        <v>290</v>
      </c>
    </row>
    <row r="6" spans="1:12">
      <c r="A6" s="4" t="s">
        <v>6</v>
      </c>
      <c r="F6" s="4"/>
    </row>
    <row r="7" spans="1:12" customHeight="1" ht="15.75"/>
    <row r="8" spans="1:12">
      <c r="A8" s="5"/>
      <c r="B8" s="6"/>
      <c r="C8" s="7" t="s">
        <v>7</v>
      </c>
      <c r="D8" s="7"/>
      <c r="E8" s="8" t="s">
        <v>8</v>
      </c>
      <c r="F8" s="8"/>
      <c r="G8" s="8"/>
      <c r="H8" s="8"/>
      <c r="I8" s="8"/>
      <c r="J8" s="8"/>
      <c r="K8" s="7" t="s">
        <v>9</v>
      </c>
      <c r="L8" s="9"/>
    </row>
    <row r="9" spans="1:12">
      <c r="A9" s="10" t="s">
        <v>10</v>
      </c>
      <c r="B9" s="11" t="s">
        <v>11</v>
      </c>
      <c r="C9" s="12">
        <v>2021</v>
      </c>
      <c r="D9" s="12"/>
      <c r="E9" s="12" t="s">
        <v>12</v>
      </c>
      <c r="F9" s="12"/>
      <c r="G9" s="12" t="s">
        <v>13</v>
      </c>
      <c r="H9" s="12"/>
      <c r="I9" s="13" t="s">
        <v>14</v>
      </c>
      <c r="J9" s="13"/>
      <c r="K9" s="12">
        <v>2023</v>
      </c>
      <c r="L9" s="14"/>
    </row>
    <row r="10" spans="1:12" customHeight="1" ht="15.75">
      <c r="A10" s="15"/>
      <c r="B10" s="16"/>
      <c r="C10" s="17" t="s">
        <v>15</v>
      </c>
      <c r="D10" s="17"/>
      <c r="E10" s="17" t="s">
        <v>15</v>
      </c>
      <c r="F10" s="17"/>
      <c r="G10" s="17" t="s">
        <v>16</v>
      </c>
      <c r="H10" s="17"/>
      <c r="I10" s="18"/>
      <c r="J10" s="18"/>
      <c r="K10" s="17" t="s">
        <v>17</v>
      </c>
      <c r="L10" s="19"/>
    </row>
    <row r="11" spans="1:12">
      <c r="A11" s="20" t="s">
        <v>18</v>
      </c>
      <c r="B11" s="21"/>
      <c r="C11" s="22"/>
      <c r="D11" s="23"/>
      <c r="E11" s="22"/>
      <c r="F11" s="23"/>
      <c r="G11" s="22"/>
      <c r="H11" s="23"/>
      <c r="I11" s="22"/>
      <c r="J11" s="23"/>
      <c r="K11" s="22"/>
      <c r="L11" s="24"/>
    </row>
    <row r="12" spans="1:12">
      <c r="A12" s="25" t="s">
        <v>19</v>
      </c>
      <c r="B12" s="21" t="s">
        <v>20</v>
      </c>
      <c r="C12" s="22" t="s">
        <v>21</v>
      </c>
      <c r="D12" s="26">
        <v>1258310.63</v>
      </c>
      <c r="E12" s="22" t="s">
        <v>21</v>
      </c>
      <c r="F12" s="26">
        <v>618737.36</v>
      </c>
      <c r="G12" s="22" t="s">
        <v>21</v>
      </c>
      <c r="H12" s="26">
        <f>J12-F12</f>
        <v>657023.87</v>
      </c>
      <c r="I12" s="22" t="s">
        <v>21</v>
      </c>
      <c r="J12" s="26">
        <v>1275761.23</v>
      </c>
      <c r="K12" s="22" t="s">
        <v>21</v>
      </c>
      <c r="L12" s="28">
        <v>1321971.18</v>
      </c>
    </row>
    <row r="13" spans="1:12">
      <c r="A13" s="29" t="s">
        <v>22</v>
      </c>
      <c r="B13" s="21"/>
      <c r="C13" s="22"/>
      <c r="D13" s="30"/>
      <c r="E13" s="22"/>
      <c r="F13" s="30"/>
      <c r="G13" s="22"/>
      <c r="H13" s="30"/>
      <c r="I13" s="22"/>
      <c r="J13" s="30"/>
      <c r="K13" s="22"/>
      <c r="L13" s="31"/>
    </row>
    <row r="14" spans="1:12">
      <c r="A14" s="25" t="s">
        <v>23</v>
      </c>
      <c r="B14" s="21" t="s">
        <v>24</v>
      </c>
      <c r="C14" s="22"/>
      <c r="D14" s="30">
        <v>238000</v>
      </c>
      <c r="E14" s="22"/>
      <c r="F14" s="30">
        <v>116928.57</v>
      </c>
      <c r="G14" s="22"/>
      <c r="H14" s="30">
        <f>J14-F14</f>
        <v>123071.43</v>
      </c>
      <c r="I14" s="22"/>
      <c r="J14" s="30">
        <v>240000</v>
      </c>
      <c r="K14" s="22"/>
      <c r="L14" s="31">
        <v>240000</v>
      </c>
    </row>
    <row r="15" spans="1:12">
      <c r="A15" s="25" t="s">
        <v>29</v>
      </c>
      <c r="B15" s="21" t="s">
        <v>30</v>
      </c>
      <c r="C15" s="22"/>
      <c r="D15" s="32">
        <v>60000</v>
      </c>
      <c r="E15" s="22"/>
      <c r="F15" s="32">
        <v>60000</v>
      </c>
      <c r="G15" s="22"/>
      <c r="H15" s="32">
        <f>J15-F15</f>
        <v>0</v>
      </c>
      <c r="I15" s="22"/>
      <c r="J15" s="32">
        <v>60000</v>
      </c>
      <c r="K15" s="22"/>
      <c r="L15" s="33">
        <v>60000</v>
      </c>
    </row>
    <row r="16" spans="1:12">
      <c r="A16" s="25" t="s">
        <v>31</v>
      </c>
      <c r="B16" s="21" t="s">
        <v>32</v>
      </c>
      <c r="C16" s="22"/>
      <c r="D16" s="32">
        <v>50000</v>
      </c>
      <c r="E16" s="22"/>
      <c r="F16" s="32">
        <v>0</v>
      </c>
      <c r="G16" s="22"/>
      <c r="H16" s="32">
        <f>J16-F16</f>
        <v>50000</v>
      </c>
      <c r="I16" s="22"/>
      <c r="J16" s="32">
        <v>50000</v>
      </c>
      <c r="K16" s="22"/>
      <c r="L16" s="33">
        <v>50000</v>
      </c>
    </row>
    <row r="17" spans="1:12">
      <c r="A17" s="25" t="s">
        <v>33</v>
      </c>
      <c r="B17" s="21" t="s">
        <v>34</v>
      </c>
      <c r="C17" s="22"/>
      <c r="D17" s="32">
        <v>100000</v>
      </c>
      <c r="E17" s="22"/>
      <c r="F17" s="32">
        <v>0</v>
      </c>
      <c r="G17" s="22"/>
      <c r="H17" s="32">
        <f>J17-F17</f>
        <v>0</v>
      </c>
      <c r="I17" s="22"/>
      <c r="J17" s="32">
        <v>0</v>
      </c>
      <c r="K17" s="22"/>
      <c r="L17" s="33">
        <v>100000</v>
      </c>
    </row>
    <row r="18" spans="1:12">
      <c r="A18" s="25" t="s">
        <v>35</v>
      </c>
      <c r="B18" s="21" t="s">
        <v>36</v>
      </c>
      <c r="C18" s="22"/>
      <c r="D18" s="32">
        <v>105734</v>
      </c>
      <c r="E18" s="22"/>
      <c r="F18" s="32">
        <v>0</v>
      </c>
      <c r="G18" s="22"/>
      <c r="H18" s="32">
        <f>J18-F18</f>
        <v>106369</v>
      </c>
      <c r="I18" s="22"/>
      <c r="J18" s="32">
        <v>106369</v>
      </c>
      <c r="K18" s="22"/>
      <c r="L18" s="33">
        <v>110332</v>
      </c>
    </row>
    <row r="19" spans="1:12">
      <c r="A19" s="25" t="s">
        <v>37</v>
      </c>
      <c r="B19" s="21" t="s">
        <v>38</v>
      </c>
      <c r="C19" s="22"/>
      <c r="D19" s="32">
        <v>50000</v>
      </c>
      <c r="E19" s="22"/>
      <c r="F19" s="32">
        <v>0</v>
      </c>
      <c r="G19" s="22"/>
      <c r="H19" s="32">
        <f>J19-F19</f>
        <v>50000</v>
      </c>
      <c r="I19" s="22"/>
      <c r="J19" s="32">
        <v>50000</v>
      </c>
      <c r="K19" s="22"/>
      <c r="L19" s="33">
        <v>50000</v>
      </c>
    </row>
    <row r="20" spans="1:12">
      <c r="A20" s="25" t="s">
        <v>39</v>
      </c>
      <c r="B20" s="21" t="s">
        <v>40</v>
      </c>
      <c r="C20" s="22"/>
      <c r="D20" s="32">
        <v>105734</v>
      </c>
      <c r="E20" s="22"/>
      <c r="F20" s="32">
        <v>95672</v>
      </c>
      <c r="G20" s="22"/>
      <c r="H20" s="32">
        <f>J20-F20</f>
        <v>10614</v>
      </c>
      <c r="I20" s="22"/>
      <c r="J20" s="32">
        <v>106286</v>
      </c>
      <c r="K20" s="22"/>
      <c r="L20" s="33">
        <v>109870</v>
      </c>
    </row>
    <row r="21" spans="1:12">
      <c r="A21" s="29" t="s">
        <v>41</v>
      </c>
      <c r="B21" s="21"/>
      <c r="C21" s="22"/>
      <c r="D21" s="30"/>
      <c r="E21" s="22"/>
      <c r="F21" s="30"/>
      <c r="G21" s="22"/>
      <c r="H21" s="30"/>
      <c r="I21" s="22"/>
      <c r="J21" s="30"/>
      <c r="K21" s="22"/>
      <c r="L21" s="31"/>
    </row>
    <row r="22" spans="1:12">
      <c r="A22" s="25" t="s">
        <v>42</v>
      </c>
      <c r="B22" s="21" t="s">
        <v>43</v>
      </c>
      <c r="C22" s="22"/>
      <c r="D22" s="30">
        <v>150997.27</v>
      </c>
      <c r="E22" s="22"/>
      <c r="F22" s="30">
        <v>74248.38</v>
      </c>
      <c r="G22" s="22"/>
      <c r="H22" s="30">
        <f>J22-F22</f>
        <v>78842.97</v>
      </c>
      <c r="I22" s="22"/>
      <c r="J22" s="30">
        <v>153091.35</v>
      </c>
      <c r="K22" s="22"/>
      <c r="L22" s="31">
        <v>158636.54</v>
      </c>
    </row>
    <row r="23" spans="1:12">
      <c r="A23" s="25" t="s">
        <v>44</v>
      </c>
      <c r="B23" s="21" t="s">
        <v>45</v>
      </c>
      <c r="C23" s="22"/>
      <c r="D23" s="32">
        <v>11900</v>
      </c>
      <c r="E23" s="22"/>
      <c r="F23" s="32">
        <v>5900</v>
      </c>
      <c r="G23" s="22"/>
      <c r="H23" s="32">
        <f>J23-F23</f>
        <v>6100</v>
      </c>
      <c r="I23" s="22"/>
      <c r="J23" s="32">
        <v>12000</v>
      </c>
      <c r="K23" s="22"/>
      <c r="L23" s="33">
        <v>12000</v>
      </c>
    </row>
    <row r="24" spans="1:12">
      <c r="A24" s="25" t="s">
        <v>46</v>
      </c>
      <c r="B24" s="21" t="s">
        <v>47</v>
      </c>
      <c r="C24" s="22"/>
      <c r="D24" s="32">
        <v>19069.57</v>
      </c>
      <c r="E24" s="22"/>
      <c r="F24" s="32">
        <v>9889.22</v>
      </c>
      <c r="G24" s="22"/>
      <c r="H24" s="32">
        <f>J24-F24</f>
        <v>9247.22</v>
      </c>
      <c r="I24" s="22"/>
      <c r="J24" s="32">
        <v>19136.44</v>
      </c>
      <c r="K24" s="22"/>
      <c r="L24" s="33">
        <v>29744.32</v>
      </c>
    </row>
    <row r="25" spans="1:12">
      <c r="A25" s="25" t="s">
        <v>48</v>
      </c>
      <c r="B25" s="21" t="s">
        <v>49</v>
      </c>
      <c r="C25" s="22"/>
      <c r="D25" s="32">
        <v>11770.14</v>
      </c>
      <c r="E25" s="22"/>
      <c r="F25" s="32">
        <v>5846.49</v>
      </c>
      <c r="G25" s="22"/>
      <c r="H25" s="32">
        <f>J25-F25</f>
        <v>6153.51</v>
      </c>
      <c r="I25" s="22"/>
      <c r="J25" s="32">
        <v>12000</v>
      </c>
      <c r="K25" s="22"/>
      <c r="L25" s="33">
        <v>12000</v>
      </c>
    </row>
    <row r="26" spans="1:12">
      <c r="A26" s="29" t="s">
        <v>50</v>
      </c>
      <c r="B26" s="21"/>
      <c r="C26" s="27"/>
      <c r="D26" s="30"/>
      <c r="E26" s="22"/>
      <c r="F26" s="30"/>
      <c r="G26" s="22"/>
      <c r="H26" s="30"/>
      <c r="I26" s="22"/>
      <c r="J26" s="30"/>
      <c r="K26" s="22"/>
      <c r="L26" s="31"/>
    </row>
    <row r="27" spans="1:12">
      <c r="A27" s="25" t="s">
        <v>51</v>
      </c>
      <c r="B27" s="21" t="s">
        <v>52</v>
      </c>
      <c r="C27" s="22"/>
      <c r="D27" s="26">
        <v>0</v>
      </c>
      <c r="E27" s="22"/>
      <c r="F27" s="26">
        <v>0</v>
      </c>
      <c r="G27" s="22"/>
      <c r="H27" s="26">
        <v>0</v>
      </c>
      <c r="I27" s="22"/>
      <c r="J27" s="26">
        <v>0</v>
      </c>
      <c r="K27" s="22"/>
      <c r="L27" s="28">
        <v>0</v>
      </c>
    </row>
    <row r="28" spans="1:12" customHeight="1" ht="15.75">
      <c r="A28" s="25" t="s">
        <v>53</v>
      </c>
      <c r="B28" s="21" t="s">
        <v>54</v>
      </c>
      <c r="C28" s="22"/>
      <c r="D28" s="35">
        <v>20000</v>
      </c>
      <c r="E28" s="22"/>
      <c r="F28" s="35">
        <v>0</v>
      </c>
      <c r="G28" s="22"/>
      <c r="H28" s="36">
        <f>J28-F28</f>
        <v>105000</v>
      </c>
      <c r="I28" s="22"/>
      <c r="J28" s="36">
        <v>105000</v>
      </c>
      <c r="K28" s="22"/>
      <c r="L28" s="37">
        <v>0</v>
      </c>
    </row>
    <row r="29" spans="1:12">
      <c r="A29" s="29" t="s">
        <v>55</v>
      </c>
      <c r="B29" s="45"/>
      <c r="C29" s="58" t="s">
        <v>21</v>
      </c>
      <c r="D29" s="59">
        <f>SUM(D12:D28)</f>
        <v>2181515.61</v>
      </c>
      <c r="E29" s="60" t="s">
        <v>21</v>
      </c>
      <c r="F29" s="59">
        <f>SUM(F12:F28)</f>
        <v>987222.02</v>
      </c>
      <c r="G29" s="60" t="s">
        <v>21</v>
      </c>
      <c r="H29" s="59">
        <f>SUM(H12:H28)</f>
        <v>1202422</v>
      </c>
      <c r="I29" s="60" t="s">
        <v>21</v>
      </c>
      <c r="J29" s="59">
        <f>SUM(J12:J28)</f>
        <v>2189644.02</v>
      </c>
      <c r="K29" s="60" t="s">
        <v>21</v>
      </c>
      <c r="L29" s="61">
        <f>SUM(L12:L28)</f>
        <v>2254554.04</v>
      </c>
    </row>
    <row r="30" spans="1:12">
      <c r="A30" s="74" t="s">
        <v>56</v>
      </c>
      <c r="B30" s="75"/>
      <c r="C30" s="76"/>
      <c r="D30" s="77"/>
      <c r="E30" s="76"/>
      <c r="F30" s="77"/>
      <c r="G30" s="76"/>
      <c r="H30" s="77"/>
      <c r="I30" s="76"/>
      <c r="J30" s="77"/>
      <c r="K30" s="76"/>
      <c r="L30" s="78"/>
    </row>
    <row r="31" spans="1:12">
      <c r="A31" s="25" t="s">
        <v>57</v>
      </c>
      <c r="B31" s="21" t="s">
        <v>58</v>
      </c>
      <c r="C31" s="22" t="s">
        <v>21</v>
      </c>
      <c r="D31" s="26">
        <v>13590</v>
      </c>
      <c r="E31" s="22" t="s">
        <v>21</v>
      </c>
      <c r="F31" s="26">
        <v>0</v>
      </c>
      <c r="G31" s="22" t="s">
        <v>21</v>
      </c>
      <c r="H31" s="26">
        <f>J31-F31</f>
        <v>15355.98</v>
      </c>
      <c r="I31" s="22" t="s">
        <v>21</v>
      </c>
      <c r="J31" s="26">
        <v>15355.98</v>
      </c>
      <c r="K31" s="22" t="s">
        <v>21</v>
      </c>
      <c r="L31" s="28">
        <v>10000</v>
      </c>
    </row>
    <row r="32" spans="1:12">
      <c r="A32" s="25" t="s">
        <v>61</v>
      </c>
      <c r="B32" s="21" t="s">
        <v>62</v>
      </c>
      <c r="C32" s="22"/>
      <c r="D32" s="30">
        <v>0</v>
      </c>
      <c r="E32" s="22"/>
      <c r="F32" s="30">
        <v>0</v>
      </c>
      <c r="G32" s="22"/>
      <c r="H32" s="30">
        <v>0</v>
      </c>
      <c r="I32" s="22"/>
      <c r="J32" s="30">
        <v>45000</v>
      </c>
      <c r="K32" s="22"/>
      <c r="L32" s="31">
        <v>40000</v>
      </c>
    </row>
    <row r="33" spans="1:12">
      <c r="A33" s="25" t="s">
        <v>79</v>
      </c>
      <c r="B33" s="21" t="s">
        <v>80</v>
      </c>
      <c r="C33" s="22"/>
      <c r="D33" s="32">
        <v>1594999.25</v>
      </c>
      <c r="E33" s="22"/>
      <c r="F33" s="32">
        <v>528094</v>
      </c>
      <c r="G33" s="22"/>
      <c r="H33" s="32">
        <f>J33-F33</f>
        <v>471906</v>
      </c>
      <c r="I33" s="22"/>
      <c r="J33" s="32">
        <v>1000000</v>
      </c>
      <c r="K33" s="22"/>
      <c r="L33" s="33">
        <v>1145000</v>
      </c>
    </row>
    <row r="34" spans="1:12" customHeight="1" ht="15.75">
      <c r="A34" s="25" t="s">
        <v>91</v>
      </c>
      <c r="B34" s="21" t="s">
        <v>92</v>
      </c>
      <c r="C34" s="22"/>
      <c r="D34" s="36">
        <v>145637</v>
      </c>
      <c r="E34" s="22" t="s">
        <v>21</v>
      </c>
      <c r="F34" s="36">
        <v>209807.33</v>
      </c>
      <c r="G34" s="22" t="s">
        <v>21</v>
      </c>
      <c r="H34" s="36">
        <f>J34-F34</f>
        <v>40192.67</v>
      </c>
      <c r="I34" s="22" t="s">
        <v>21</v>
      </c>
      <c r="J34" s="35">
        <v>250000</v>
      </c>
      <c r="K34" s="22"/>
      <c r="L34" s="46">
        <v>250445.96</v>
      </c>
    </row>
    <row r="35" spans="1:12" customHeight="1" ht="15.75">
      <c r="A35" s="29" t="s">
        <v>93</v>
      </c>
      <c r="B35" s="45"/>
      <c r="C35" s="48" t="s">
        <v>21</v>
      </c>
      <c r="D35" s="41">
        <f>SUM(D31:D34)</f>
        <v>1754226.25</v>
      </c>
      <c r="E35" s="48" t="s">
        <v>21</v>
      </c>
      <c r="F35" s="41">
        <f>SUM(F31:F34)</f>
        <v>737901.33</v>
      </c>
      <c r="G35" s="48" t="s">
        <v>21</v>
      </c>
      <c r="H35" s="41">
        <f>SUM(H31:H34)</f>
        <v>527454.65</v>
      </c>
      <c r="I35" s="48" t="s">
        <v>21</v>
      </c>
      <c r="J35" s="41">
        <f>SUM(J31:J34)</f>
        <v>1310355.98</v>
      </c>
      <c r="K35" s="48" t="s">
        <v>21</v>
      </c>
      <c r="L35" s="43">
        <f>SUM(L31:L34)</f>
        <v>1445445.96</v>
      </c>
    </row>
    <row r="36" spans="1:12" customHeight="1" ht="15.75">
      <c r="A36" s="49" t="s">
        <v>104</v>
      </c>
      <c r="B36" s="50"/>
      <c r="C36" s="51" t="s">
        <v>21</v>
      </c>
      <c r="D36" s="52">
        <f>D29+D35</f>
        <v>3935741.86</v>
      </c>
      <c r="E36" s="53" t="s">
        <v>21</v>
      </c>
      <c r="F36" s="52">
        <f>F29+F35</f>
        <v>1725123.35</v>
      </c>
      <c r="G36" s="53" t="s">
        <v>21</v>
      </c>
      <c r="H36" s="52">
        <f>H29+H35</f>
        <v>1729876.65</v>
      </c>
      <c r="I36" s="53" t="s">
        <v>21</v>
      </c>
      <c r="J36" s="52">
        <f>J29+J35</f>
        <v>3500000</v>
      </c>
      <c r="K36" s="53" t="s">
        <v>21</v>
      </c>
      <c r="L36" s="65">
        <f>L29+L35</f>
        <v>3700000</v>
      </c>
    </row>
    <row r="37" spans="1:12" customHeight="1" ht="15.75">
      <c r="A37" s="154"/>
      <c r="B37" s="154"/>
      <c r="C37" s="154"/>
      <c r="D37" s="154"/>
      <c r="E37" s="154"/>
      <c r="F37" s="154"/>
      <c r="G37" s="154"/>
      <c r="H37" s="154"/>
      <c r="I37" s="154"/>
      <c r="J37" s="154"/>
      <c r="K37" s="154"/>
      <c r="L37" s="154"/>
    </row>
    <row r="38" spans="1:12">
      <c r="A38" s="22" t="s">
        <v>105</v>
      </c>
      <c r="B38" s="22" t="s">
        <v>106</v>
      </c>
      <c r="C38" s="22"/>
      <c r="D38" s="22"/>
      <c r="E38" s="22"/>
      <c r="F38" s="22"/>
      <c r="G38" s="22" t="s">
        <v>107</v>
      </c>
      <c r="H38" s="22"/>
      <c r="L38" s="119"/>
    </row>
    <row r="39" spans="1:12">
      <c r="L39" s="119"/>
    </row>
    <row r="40" spans="1:12">
      <c r="L40" s="119"/>
    </row>
    <row r="41" spans="1:12">
      <c r="L41" s="119"/>
    </row>
    <row r="42" spans="1:12">
      <c r="A42" s="44" t="s">
        <v>108</v>
      </c>
      <c r="B42" s="54" t="s">
        <v>109</v>
      </c>
      <c r="C42" s="54"/>
      <c r="D42" s="54"/>
      <c r="E42" s="54"/>
      <c r="F42" s="54"/>
      <c r="G42" s="55"/>
      <c r="H42" s="54" t="s">
        <v>117</v>
      </c>
      <c r="I42" s="54"/>
      <c r="J42" s="54"/>
      <c r="K42" s="54"/>
      <c r="L42" s="54"/>
    </row>
    <row r="43" spans="1:12">
      <c r="A43" s="56" t="s">
        <v>111</v>
      </c>
      <c r="B43" s="57" t="s">
        <v>112</v>
      </c>
      <c r="C43" s="57"/>
      <c r="D43" s="57"/>
      <c r="E43" s="57"/>
      <c r="F43" s="57"/>
      <c r="G43" s="22"/>
      <c r="H43" s="57" t="s">
        <v>111</v>
      </c>
      <c r="I43" s="57"/>
      <c r="J43" s="57"/>
      <c r="K43" s="57"/>
      <c r="L43" s="5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42:F42"/>
    <mergeCell ref="H42:L42"/>
    <mergeCell ref="B43:F43"/>
    <mergeCell ref="H43:L43"/>
    <mergeCell ref="C10:D10"/>
    <mergeCell ref="E10:F10"/>
    <mergeCell ref="G10:H10"/>
    <mergeCell ref="K10:L10"/>
    <mergeCell ref="A1:L1"/>
    <mergeCell ref="A2:L2"/>
    <mergeCell ref="C8:D8"/>
    <mergeCell ref="E8:J8"/>
    <mergeCell ref="K8:L8"/>
    <mergeCell ref="C9:D9"/>
    <mergeCell ref="E9:F9"/>
    <mergeCell ref="G9:H9"/>
    <mergeCell ref="I9:J10"/>
    <mergeCell ref="K9:L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2"/>
  <sheetViews>
    <sheetView tabSelected="0" workbookViewId="0" showGridLines="true" showRowColHeaders="1">
      <selection activeCell="A50" sqref="A50"/>
    </sheetView>
  </sheetViews>
  <sheetFormatPr defaultRowHeight="14.4" outlineLevelRow="0" outlineLevelCol="0"/>
  <cols>
    <col min="1" max="1" width="54.42578125" customWidth="true" style="0"/>
    <col min="2" max="2" width="13.28515625" customWidth="true" style="0"/>
    <col min="3" max="3" width="2.140625" customWidth="true" style="0"/>
    <col min="4" max="4" width="11.28515625" customWidth="true" style="0"/>
    <col min="5" max="5" width="2.7109375" customWidth="true" style="0"/>
    <col min="6" max="6" width="11.7109375" customWidth="true" style="0"/>
    <col min="7" max="7" width="2.7109375" customWidth="true" style="0"/>
    <col min="8" max="8" width="13.140625" customWidth="true" style="0"/>
    <col min="9" max="9" width="2.28515625" customWidth="true" style="0"/>
    <col min="10" max="10" width="11.5703125" customWidth="true" style="0"/>
    <col min="11" max="11" width="2.140625" customWidth="true" style="0"/>
    <col min="12" max="12" width="11.5703125" customWidth="true" style="119"/>
  </cols>
  <sheetData>
    <row r="1" spans="1:12" customHeight="1" ht="15.7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118"/>
    </row>
    <row r="4" spans="1:12">
      <c r="A4" s="4" t="s">
        <v>2</v>
      </c>
      <c r="D4" t="s">
        <v>113</v>
      </c>
    </row>
    <row r="5" spans="1:12">
      <c r="A5" s="4" t="s">
        <v>4</v>
      </c>
      <c r="D5" s="4" t="s">
        <v>291</v>
      </c>
    </row>
    <row r="6" spans="1:12">
      <c r="A6" s="4" t="s">
        <v>6</v>
      </c>
      <c r="F6" s="4"/>
    </row>
    <row r="7" spans="1:12" customHeight="1" ht="15.75"/>
    <row r="8" spans="1:12">
      <c r="A8" s="5"/>
      <c r="B8" s="6"/>
      <c r="C8" s="7" t="s">
        <v>7</v>
      </c>
      <c r="D8" s="7"/>
      <c r="E8" s="8" t="s">
        <v>8</v>
      </c>
      <c r="F8" s="8"/>
      <c r="G8" s="8"/>
      <c r="H8" s="8"/>
      <c r="I8" s="8"/>
      <c r="J8" s="8"/>
      <c r="K8" s="7" t="s">
        <v>9</v>
      </c>
      <c r="L8" s="9"/>
    </row>
    <row r="9" spans="1:12">
      <c r="A9" s="10" t="s">
        <v>10</v>
      </c>
      <c r="B9" s="11" t="s">
        <v>11</v>
      </c>
      <c r="C9" s="12">
        <v>2021</v>
      </c>
      <c r="D9" s="12"/>
      <c r="E9" s="12" t="s">
        <v>12</v>
      </c>
      <c r="F9" s="12"/>
      <c r="G9" s="12" t="s">
        <v>13</v>
      </c>
      <c r="H9" s="12"/>
      <c r="I9" s="13" t="s">
        <v>14</v>
      </c>
      <c r="J9" s="13"/>
      <c r="K9" s="12">
        <v>2023</v>
      </c>
      <c r="L9" s="14"/>
    </row>
    <row r="10" spans="1:12" customHeight="1" ht="15.75">
      <c r="A10" s="15"/>
      <c r="B10" s="16"/>
      <c r="C10" s="17" t="s">
        <v>15</v>
      </c>
      <c r="D10" s="17"/>
      <c r="E10" s="17" t="s">
        <v>15</v>
      </c>
      <c r="F10" s="17"/>
      <c r="G10" s="17" t="s">
        <v>16</v>
      </c>
      <c r="H10" s="17"/>
      <c r="I10" s="18"/>
      <c r="J10" s="18"/>
      <c r="K10" s="17" t="s">
        <v>17</v>
      </c>
      <c r="L10" s="19"/>
    </row>
    <row r="11" spans="1:12">
      <c r="A11" s="20" t="s">
        <v>18</v>
      </c>
      <c r="B11" s="21"/>
      <c r="C11" s="22"/>
      <c r="D11" s="23"/>
      <c r="E11" s="22"/>
      <c r="F11" s="23"/>
      <c r="G11" s="22"/>
      <c r="H11" s="23"/>
      <c r="I11" s="22"/>
      <c r="J11" s="23"/>
      <c r="K11" s="22"/>
      <c r="L11" s="24"/>
    </row>
    <row r="12" spans="1:12">
      <c r="A12" s="25" t="s">
        <v>19</v>
      </c>
      <c r="B12" s="21" t="s">
        <v>20</v>
      </c>
      <c r="C12" s="22" t="s">
        <v>21</v>
      </c>
      <c r="D12" s="26">
        <v>626302</v>
      </c>
      <c r="E12" s="22" t="s">
        <v>21</v>
      </c>
      <c r="F12" s="26">
        <v>152100</v>
      </c>
      <c r="G12" s="22" t="s">
        <v>21</v>
      </c>
      <c r="H12" s="26">
        <f>J12-F12</f>
        <v>152100</v>
      </c>
      <c r="I12" s="22" t="s">
        <v>21</v>
      </c>
      <c r="J12" s="26">
        <v>304200</v>
      </c>
      <c r="K12" s="22" t="s">
        <v>21</v>
      </c>
      <c r="L12" s="28">
        <v>317071</v>
      </c>
    </row>
    <row r="13" spans="1:12">
      <c r="A13" s="29" t="s">
        <v>22</v>
      </c>
      <c r="B13" s="21"/>
      <c r="C13" s="22"/>
      <c r="D13" s="30"/>
      <c r="E13" s="22"/>
      <c r="F13" s="30"/>
      <c r="G13" s="22"/>
      <c r="H13" s="30"/>
      <c r="I13" s="22"/>
      <c r="J13" s="30"/>
      <c r="K13" s="22"/>
      <c r="L13" s="31"/>
    </row>
    <row r="14" spans="1:12">
      <c r="A14" s="25" t="s">
        <v>23</v>
      </c>
      <c r="B14" s="21" t="s">
        <v>24</v>
      </c>
      <c r="C14" s="22"/>
      <c r="D14" s="30">
        <v>112000</v>
      </c>
      <c r="E14" s="22"/>
      <c r="F14" s="30">
        <v>24000</v>
      </c>
      <c r="G14" s="22"/>
      <c r="H14" s="30">
        <f>J14-F14</f>
        <v>24000</v>
      </c>
      <c r="I14" s="22"/>
      <c r="J14" s="30">
        <v>48000</v>
      </c>
      <c r="K14" s="22"/>
      <c r="L14" s="31">
        <v>48000</v>
      </c>
    </row>
    <row r="15" spans="1:12">
      <c r="A15" s="25" t="s">
        <v>29</v>
      </c>
      <c r="B15" s="21" t="s">
        <v>30</v>
      </c>
      <c r="C15" s="22"/>
      <c r="D15" s="32">
        <v>30000</v>
      </c>
      <c r="E15" s="22"/>
      <c r="F15" s="32">
        <v>12000</v>
      </c>
      <c r="G15" s="22"/>
      <c r="H15" s="32">
        <f>J15-F15</f>
        <v>0</v>
      </c>
      <c r="I15" s="22"/>
      <c r="J15" s="32">
        <v>12000</v>
      </c>
      <c r="K15" s="22"/>
      <c r="L15" s="33">
        <v>12000</v>
      </c>
    </row>
    <row r="16" spans="1:12">
      <c r="A16" s="25" t="s">
        <v>31</v>
      </c>
      <c r="B16" s="21" t="s">
        <v>32</v>
      </c>
      <c r="C16" s="22"/>
      <c r="D16" s="32">
        <v>20000</v>
      </c>
      <c r="E16" s="22"/>
      <c r="F16" s="32">
        <v>0</v>
      </c>
      <c r="G16" s="22"/>
      <c r="H16" s="32">
        <f>J16-F16</f>
        <v>10000</v>
      </c>
      <c r="I16" s="22"/>
      <c r="J16" s="32">
        <v>10000</v>
      </c>
      <c r="K16" s="22"/>
      <c r="L16" s="33">
        <v>10000</v>
      </c>
    </row>
    <row r="17" spans="1:12">
      <c r="A17" s="25" t="s">
        <v>33</v>
      </c>
      <c r="B17" s="21" t="s">
        <v>34</v>
      </c>
      <c r="C17" s="22"/>
      <c r="D17" s="32">
        <v>50000</v>
      </c>
      <c r="E17" s="22"/>
      <c r="F17" s="32">
        <v>0</v>
      </c>
      <c r="G17" s="22"/>
      <c r="H17" s="32">
        <f>J17-F17</f>
        <v>0</v>
      </c>
      <c r="I17" s="22"/>
      <c r="J17" s="32">
        <v>0</v>
      </c>
      <c r="K17" s="22"/>
      <c r="L17" s="33">
        <v>20000</v>
      </c>
    </row>
    <row r="18" spans="1:12">
      <c r="A18" s="25" t="s">
        <v>134</v>
      </c>
      <c r="B18" s="21" t="s">
        <v>36</v>
      </c>
      <c r="C18" s="22"/>
      <c r="D18" s="32">
        <v>45671</v>
      </c>
      <c r="E18" s="22"/>
      <c r="F18" s="32">
        <v>0</v>
      </c>
      <c r="G18" s="22"/>
      <c r="H18" s="32">
        <f>J18-F18</f>
        <v>25350</v>
      </c>
      <c r="I18" s="22"/>
      <c r="J18" s="32">
        <v>25350</v>
      </c>
      <c r="K18" s="22"/>
      <c r="L18" s="33">
        <v>26483</v>
      </c>
    </row>
    <row r="19" spans="1:12">
      <c r="A19" s="25" t="s">
        <v>37</v>
      </c>
      <c r="B19" s="21" t="s">
        <v>38</v>
      </c>
      <c r="C19" s="22"/>
      <c r="D19" s="32">
        <v>20000</v>
      </c>
      <c r="E19" s="22"/>
      <c r="F19" s="32">
        <v>0</v>
      </c>
      <c r="G19" s="22"/>
      <c r="H19" s="32">
        <f>J19-F19</f>
        <v>10000</v>
      </c>
      <c r="I19" s="22"/>
      <c r="J19" s="32">
        <v>10000</v>
      </c>
      <c r="K19" s="22"/>
      <c r="L19" s="33">
        <v>10000</v>
      </c>
    </row>
    <row r="20" spans="1:12">
      <c r="A20" s="25" t="s">
        <v>39</v>
      </c>
      <c r="B20" s="21" t="s">
        <v>40</v>
      </c>
      <c r="C20" s="22"/>
      <c r="D20" s="32">
        <v>45671</v>
      </c>
      <c r="E20" s="22"/>
      <c r="F20" s="32">
        <v>25350</v>
      </c>
      <c r="G20" s="22"/>
      <c r="H20" s="32">
        <f>J20-F20</f>
        <v>0</v>
      </c>
      <c r="I20" s="22"/>
      <c r="J20" s="32">
        <v>25350</v>
      </c>
      <c r="K20" s="22"/>
      <c r="L20" s="33">
        <v>26338</v>
      </c>
    </row>
    <row r="21" spans="1:12">
      <c r="A21" s="29" t="s">
        <v>41</v>
      </c>
      <c r="B21" s="21"/>
      <c r="C21" s="22"/>
      <c r="D21" s="30"/>
      <c r="E21" s="22"/>
      <c r="F21" s="30"/>
      <c r="G21" s="22"/>
      <c r="H21" s="30"/>
      <c r="I21" s="22"/>
      <c r="J21" s="30"/>
      <c r="K21" s="22"/>
      <c r="L21" s="31"/>
    </row>
    <row r="22" spans="1:12">
      <c r="A22" s="25" t="s">
        <v>42</v>
      </c>
      <c r="B22" s="21" t="s">
        <v>43</v>
      </c>
      <c r="C22" s="22"/>
      <c r="D22" s="26">
        <v>75156.24</v>
      </c>
      <c r="E22" s="22"/>
      <c r="F22" s="26">
        <v>18252</v>
      </c>
      <c r="G22" s="22"/>
      <c r="H22" s="30">
        <f>J22-F22</f>
        <v>18252</v>
      </c>
      <c r="I22" s="22"/>
      <c r="J22" s="30">
        <v>36504</v>
      </c>
      <c r="K22" s="22"/>
      <c r="L22" s="31">
        <v>38048.52</v>
      </c>
    </row>
    <row r="23" spans="1:12">
      <c r="A23" s="25" t="s">
        <v>44</v>
      </c>
      <c r="B23" s="21" t="s">
        <v>45</v>
      </c>
      <c r="C23" s="22"/>
      <c r="D23" s="32">
        <v>5600</v>
      </c>
      <c r="E23" s="22"/>
      <c r="F23" s="32">
        <v>1200</v>
      </c>
      <c r="G23" s="22"/>
      <c r="H23" s="32">
        <f>J23-F23</f>
        <v>1200</v>
      </c>
      <c r="I23" s="22"/>
      <c r="J23" s="32">
        <v>2400</v>
      </c>
      <c r="K23" s="22"/>
      <c r="L23" s="33">
        <v>2400</v>
      </c>
    </row>
    <row r="24" spans="1:12">
      <c r="A24" s="25" t="s">
        <v>46</v>
      </c>
      <c r="B24" s="21" t="s">
        <v>47</v>
      </c>
      <c r="C24" s="22"/>
      <c r="D24" s="32">
        <v>9473.64</v>
      </c>
      <c r="E24" s="22"/>
      <c r="F24" s="32">
        <v>2408.25</v>
      </c>
      <c r="G24" s="22"/>
      <c r="H24" s="32">
        <f>J24-F24</f>
        <v>2154.75</v>
      </c>
      <c r="I24" s="22"/>
      <c r="J24" s="32">
        <v>4563</v>
      </c>
      <c r="K24" s="22"/>
      <c r="L24" s="33">
        <v>7134.1</v>
      </c>
    </row>
    <row r="25" spans="1:12">
      <c r="A25" s="25" t="s">
        <v>48</v>
      </c>
      <c r="B25" s="21" t="s">
        <v>49</v>
      </c>
      <c r="C25" s="22"/>
      <c r="D25" s="32">
        <v>5547.34</v>
      </c>
      <c r="E25" s="22"/>
      <c r="F25" s="32">
        <v>1200</v>
      </c>
      <c r="G25" s="22"/>
      <c r="H25" s="32">
        <f>J25-F25</f>
        <v>1200</v>
      </c>
      <c r="I25" s="22"/>
      <c r="J25" s="32">
        <v>2400</v>
      </c>
      <c r="K25" s="22"/>
      <c r="L25" s="33">
        <v>2400</v>
      </c>
    </row>
    <row r="26" spans="1:12">
      <c r="A26" s="29" t="s">
        <v>50</v>
      </c>
      <c r="B26" s="21"/>
      <c r="C26" s="27"/>
      <c r="D26" s="30"/>
      <c r="E26" s="22"/>
      <c r="F26" s="30"/>
      <c r="G26" s="22"/>
      <c r="H26" s="30"/>
      <c r="I26" s="22"/>
      <c r="J26" s="30"/>
      <c r="K26" s="22"/>
      <c r="L26" s="31"/>
    </row>
    <row r="27" spans="1:12">
      <c r="A27" s="34" t="s">
        <v>51</v>
      </c>
      <c r="B27" s="21" t="s">
        <v>52</v>
      </c>
      <c r="C27" s="22"/>
      <c r="D27" s="26">
        <v>76188.97</v>
      </c>
      <c r="E27" s="22"/>
      <c r="F27" s="26">
        <v>0</v>
      </c>
      <c r="G27" s="22"/>
      <c r="H27" s="26">
        <f>J27-F27</f>
        <v>0</v>
      </c>
      <c r="I27" s="22"/>
      <c r="J27" s="26">
        <v>0</v>
      </c>
      <c r="K27" s="22"/>
      <c r="L27" s="28">
        <v>0</v>
      </c>
    </row>
    <row r="28" spans="1:12" customHeight="1" ht="15.75">
      <c r="A28" s="34" t="s">
        <v>53</v>
      </c>
      <c r="B28" s="21" t="s">
        <v>54</v>
      </c>
      <c r="C28" s="22"/>
      <c r="D28" s="35">
        <v>0</v>
      </c>
      <c r="E28" s="22"/>
      <c r="F28" s="35">
        <v>0</v>
      </c>
      <c r="G28" s="22"/>
      <c r="H28" s="36">
        <f>J28-F28</f>
        <v>30000</v>
      </c>
      <c r="I28" s="22"/>
      <c r="J28" s="35">
        <v>30000</v>
      </c>
      <c r="K28" s="22"/>
      <c r="L28" s="46">
        <v>0</v>
      </c>
    </row>
    <row r="29" spans="1:12">
      <c r="A29" s="29" t="s">
        <v>55</v>
      </c>
      <c r="B29" s="45"/>
      <c r="C29" s="58" t="s">
        <v>21</v>
      </c>
      <c r="D29" s="59">
        <f>SUM(D12:D28)</f>
        <v>1121610.19</v>
      </c>
      <c r="E29" s="60" t="s">
        <v>21</v>
      </c>
      <c r="F29" s="59">
        <f>SUM(F12:F28)</f>
        <v>236510.25</v>
      </c>
      <c r="G29" s="60" t="s">
        <v>21</v>
      </c>
      <c r="H29" s="59">
        <f>SUM(H12:H28)</f>
        <v>274256.75</v>
      </c>
      <c r="I29" s="60" t="s">
        <v>21</v>
      </c>
      <c r="J29" s="59">
        <f>SUM(J12:J28)</f>
        <v>510767</v>
      </c>
      <c r="K29" s="60" t="s">
        <v>21</v>
      </c>
      <c r="L29" s="61">
        <f>SUM(L12:L28)</f>
        <v>519874.62</v>
      </c>
    </row>
    <row r="30" spans="1:12">
      <c r="A30" s="74" t="s">
        <v>56</v>
      </c>
      <c r="B30" s="75"/>
      <c r="C30" s="76"/>
      <c r="D30" s="77"/>
      <c r="E30" s="76"/>
      <c r="F30" s="77"/>
      <c r="G30" s="76"/>
      <c r="H30" s="77"/>
      <c r="I30" s="76"/>
      <c r="J30" s="77"/>
      <c r="K30" s="76"/>
      <c r="L30" s="78"/>
    </row>
    <row r="31" spans="1:12">
      <c r="A31" s="25" t="s">
        <v>57</v>
      </c>
      <c r="B31" s="21" t="s">
        <v>58</v>
      </c>
      <c r="C31" s="22" t="s">
        <v>21</v>
      </c>
      <c r="D31" s="26">
        <v>11150</v>
      </c>
      <c r="E31" s="22" t="s">
        <v>21</v>
      </c>
      <c r="F31" s="26">
        <v>650</v>
      </c>
      <c r="G31" s="22" t="s">
        <v>21</v>
      </c>
      <c r="H31" s="26">
        <f>J31-F31</f>
        <v>8583</v>
      </c>
      <c r="I31" s="22" t="s">
        <v>21</v>
      </c>
      <c r="J31" s="26">
        <v>9233</v>
      </c>
      <c r="K31" s="22" t="s">
        <v>21</v>
      </c>
      <c r="L31" s="28">
        <v>5000</v>
      </c>
    </row>
    <row r="32" spans="1:12" customHeight="1" ht="15.75">
      <c r="A32" s="25" t="s">
        <v>91</v>
      </c>
      <c r="B32" s="21" t="s">
        <v>92</v>
      </c>
      <c r="C32" s="22"/>
      <c r="D32" s="36">
        <v>0</v>
      </c>
      <c r="E32" s="27"/>
      <c r="F32" s="36">
        <v>77650</v>
      </c>
      <c r="G32" s="27"/>
      <c r="H32" s="36">
        <f>J32-F32</f>
        <v>48466.01</v>
      </c>
      <c r="I32" s="27"/>
      <c r="J32" s="36">
        <v>126116.01</v>
      </c>
      <c r="K32" s="22"/>
      <c r="L32" s="37">
        <v>95125.38</v>
      </c>
    </row>
    <row r="33" spans="1:12" customHeight="1" ht="15.75">
      <c r="A33" s="29" t="s">
        <v>93</v>
      </c>
      <c r="B33" s="45"/>
      <c r="C33" s="48" t="s">
        <v>21</v>
      </c>
      <c r="D33" s="41">
        <f>SUM(D31:D32)</f>
        <v>11150</v>
      </c>
      <c r="E33" s="48" t="s">
        <v>21</v>
      </c>
      <c r="F33" s="41">
        <f>SUM(F31:F32)</f>
        <v>78300</v>
      </c>
      <c r="G33" s="48" t="s">
        <v>21</v>
      </c>
      <c r="H33" s="41">
        <f>SUM(H31:H32)</f>
        <v>57049.01</v>
      </c>
      <c r="I33" s="48" t="s">
        <v>21</v>
      </c>
      <c r="J33" s="41">
        <f>SUM(J31:J32)</f>
        <v>135349.01</v>
      </c>
      <c r="K33" s="48" t="s">
        <v>21</v>
      </c>
      <c r="L33" s="43">
        <f>SUM(L31:L32)</f>
        <v>100125.38</v>
      </c>
    </row>
    <row r="34" spans="1:12" customHeight="1" ht="15.75">
      <c r="A34" s="49" t="s">
        <v>104</v>
      </c>
      <c r="B34" s="50"/>
      <c r="C34" s="51" t="s">
        <v>21</v>
      </c>
      <c r="D34" s="52">
        <f>D29+D33</f>
        <v>1132760.19</v>
      </c>
      <c r="E34" s="53" t="s">
        <v>21</v>
      </c>
      <c r="F34" s="52">
        <f>F29+F33</f>
        <v>314810.25</v>
      </c>
      <c r="G34" s="53" t="s">
        <v>21</v>
      </c>
      <c r="H34" s="52">
        <f>H29+H33</f>
        <v>331305.76</v>
      </c>
      <c r="I34" s="53" t="s">
        <v>21</v>
      </c>
      <c r="J34" s="52">
        <f>J29+J33</f>
        <v>646116.01</v>
      </c>
      <c r="K34" s="53" t="s">
        <v>21</v>
      </c>
      <c r="L34" s="65">
        <f>L29+L33</f>
        <v>620000</v>
      </c>
    </row>
    <row r="35" spans="1:12" customHeight="1" ht="15.75">
      <c r="A35" s="154"/>
      <c r="B35" s="154"/>
      <c r="C35" s="154"/>
      <c r="D35" s="154"/>
      <c r="E35" s="154"/>
      <c r="F35" s="154"/>
      <c r="G35" s="154"/>
      <c r="H35" s="154"/>
      <c r="I35" s="154"/>
      <c r="J35" s="154"/>
      <c r="K35" s="154"/>
      <c r="L35" s="154"/>
    </row>
    <row r="36" spans="1:12">
      <c r="A36" s="22" t="s">
        <v>105</v>
      </c>
      <c r="B36" s="22" t="s">
        <v>106</v>
      </c>
      <c r="C36" s="22"/>
      <c r="D36" s="22"/>
      <c r="E36" s="22"/>
      <c r="F36" s="22"/>
      <c r="G36" s="22" t="s">
        <v>107</v>
      </c>
      <c r="H36" s="22"/>
      <c r="L36" s="119"/>
    </row>
    <row r="37" spans="1:12">
      <c r="L37" s="119"/>
    </row>
    <row r="38" spans="1:12">
      <c r="L38" s="119"/>
    </row>
    <row r="39" spans="1:12">
      <c r="L39" s="119"/>
    </row>
    <row r="40" spans="1:12">
      <c r="A40" s="44" t="s">
        <v>108</v>
      </c>
      <c r="B40" s="54" t="s">
        <v>109</v>
      </c>
      <c r="C40" s="54"/>
      <c r="D40" s="54"/>
      <c r="E40" s="54"/>
      <c r="F40" s="54"/>
      <c r="G40" s="55"/>
      <c r="H40" s="54" t="s">
        <v>117</v>
      </c>
      <c r="I40" s="54"/>
      <c r="J40" s="54"/>
      <c r="K40" s="54"/>
      <c r="L40" s="54"/>
    </row>
    <row r="41" spans="1:12">
      <c r="A41" s="56" t="s">
        <v>111</v>
      </c>
      <c r="B41" s="57" t="s">
        <v>112</v>
      </c>
      <c r="C41" s="57"/>
      <c r="D41" s="57"/>
      <c r="E41" s="57"/>
      <c r="F41" s="57"/>
      <c r="G41" s="22"/>
      <c r="H41" s="57" t="s">
        <v>111</v>
      </c>
      <c r="I41" s="57"/>
      <c r="J41" s="57"/>
      <c r="K41" s="57"/>
      <c r="L41" s="57"/>
    </row>
    <row r="42" spans="1:12">
      <c r="L42" s="11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40:F40"/>
    <mergeCell ref="H40:L40"/>
    <mergeCell ref="B41:F41"/>
    <mergeCell ref="H41:L41"/>
    <mergeCell ref="C10:D10"/>
    <mergeCell ref="E10:F10"/>
    <mergeCell ref="G10:H10"/>
    <mergeCell ref="K10:L10"/>
    <mergeCell ref="A1:L1"/>
    <mergeCell ref="A2:L2"/>
    <mergeCell ref="C8:D8"/>
    <mergeCell ref="E8:J8"/>
    <mergeCell ref="K8:L8"/>
    <mergeCell ref="C9:D9"/>
    <mergeCell ref="E9:F9"/>
    <mergeCell ref="G9:H9"/>
    <mergeCell ref="I9:J10"/>
    <mergeCell ref="K9:L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0"/>
  <sheetViews>
    <sheetView tabSelected="0" workbookViewId="0" showGridLines="true" showRowColHeaders="1">
      <selection activeCell="D43" sqref="D43"/>
    </sheetView>
  </sheetViews>
  <sheetFormatPr defaultRowHeight="14.4" outlineLevelRow="0" outlineLevelCol="0"/>
  <cols>
    <col min="1" max="1" width="54.42578125" customWidth="true" style="0"/>
    <col min="2" max="2" width="13.28515625" customWidth="true" style="0"/>
    <col min="3" max="3" width="2.140625" customWidth="true" style="0"/>
    <col min="4" max="4" width="11.28515625" customWidth="true" style="0"/>
    <col min="5" max="5" width="2.7109375" customWidth="true" style="0"/>
    <col min="6" max="6" width="11.7109375" customWidth="true" style="0"/>
    <col min="7" max="7" width="2.7109375" customWidth="true" style="0"/>
    <col min="8" max="8" width="13.140625" customWidth="true" style="0"/>
    <col min="9" max="9" width="2.28515625" customWidth="true" style="0"/>
    <col min="10" max="10" width="11.5703125" customWidth="true" style="0"/>
    <col min="11" max="11" width="2.140625" customWidth="true" style="0"/>
    <col min="12" max="12" width="11.5703125" customWidth="true" style="119"/>
  </cols>
  <sheetData>
    <row r="1" spans="1:12" customHeight="1" ht="15.7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118"/>
    </row>
    <row r="4" spans="1:12">
      <c r="A4" s="4" t="s">
        <v>2</v>
      </c>
      <c r="D4" t="s">
        <v>113</v>
      </c>
    </row>
    <row r="5" spans="1:12">
      <c r="A5" s="4" t="s">
        <v>4</v>
      </c>
      <c r="D5" s="4" t="s">
        <v>292</v>
      </c>
    </row>
    <row r="6" spans="1:12">
      <c r="A6" s="4" t="s">
        <v>6</v>
      </c>
      <c r="F6" s="4"/>
    </row>
    <row r="7" spans="1:12" customHeight="1" ht="15.75"/>
    <row r="8" spans="1:12">
      <c r="A8" s="5"/>
      <c r="B8" s="6"/>
      <c r="C8" s="7" t="s">
        <v>7</v>
      </c>
      <c r="D8" s="7"/>
      <c r="E8" s="8" t="s">
        <v>8</v>
      </c>
      <c r="F8" s="8"/>
      <c r="G8" s="8"/>
      <c r="H8" s="8"/>
      <c r="I8" s="8"/>
      <c r="J8" s="8"/>
      <c r="K8" s="7" t="s">
        <v>9</v>
      </c>
      <c r="L8" s="9"/>
    </row>
    <row r="9" spans="1:12">
      <c r="A9" s="10" t="s">
        <v>10</v>
      </c>
      <c r="B9" s="11" t="s">
        <v>11</v>
      </c>
      <c r="C9" s="12">
        <v>2021</v>
      </c>
      <c r="D9" s="12"/>
      <c r="E9" s="12" t="s">
        <v>12</v>
      </c>
      <c r="F9" s="12"/>
      <c r="G9" s="12" t="s">
        <v>13</v>
      </c>
      <c r="H9" s="12"/>
      <c r="I9" s="13" t="s">
        <v>14</v>
      </c>
      <c r="J9" s="13"/>
      <c r="K9" s="12">
        <v>2023</v>
      </c>
      <c r="L9" s="14"/>
    </row>
    <row r="10" spans="1:12" customHeight="1" ht="15.75">
      <c r="A10" s="15"/>
      <c r="B10" s="16"/>
      <c r="C10" s="17" t="s">
        <v>15</v>
      </c>
      <c r="D10" s="17"/>
      <c r="E10" s="17" t="s">
        <v>15</v>
      </c>
      <c r="F10" s="17"/>
      <c r="G10" s="17" t="s">
        <v>16</v>
      </c>
      <c r="H10" s="17"/>
      <c r="I10" s="18"/>
      <c r="J10" s="18"/>
      <c r="K10" s="17" t="s">
        <v>17</v>
      </c>
      <c r="L10" s="19"/>
    </row>
    <row r="11" spans="1:12">
      <c r="A11" s="20" t="s">
        <v>18</v>
      </c>
      <c r="B11" s="21"/>
      <c r="C11" s="22"/>
      <c r="D11" s="23"/>
      <c r="E11" s="22"/>
      <c r="F11" s="23"/>
      <c r="G11" s="22"/>
      <c r="H11" s="23"/>
      <c r="I11" s="22"/>
      <c r="J11" s="23"/>
      <c r="K11" s="22"/>
      <c r="L11" s="24"/>
    </row>
    <row r="12" spans="1:12">
      <c r="A12" s="25" t="s">
        <v>19</v>
      </c>
      <c r="B12" s="21" t="s">
        <v>20</v>
      </c>
      <c r="C12" s="22" t="s">
        <v>21</v>
      </c>
      <c r="D12" s="30">
        <v>0</v>
      </c>
      <c r="E12" s="22" t="s">
        <v>21</v>
      </c>
      <c r="F12" s="30">
        <v>203256</v>
      </c>
      <c r="G12" s="22" t="s">
        <v>21</v>
      </c>
      <c r="H12" s="30">
        <f>J12-F12</f>
        <v>283257.68</v>
      </c>
      <c r="I12" s="22" t="s">
        <v>21</v>
      </c>
      <c r="J12" s="30">
        <v>486513.68</v>
      </c>
      <c r="K12" s="22" t="s">
        <v>21</v>
      </c>
      <c r="L12" s="31">
        <v>533476.94</v>
      </c>
    </row>
    <row r="13" spans="1:12">
      <c r="A13" s="29" t="s">
        <v>22</v>
      </c>
      <c r="B13" s="21"/>
      <c r="C13" s="22"/>
      <c r="D13" s="30"/>
      <c r="E13" s="22"/>
      <c r="F13" s="30"/>
      <c r="G13" s="22"/>
      <c r="H13" s="30"/>
      <c r="I13" s="22"/>
      <c r="J13" s="30"/>
      <c r="K13" s="22"/>
      <c r="L13" s="31"/>
    </row>
    <row r="14" spans="1:12">
      <c r="A14" s="25" t="s">
        <v>23</v>
      </c>
      <c r="B14" s="21" t="s">
        <v>24</v>
      </c>
      <c r="C14" s="22"/>
      <c r="D14" s="26">
        <v>0</v>
      </c>
      <c r="E14" s="22"/>
      <c r="F14" s="26">
        <v>38000</v>
      </c>
      <c r="G14" s="22"/>
      <c r="H14" s="30">
        <f>J14-F14</f>
        <v>53032.26</v>
      </c>
      <c r="I14" s="22"/>
      <c r="J14" s="30">
        <v>91032.26</v>
      </c>
      <c r="K14" s="22"/>
      <c r="L14" s="31">
        <v>96000</v>
      </c>
    </row>
    <row r="15" spans="1:12">
      <c r="A15" s="25" t="s">
        <v>29</v>
      </c>
      <c r="B15" s="21" t="s">
        <v>30</v>
      </c>
      <c r="C15" s="22"/>
      <c r="D15" s="32">
        <v>0</v>
      </c>
      <c r="E15" s="22"/>
      <c r="F15" s="32">
        <v>18000</v>
      </c>
      <c r="G15" s="22"/>
      <c r="H15" s="32">
        <f>J15-F15</f>
        <v>6000</v>
      </c>
      <c r="I15" s="22"/>
      <c r="J15" s="32">
        <v>24000</v>
      </c>
      <c r="K15" s="22"/>
      <c r="L15" s="33">
        <v>24000</v>
      </c>
    </row>
    <row r="16" spans="1:12">
      <c r="A16" s="25" t="s">
        <v>31</v>
      </c>
      <c r="B16" s="21" t="s">
        <v>32</v>
      </c>
      <c r="C16" s="22"/>
      <c r="D16" s="32">
        <v>0</v>
      </c>
      <c r="E16" s="22"/>
      <c r="F16" s="32">
        <v>0</v>
      </c>
      <c r="G16" s="22"/>
      <c r="H16" s="32">
        <f>J16-F16</f>
        <v>20000</v>
      </c>
      <c r="I16" s="22"/>
      <c r="J16" s="32">
        <v>20000</v>
      </c>
      <c r="K16" s="22"/>
      <c r="L16" s="33">
        <v>20000</v>
      </c>
    </row>
    <row r="17" spans="1:12">
      <c r="A17" s="25" t="s">
        <v>33</v>
      </c>
      <c r="B17" s="21" t="s">
        <v>34</v>
      </c>
      <c r="C17" s="22"/>
      <c r="D17" s="32"/>
      <c r="E17" s="22"/>
      <c r="F17" s="32">
        <v>0</v>
      </c>
      <c r="G17" s="22"/>
      <c r="H17" s="32">
        <f>J17-F17</f>
        <v>10000</v>
      </c>
      <c r="I17" s="22"/>
      <c r="J17" s="32">
        <v>10000</v>
      </c>
      <c r="K17" s="22"/>
      <c r="L17" s="33">
        <v>40000</v>
      </c>
    </row>
    <row r="18" spans="1:12">
      <c r="A18" s="25" t="s">
        <v>35</v>
      </c>
      <c r="B18" s="21" t="s">
        <v>36</v>
      </c>
      <c r="C18" s="22"/>
      <c r="D18" s="32">
        <v>0</v>
      </c>
      <c r="E18" s="22"/>
      <c r="F18" s="32">
        <v>0</v>
      </c>
      <c r="G18" s="22"/>
      <c r="H18" s="32">
        <f>J18-F18</f>
        <v>42746</v>
      </c>
      <c r="I18" s="22"/>
      <c r="J18" s="32">
        <v>42746</v>
      </c>
      <c r="K18" s="22"/>
      <c r="L18" s="33">
        <v>44495</v>
      </c>
    </row>
    <row r="19" spans="1:12">
      <c r="A19" s="25" t="s">
        <v>37</v>
      </c>
      <c r="B19" s="21" t="s">
        <v>38</v>
      </c>
      <c r="C19" s="22"/>
      <c r="D19" s="32">
        <v>0</v>
      </c>
      <c r="E19" s="22"/>
      <c r="F19" s="32">
        <v>0</v>
      </c>
      <c r="G19" s="22"/>
      <c r="H19" s="32">
        <f>J19-F19</f>
        <v>20000</v>
      </c>
      <c r="I19" s="22"/>
      <c r="J19" s="32">
        <v>20000</v>
      </c>
      <c r="K19" s="22"/>
      <c r="L19" s="33">
        <v>20000</v>
      </c>
    </row>
    <row r="20" spans="1:12">
      <c r="A20" s="25" t="s">
        <v>39</v>
      </c>
      <c r="B20" s="21" t="s">
        <v>40</v>
      </c>
      <c r="C20" s="22"/>
      <c r="D20" s="32">
        <v>0</v>
      </c>
      <c r="E20" s="22"/>
      <c r="F20" s="32">
        <v>32102</v>
      </c>
      <c r="G20" s="22"/>
      <c r="H20" s="32">
        <f>J20-F20</f>
        <v>0</v>
      </c>
      <c r="I20" s="22"/>
      <c r="J20" s="32">
        <v>32102</v>
      </c>
      <c r="K20" s="22"/>
      <c r="L20" s="33">
        <v>44403</v>
      </c>
    </row>
    <row r="21" spans="1:12">
      <c r="A21" s="29" t="s">
        <v>41</v>
      </c>
      <c r="B21" s="21"/>
      <c r="C21" s="22"/>
      <c r="D21" s="30"/>
      <c r="E21" s="22"/>
      <c r="F21" s="30"/>
      <c r="G21" s="22"/>
      <c r="H21" s="30"/>
      <c r="I21" s="22"/>
      <c r="J21" s="30"/>
      <c r="K21" s="22"/>
      <c r="L21" s="31"/>
    </row>
    <row r="22" spans="1:12">
      <c r="A22" s="25" t="s">
        <v>42</v>
      </c>
      <c r="B22" s="21" t="s">
        <v>43</v>
      </c>
      <c r="C22" s="22"/>
      <c r="D22" s="26">
        <v>0</v>
      </c>
      <c r="E22" s="22"/>
      <c r="F22" s="26">
        <v>24390.72</v>
      </c>
      <c r="G22" s="22"/>
      <c r="H22" s="30">
        <f>J22-F22</f>
        <v>33990.92</v>
      </c>
      <c r="I22" s="22"/>
      <c r="J22" s="30">
        <v>58381.64</v>
      </c>
      <c r="K22" s="22"/>
      <c r="L22" s="31">
        <v>64017.23</v>
      </c>
    </row>
    <row r="23" spans="1:12">
      <c r="A23" s="25" t="s">
        <v>44</v>
      </c>
      <c r="B23" s="21" t="s">
        <v>45</v>
      </c>
      <c r="C23" s="22"/>
      <c r="D23" s="32">
        <v>0</v>
      </c>
      <c r="E23" s="22"/>
      <c r="F23" s="32">
        <v>1900</v>
      </c>
      <c r="G23" s="22"/>
      <c r="H23" s="32">
        <f>J23-F23</f>
        <v>2651.61</v>
      </c>
      <c r="I23" s="22"/>
      <c r="J23" s="32">
        <v>4551.61</v>
      </c>
      <c r="K23" s="22"/>
      <c r="L23" s="33">
        <v>4800</v>
      </c>
    </row>
    <row r="24" spans="1:12">
      <c r="A24" s="25" t="s">
        <v>46</v>
      </c>
      <c r="B24" s="21" t="s">
        <v>47</v>
      </c>
      <c r="C24" s="22"/>
      <c r="D24" s="32">
        <v>0</v>
      </c>
      <c r="E24" s="22"/>
      <c r="F24" s="32">
        <v>3263.2</v>
      </c>
      <c r="G24" s="22"/>
      <c r="H24" s="32">
        <f>J24-F24</f>
        <v>4034.51</v>
      </c>
      <c r="I24" s="22"/>
      <c r="J24" s="32">
        <v>7297.71</v>
      </c>
      <c r="K24" s="22"/>
      <c r="L24" s="33">
        <v>12003.23</v>
      </c>
    </row>
    <row r="25" spans="1:12">
      <c r="A25" s="25" t="s">
        <v>48</v>
      </c>
      <c r="B25" s="21" t="s">
        <v>49</v>
      </c>
      <c r="C25" s="22"/>
      <c r="D25" s="32">
        <v>0</v>
      </c>
      <c r="E25" s="22"/>
      <c r="F25" s="32">
        <v>1900</v>
      </c>
      <c r="G25" s="22"/>
      <c r="H25" s="32">
        <f>J25-F25</f>
        <v>2651.61</v>
      </c>
      <c r="I25" s="22"/>
      <c r="J25" s="32">
        <v>4551.61</v>
      </c>
      <c r="K25" s="22"/>
      <c r="L25" s="33">
        <v>4800</v>
      </c>
    </row>
    <row r="26" spans="1:12">
      <c r="A26" s="29" t="s">
        <v>50</v>
      </c>
      <c r="B26" s="21"/>
      <c r="C26" s="27"/>
      <c r="D26" s="30"/>
      <c r="E26" s="22"/>
      <c r="F26" s="30"/>
      <c r="G26" s="22"/>
      <c r="H26" s="30"/>
      <c r="I26" s="22"/>
      <c r="J26" s="30"/>
      <c r="K26" s="22"/>
      <c r="L26" s="31"/>
    </row>
    <row r="27" spans="1:12">
      <c r="A27" s="25" t="s">
        <v>51</v>
      </c>
      <c r="B27" s="21" t="s">
        <v>52</v>
      </c>
      <c r="C27" s="22"/>
      <c r="D27" s="26">
        <v>0</v>
      </c>
      <c r="E27" s="22"/>
      <c r="F27" s="26">
        <v>0</v>
      </c>
      <c r="G27" s="22"/>
      <c r="H27" s="30">
        <f>J27-F27</f>
        <v>0</v>
      </c>
      <c r="I27" s="22"/>
      <c r="J27" s="26">
        <v>0</v>
      </c>
      <c r="K27" s="22"/>
      <c r="L27" s="28">
        <v>0</v>
      </c>
    </row>
    <row r="28" spans="1:12">
      <c r="A28" s="25" t="s">
        <v>53</v>
      </c>
      <c r="B28" s="21" t="s">
        <v>54</v>
      </c>
      <c r="C28" s="22"/>
      <c r="D28" s="32">
        <v>0</v>
      </c>
      <c r="E28" s="22"/>
      <c r="F28" s="32">
        <v>0</v>
      </c>
      <c r="G28" s="22"/>
      <c r="H28" s="32">
        <f>J28-F28</f>
        <v>35000</v>
      </c>
      <c r="I28" s="22"/>
      <c r="J28" s="32">
        <v>35000</v>
      </c>
      <c r="K28" s="22"/>
      <c r="L28" s="33">
        <v>0</v>
      </c>
    </row>
    <row r="29" spans="1:12">
      <c r="A29" s="29" t="s">
        <v>55</v>
      </c>
      <c r="B29" s="45"/>
      <c r="C29" s="58" t="s">
        <v>21</v>
      </c>
      <c r="D29" s="59">
        <f>SUM(D12:D28)</f>
        <v>0</v>
      </c>
      <c r="E29" s="60" t="s">
        <v>21</v>
      </c>
      <c r="F29" s="59">
        <f>SUM(F12:F28)</f>
        <v>322811.92</v>
      </c>
      <c r="G29" s="60" t="s">
        <v>21</v>
      </c>
      <c r="H29" s="59">
        <f>SUM(H12:H28)</f>
        <v>513364.59</v>
      </c>
      <c r="I29" s="60" t="s">
        <v>21</v>
      </c>
      <c r="J29" s="59">
        <f>SUM(J12:J28)</f>
        <v>836176.51</v>
      </c>
      <c r="K29" s="60" t="s">
        <v>21</v>
      </c>
      <c r="L29" s="61">
        <f>SUM(L12:L28)</f>
        <v>907995.4</v>
      </c>
    </row>
    <row r="30" spans="1:12">
      <c r="A30" s="74" t="s">
        <v>56</v>
      </c>
      <c r="B30" s="75"/>
      <c r="C30" s="76"/>
      <c r="D30" s="77"/>
      <c r="E30" s="76"/>
      <c r="F30" s="77"/>
      <c r="G30" s="76"/>
      <c r="H30" s="77"/>
      <c r="I30" s="76"/>
      <c r="J30" s="77"/>
      <c r="K30" s="76"/>
      <c r="L30" s="78"/>
    </row>
    <row r="31" spans="1:12">
      <c r="A31" s="25" t="s">
        <v>79</v>
      </c>
      <c r="B31" s="21" t="s">
        <v>80</v>
      </c>
      <c r="C31" s="22" t="s">
        <v>21</v>
      </c>
      <c r="D31" s="26">
        <v>695000</v>
      </c>
      <c r="E31" s="22" t="s">
        <v>21</v>
      </c>
      <c r="F31" s="26">
        <v>315244</v>
      </c>
      <c r="G31" s="22" t="s">
        <v>21</v>
      </c>
      <c r="H31" s="26">
        <f>J31-F31</f>
        <v>384756</v>
      </c>
      <c r="I31" s="22" t="s">
        <v>21</v>
      </c>
      <c r="J31" s="26">
        <v>700000</v>
      </c>
      <c r="K31" s="22" t="s">
        <v>21</v>
      </c>
      <c r="L31" s="28">
        <v>750000</v>
      </c>
    </row>
    <row r="32" spans="1:12" customHeight="1" ht="15.75">
      <c r="A32" s="25" t="s">
        <v>91</v>
      </c>
      <c r="B32" s="21" t="s">
        <v>92</v>
      </c>
      <c r="C32" s="22" t="s">
        <v>21</v>
      </c>
      <c r="D32" s="35">
        <v>133628</v>
      </c>
      <c r="E32" s="22" t="s">
        <v>21</v>
      </c>
      <c r="F32" s="35">
        <v>12000</v>
      </c>
      <c r="G32" s="22" t="s">
        <v>21</v>
      </c>
      <c r="H32" s="35">
        <f>J32-F32</f>
        <v>206007.48</v>
      </c>
      <c r="I32" s="22" t="s">
        <v>21</v>
      </c>
      <c r="J32" s="35">
        <v>218007.48</v>
      </c>
      <c r="K32" s="22" t="s">
        <v>21</v>
      </c>
      <c r="L32" s="46">
        <v>242004.6</v>
      </c>
    </row>
    <row r="33" spans="1:12" customHeight="1" ht="15.75">
      <c r="A33" s="29" t="s">
        <v>93</v>
      </c>
      <c r="B33" s="45"/>
      <c r="C33" s="48" t="s">
        <v>21</v>
      </c>
      <c r="D33" s="41">
        <f>SUM(D31:D32)</f>
        <v>828628</v>
      </c>
      <c r="E33" s="48" t="s">
        <v>21</v>
      </c>
      <c r="F33" s="41">
        <f>SUM(F31:F32)</f>
        <v>327244</v>
      </c>
      <c r="G33" s="48" t="s">
        <v>21</v>
      </c>
      <c r="H33" s="41">
        <f>SUM(H31:H32)</f>
        <v>590763.48</v>
      </c>
      <c r="I33" s="48" t="s">
        <v>21</v>
      </c>
      <c r="J33" s="41">
        <f>SUM(J31:J32)</f>
        <v>918007.48</v>
      </c>
      <c r="K33" s="48" t="s">
        <v>21</v>
      </c>
      <c r="L33" s="43">
        <f>SUM(L31:L32)</f>
        <v>992004.6</v>
      </c>
    </row>
    <row r="34" spans="1:12" customHeight="1" ht="15.75">
      <c r="A34" s="49" t="s">
        <v>104</v>
      </c>
      <c r="B34" s="50"/>
      <c r="C34" s="51" t="s">
        <v>21</v>
      </c>
      <c r="D34" s="52">
        <f>D33</f>
        <v>828628</v>
      </c>
      <c r="E34" s="53" t="s">
        <v>21</v>
      </c>
      <c r="F34" s="52">
        <f>F29+F33</f>
        <v>650055.92</v>
      </c>
      <c r="G34" s="53" t="s">
        <v>21</v>
      </c>
      <c r="H34" s="52">
        <f>H29+H33</f>
        <v>1104128.07</v>
      </c>
      <c r="I34" s="53" t="s">
        <v>21</v>
      </c>
      <c r="J34" s="52">
        <f>J29+J33</f>
        <v>1754183.99</v>
      </c>
      <c r="K34" s="53" t="s">
        <v>21</v>
      </c>
      <c r="L34" s="65">
        <f>L29+L33</f>
        <v>1900000</v>
      </c>
    </row>
    <row r="35" spans="1:12" customHeight="1" ht="15.75">
      <c r="A35" s="154"/>
      <c r="B35" s="154"/>
      <c r="C35" s="154"/>
      <c r="D35" s="154"/>
      <c r="E35" s="154"/>
      <c r="F35" s="154"/>
      <c r="G35" s="154"/>
      <c r="H35" s="154"/>
      <c r="I35" s="154"/>
      <c r="J35" s="154"/>
      <c r="K35" s="154"/>
      <c r="L35" s="154"/>
    </row>
    <row r="36" spans="1:12">
      <c r="A36" s="22" t="s">
        <v>105</v>
      </c>
      <c r="B36" s="22" t="s">
        <v>106</v>
      </c>
      <c r="C36" s="22"/>
      <c r="D36" s="22"/>
      <c r="E36" s="22"/>
      <c r="F36" s="22"/>
      <c r="G36" s="22" t="s">
        <v>107</v>
      </c>
      <c r="H36" s="22"/>
      <c r="L36" s="119"/>
    </row>
    <row r="37" spans="1:12">
      <c r="L37" s="119"/>
    </row>
    <row r="38" spans="1:12">
      <c r="L38" s="119"/>
    </row>
    <row r="39" spans="1:12">
      <c r="A39" s="44" t="s">
        <v>108</v>
      </c>
      <c r="B39" s="54" t="s">
        <v>109</v>
      </c>
      <c r="C39" s="54"/>
      <c r="D39" s="54"/>
      <c r="E39" s="54"/>
      <c r="F39" s="54"/>
      <c r="G39" s="55"/>
      <c r="H39" s="54" t="s">
        <v>117</v>
      </c>
      <c r="I39" s="54"/>
      <c r="J39" s="54"/>
      <c r="K39" s="54"/>
      <c r="L39" s="54"/>
    </row>
    <row r="40" spans="1:12">
      <c r="A40" s="56" t="s">
        <v>111</v>
      </c>
      <c r="B40" s="57" t="s">
        <v>112</v>
      </c>
      <c r="C40" s="57"/>
      <c r="D40" s="57"/>
      <c r="E40" s="57"/>
      <c r="F40" s="57"/>
      <c r="G40" s="22"/>
      <c r="H40" s="57" t="s">
        <v>111</v>
      </c>
      <c r="I40" s="57"/>
      <c r="J40" s="57"/>
      <c r="K40" s="57"/>
      <c r="L40" s="5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9:F39"/>
    <mergeCell ref="H39:L39"/>
    <mergeCell ref="B40:F40"/>
    <mergeCell ref="H40:L40"/>
    <mergeCell ref="C10:D10"/>
    <mergeCell ref="E10:F10"/>
    <mergeCell ref="G10:H10"/>
    <mergeCell ref="K10:L10"/>
    <mergeCell ref="A1:L1"/>
    <mergeCell ref="A2:L2"/>
    <mergeCell ref="C8:D8"/>
    <mergeCell ref="E8:J8"/>
    <mergeCell ref="K8:L8"/>
    <mergeCell ref="C9:D9"/>
    <mergeCell ref="E9:F9"/>
    <mergeCell ref="G9:H9"/>
    <mergeCell ref="I9:J10"/>
    <mergeCell ref="K9:L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90"/>
  <sheetViews>
    <sheetView tabSelected="0" workbookViewId="0" showGridLines="true" showRowColHeaders="1">
      <selection activeCell="H167" sqref="H167"/>
    </sheetView>
  </sheetViews>
  <sheetFormatPr defaultRowHeight="14.4" outlineLevelRow="0" outlineLevelCol="0"/>
  <cols>
    <col min="1" max="1" width="54.42578125" customWidth="true" style="0"/>
    <col min="2" max="2" width="13.28515625" customWidth="true" style="0"/>
    <col min="3" max="3" width="2.140625" customWidth="true" style="0"/>
    <col min="4" max="4" width="15" customWidth="true" style="0"/>
    <col min="5" max="5" width="2.7109375" customWidth="true" style="0"/>
    <col min="6" max="6" width="13.140625" customWidth="true" style="0"/>
    <col min="7" max="7" width="2.7109375" customWidth="true" style="0"/>
    <col min="8" max="8" width="13.140625" customWidth="true" style="0"/>
    <col min="9" max="9" width="2.28515625" customWidth="true" style="0"/>
    <col min="10" max="10" width="14.28515625" customWidth="true" style="0"/>
    <col min="11" max="11" width="2.140625" customWidth="true" style="0"/>
    <col min="12" max="12" width="13.7109375" customWidth="true" style="119"/>
    <col min="14" max="14" width="13.85546875" customWidth="true" style="0"/>
  </cols>
  <sheetData>
    <row r="1" spans="1:14" customHeight="1" ht="15.7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4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118"/>
    </row>
    <row r="4" spans="1:14">
      <c r="A4" s="4" t="s">
        <v>2</v>
      </c>
      <c r="D4" t="s">
        <v>113</v>
      </c>
    </row>
    <row r="5" spans="1:14">
      <c r="A5" s="4" t="s">
        <v>4</v>
      </c>
      <c r="D5" s="4"/>
    </row>
    <row r="6" spans="1:14">
      <c r="A6" s="4" t="s">
        <v>6</v>
      </c>
      <c r="F6" s="4"/>
    </row>
    <row r="7" spans="1:14" customHeight="1" ht="15.75"/>
    <row r="8" spans="1:14">
      <c r="A8" s="5"/>
      <c r="B8" s="6"/>
      <c r="C8" s="89" t="s">
        <v>7</v>
      </c>
      <c r="D8" s="94"/>
      <c r="E8" s="91" t="s">
        <v>8</v>
      </c>
      <c r="F8" s="92"/>
      <c r="G8" s="92"/>
      <c r="H8" s="92"/>
      <c r="I8" s="92"/>
      <c r="J8" s="93"/>
      <c r="K8" s="89" t="s">
        <v>9</v>
      </c>
      <c r="L8" s="90"/>
    </row>
    <row r="9" spans="1:14">
      <c r="A9" s="10" t="s">
        <v>10</v>
      </c>
      <c r="B9" s="11" t="s">
        <v>11</v>
      </c>
      <c r="C9" s="80">
        <v>2021</v>
      </c>
      <c r="D9" s="88"/>
      <c r="E9" s="86" t="s">
        <v>12</v>
      </c>
      <c r="F9" s="87"/>
      <c r="G9" s="86" t="s">
        <v>13</v>
      </c>
      <c r="H9" s="87"/>
      <c r="I9" s="82" t="s">
        <v>14</v>
      </c>
      <c r="J9" s="83"/>
      <c r="K9" s="80">
        <v>2023</v>
      </c>
      <c r="L9" s="81"/>
    </row>
    <row r="10" spans="1:14" customHeight="1" ht="15.75">
      <c r="A10" s="15"/>
      <c r="B10" s="16"/>
      <c r="C10" s="95" t="s">
        <v>15</v>
      </c>
      <c r="D10" s="97"/>
      <c r="E10" s="95" t="s">
        <v>15</v>
      </c>
      <c r="F10" s="97"/>
      <c r="G10" s="95" t="s">
        <v>16</v>
      </c>
      <c r="H10" s="97"/>
      <c r="I10" s="84"/>
      <c r="J10" s="85"/>
      <c r="K10" s="95" t="s">
        <v>17</v>
      </c>
      <c r="L10" s="96"/>
    </row>
    <row r="11" spans="1:14" customHeight="1" ht="15.75">
      <c r="A11" s="155" t="s">
        <v>293</v>
      </c>
      <c r="B11" s="156"/>
      <c r="C11" s="157"/>
      <c r="D11" s="158"/>
      <c r="E11" s="159"/>
      <c r="F11" s="160"/>
      <c r="G11" s="159"/>
      <c r="H11" s="161"/>
      <c r="J11" s="162"/>
      <c r="L11" s="163"/>
    </row>
    <row r="12" spans="1:14">
      <c r="A12" s="155" t="s">
        <v>294</v>
      </c>
      <c r="B12" s="164"/>
      <c r="C12" s="159"/>
      <c r="D12" s="165"/>
      <c r="E12" s="159"/>
      <c r="F12" s="165"/>
      <c r="G12" s="159"/>
      <c r="H12" s="166"/>
      <c r="I12" s="167"/>
      <c r="J12" s="168" t="s">
        <v>134</v>
      </c>
      <c r="K12" s="167"/>
      <c r="L12" s="169"/>
    </row>
    <row r="13" spans="1:14">
      <c r="A13" s="170" t="s">
        <v>19</v>
      </c>
      <c r="B13" s="164" t="s">
        <v>20</v>
      </c>
      <c r="C13" s="167" t="s">
        <v>21</v>
      </c>
      <c r="D13" s="172">
        <v>27743992.23</v>
      </c>
      <c r="E13" s="167" t="s">
        <v>21</v>
      </c>
      <c r="F13" s="172">
        <v>14345146.26</v>
      </c>
      <c r="G13" s="167" t="s">
        <v>21</v>
      </c>
      <c r="H13" s="172">
        <f>J13-F13</f>
        <v>15484451.32</v>
      </c>
      <c r="I13" s="167" t="s">
        <v>21</v>
      </c>
      <c r="J13" s="172">
        <v>29829597.58</v>
      </c>
      <c r="K13" s="167" t="s">
        <v>21</v>
      </c>
      <c r="L13" s="173">
        <v>36472092.81</v>
      </c>
    </row>
    <row r="14" spans="1:14">
      <c r="A14" s="170" t="s">
        <v>23</v>
      </c>
      <c r="B14" s="164" t="s">
        <v>24</v>
      </c>
      <c r="C14" s="167"/>
      <c r="D14" s="172">
        <v>1354070.96</v>
      </c>
      <c r="E14" s="167"/>
      <c r="F14" s="168">
        <v>733122.12</v>
      </c>
      <c r="G14" s="167"/>
      <c r="H14" s="172">
        <f>J14-F14</f>
        <v>717411.21</v>
      </c>
      <c r="I14" s="167"/>
      <c r="J14" s="168">
        <v>1450533.33</v>
      </c>
      <c r="K14" s="167"/>
      <c r="L14" s="169">
        <v>2040000</v>
      </c>
    </row>
    <row r="15" spans="1:14">
      <c r="A15" s="170" t="s">
        <v>25</v>
      </c>
      <c r="B15" s="164" t="s">
        <v>26</v>
      </c>
      <c r="C15" s="167"/>
      <c r="D15" s="174">
        <v>1730806.45</v>
      </c>
      <c r="E15" s="167"/>
      <c r="F15" s="174">
        <v>872903.22</v>
      </c>
      <c r="G15" s="167"/>
      <c r="H15" s="172">
        <f>J15-F15</f>
        <v>903096.78</v>
      </c>
      <c r="I15" s="167"/>
      <c r="J15" s="174">
        <v>1776000</v>
      </c>
      <c r="K15" s="167"/>
      <c r="L15" s="175">
        <v>1752000</v>
      </c>
    </row>
    <row r="16" spans="1:14">
      <c r="A16" s="170" t="s">
        <v>27</v>
      </c>
      <c r="B16" s="164" t="s">
        <v>28</v>
      </c>
      <c r="C16" s="167"/>
      <c r="D16" s="174">
        <v>1730806.45</v>
      </c>
      <c r="E16" s="167"/>
      <c r="F16" s="174">
        <v>872903.22</v>
      </c>
      <c r="G16" s="167"/>
      <c r="H16" s="172">
        <f>J16-F16</f>
        <v>903096.78</v>
      </c>
      <c r="I16" s="167"/>
      <c r="J16" s="174">
        <v>1776000</v>
      </c>
      <c r="K16" s="167"/>
      <c r="L16" s="175">
        <v>1752000</v>
      </c>
    </row>
    <row r="17" spans="1:14">
      <c r="A17" s="170" t="s">
        <v>29</v>
      </c>
      <c r="B17" s="164" t="s">
        <v>30</v>
      </c>
      <c r="C17" s="167"/>
      <c r="D17" s="174">
        <v>336000</v>
      </c>
      <c r="E17" s="167"/>
      <c r="F17" s="174">
        <v>354000</v>
      </c>
      <c r="G17" s="167"/>
      <c r="H17" s="172">
        <f>J17-F17</f>
        <v>6000</v>
      </c>
      <c r="I17" s="167"/>
      <c r="J17" s="174">
        <v>360000</v>
      </c>
      <c r="K17" s="167"/>
      <c r="L17" s="175">
        <v>510000</v>
      </c>
    </row>
    <row r="18" spans="1:14">
      <c r="A18" s="170" t="s">
        <v>151</v>
      </c>
      <c r="B18" s="164" t="s">
        <v>152</v>
      </c>
      <c r="C18" s="167"/>
      <c r="D18" s="174">
        <v>181900</v>
      </c>
      <c r="E18" s="167"/>
      <c r="F18" s="174">
        <v>103370.97</v>
      </c>
      <c r="G18" s="167"/>
      <c r="H18" s="172">
        <f>J18-F18</f>
        <v>87529.03</v>
      </c>
      <c r="I18" s="167"/>
      <c r="J18" s="174">
        <v>190900</v>
      </c>
      <c r="K18" s="167"/>
      <c r="L18" s="175">
        <v>264000</v>
      </c>
    </row>
    <row r="19" spans="1:14">
      <c r="A19" s="170" t="s">
        <v>153</v>
      </c>
      <c r="B19" s="164" t="s">
        <v>154</v>
      </c>
      <c r="C19" s="167"/>
      <c r="D19" s="174">
        <v>16990</v>
      </c>
      <c r="E19" s="167"/>
      <c r="F19" s="174">
        <v>9788.71</v>
      </c>
      <c r="G19" s="167"/>
      <c r="H19" s="172">
        <f>J19-F19</f>
        <v>8101.29</v>
      </c>
      <c r="I19" s="167"/>
      <c r="J19" s="174">
        <v>17890</v>
      </c>
      <c r="K19" s="167"/>
      <c r="L19" s="175">
        <v>25200</v>
      </c>
    </row>
    <row r="20" spans="1:14">
      <c r="A20" s="170" t="s">
        <v>31</v>
      </c>
      <c r="B20" s="164" t="s">
        <v>32</v>
      </c>
      <c r="C20" s="167"/>
      <c r="D20" s="174">
        <v>273000</v>
      </c>
      <c r="E20" s="167"/>
      <c r="F20" s="174">
        <v>0</v>
      </c>
      <c r="G20" s="167"/>
      <c r="H20" s="172">
        <f>J20-F20</f>
        <v>305000</v>
      </c>
      <c r="I20" s="167"/>
      <c r="J20" s="174">
        <v>305000</v>
      </c>
      <c r="K20" s="167"/>
      <c r="L20" s="175">
        <v>425000</v>
      </c>
    </row>
    <row r="21" spans="1:14">
      <c r="A21" s="170" t="s">
        <v>295</v>
      </c>
      <c r="B21" s="164" t="s">
        <v>34</v>
      </c>
      <c r="C21" s="167"/>
      <c r="D21" s="174">
        <v>520000</v>
      </c>
      <c r="E21" s="167"/>
      <c r="F21" s="174">
        <v>0</v>
      </c>
      <c r="G21" s="167"/>
      <c r="H21" s="172">
        <f>J21-F21</f>
        <v>150000</v>
      </c>
      <c r="I21" s="167"/>
      <c r="J21" s="174">
        <v>150000</v>
      </c>
      <c r="K21" s="167"/>
      <c r="L21" s="175">
        <v>850000</v>
      </c>
    </row>
    <row r="22" spans="1:14">
      <c r="A22" s="170" t="s">
        <v>155</v>
      </c>
      <c r="B22" s="164" t="s">
        <v>156</v>
      </c>
      <c r="C22" s="167"/>
      <c r="D22" s="174">
        <v>227371.23</v>
      </c>
      <c r="E22" s="167"/>
      <c r="F22" s="174">
        <v>122847.05</v>
      </c>
      <c r="G22" s="167"/>
      <c r="H22" s="172">
        <f>J22-F22</f>
        <v>112860.13</v>
      </c>
      <c r="I22" s="167"/>
      <c r="J22" s="174">
        <v>235707.18</v>
      </c>
      <c r="K22" s="167"/>
      <c r="L22" s="175">
        <v>307832.78</v>
      </c>
    </row>
    <row r="23" spans="1:14">
      <c r="A23" s="170" t="s">
        <v>35</v>
      </c>
      <c r="B23" s="164" t="s">
        <v>36</v>
      </c>
      <c r="C23" s="167"/>
      <c r="D23" s="174">
        <v>2330983.9</v>
      </c>
      <c r="E23" s="167"/>
      <c r="F23" s="174">
        <v>0</v>
      </c>
      <c r="G23" s="167"/>
      <c r="H23" s="172">
        <f>J23-F23</f>
        <v>2583602.4</v>
      </c>
      <c r="I23" s="167"/>
      <c r="J23" s="174">
        <v>2583602.4</v>
      </c>
      <c r="K23" s="167"/>
      <c r="L23" s="175">
        <v>3039449</v>
      </c>
    </row>
    <row r="24" spans="1:14">
      <c r="A24" s="170" t="s">
        <v>37</v>
      </c>
      <c r="B24" s="164" t="s">
        <v>38</v>
      </c>
      <c r="C24" s="167"/>
      <c r="D24" s="174">
        <v>283500</v>
      </c>
      <c r="E24" s="167"/>
      <c r="F24" s="174">
        <v>0</v>
      </c>
      <c r="G24" s="167"/>
      <c r="H24" s="172">
        <f>J24-F24</f>
        <v>311500</v>
      </c>
      <c r="I24" s="167"/>
      <c r="J24" s="174">
        <v>311500</v>
      </c>
      <c r="K24" s="167"/>
      <c r="L24" s="175">
        <v>425000</v>
      </c>
    </row>
    <row r="25" spans="1:14">
      <c r="A25" s="170" t="s">
        <v>39</v>
      </c>
      <c r="B25" s="164" t="s">
        <v>40</v>
      </c>
      <c r="C25" s="167"/>
      <c r="D25" s="174">
        <v>2358248</v>
      </c>
      <c r="E25" s="167"/>
      <c r="F25" s="174">
        <v>2291702</v>
      </c>
      <c r="G25" s="167"/>
      <c r="H25" s="172">
        <f>J25-F25</f>
        <v>170796</v>
      </c>
      <c r="I25" s="167"/>
      <c r="J25" s="174">
        <v>2462498</v>
      </c>
      <c r="K25" s="167"/>
      <c r="L25" s="175">
        <v>3039270</v>
      </c>
    </row>
    <row r="26" spans="1:14">
      <c r="A26" s="170" t="s">
        <v>42</v>
      </c>
      <c r="B26" s="164" t="s">
        <v>43</v>
      </c>
      <c r="C26" s="167"/>
      <c r="D26" s="168">
        <v>3329279.06</v>
      </c>
      <c r="E26" s="167"/>
      <c r="F26" s="168">
        <v>1718849.56</v>
      </c>
      <c r="G26" s="167"/>
      <c r="H26" s="172">
        <f>J26-F26</f>
        <v>1860702.15</v>
      </c>
      <c r="I26" s="167"/>
      <c r="J26" s="168">
        <v>3579551.71</v>
      </c>
      <c r="K26" s="167"/>
      <c r="L26" s="169">
        <v>4376651.14</v>
      </c>
    </row>
    <row r="27" spans="1:14">
      <c r="A27" s="170" t="s">
        <v>44</v>
      </c>
      <c r="B27" s="164" t="s">
        <v>45</v>
      </c>
      <c r="C27" s="167"/>
      <c r="D27" s="174">
        <v>67800</v>
      </c>
      <c r="E27" s="167"/>
      <c r="F27" s="174">
        <v>36400</v>
      </c>
      <c r="G27" s="167"/>
      <c r="H27" s="172">
        <f>J27-F27</f>
        <v>36200</v>
      </c>
      <c r="I27" s="167"/>
      <c r="J27" s="174">
        <v>72600</v>
      </c>
      <c r="K27" s="167"/>
      <c r="L27" s="175">
        <v>102000</v>
      </c>
    </row>
    <row r="28" spans="1:14">
      <c r="A28" s="170" t="s">
        <v>46</v>
      </c>
      <c r="B28" s="164" t="s">
        <v>47</v>
      </c>
      <c r="C28" s="167"/>
      <c r="D28" s="174">
        <v>354713.07</v>
      </c>
      <c r="E28" s="167"/>
      <c r="F28" s="174">
        <v>200952.83</v>
      </c>
      <c r="G28" s="167"/>
      <c r="H28" s="172">
        <f>J28-F28</f>
        <v>293157.82</v>
      </c>
      <c r="I28" s="167"/>
      <c r="J28" s="174">
        <v>494110.65</v>
      </c>
      <c r="K28" s="167"/>
      <c r="L28" s="175">
        <v>816578.28</v>
      </c>
    </row>
    <row r="29" spans="1:14">
      <c r="A29" s="170" t="s">
        <v>48</v>
      </c>
      <c r="B29" s="164" t="s">
        <v>49</v>
      </c>
      <c r="C29" s="167"/>
      <c r="D29" s="174">
        <v>67790.87</v>
      </c>
      <c r="E29" s="167"/>
      <c r="F29" s="174">
        <v>36852.65</v>
      </c>
      <c r="G29" s="167"/>
      <c r="H29" s="172">
        <f>J29-F29</f>
        <v>35641.87</v>
      </c>
      <c r="I29" s="167"/>
      <c r="J29" s="174">
        <v>72494.52</v>
      </c>
      <c r="K29" s="167"/>
      <c r="L29" s="175">
        <v>102000</v>
      </c>
    </row>
    <row r="30" spans="1:14">
      <c r="A30" s="170" t="s">
        <v>296</v>
      </c>
      <c r="B30" s="164" t="s">
        <v>52</v>
      </c>
      <c r="C30" s="167"/>
      <c r="D30" s="172">
        <v>5120979.29</v>
      </c>
      <c r="E30" s="167"/>
      <c r="F30" s="172">
        <v>2970740.42</v>
      </c>
      <c r="G30" s="167"/>
      <c r="H30" s="172">
        <f>J30-F30</f>
        <v>2637808.97</v>
      </c>
      <c r="I30" s="167"/>
      <c r="J30" s="172">
        <v>5608549.39</v>
      </c>
      <c r="K30" s="167"/>
      <c r="L30" s="173">
        <v>154662.72</v>
      </c>
    </row>
    <row r="31" spans="1:14" customHeight="1" ht="15.75">
      <c r="A31" s="170" t="s">
        <v>297</v>
      </c>
      <c r="B31" s="164" t="s">
        <v>54</v>
      </c>
      <c r="C31" s="167"/>
      <c r="D31" s="176">
        <v>70000</v>
      </c>
      <c r="E31" s="167"/>
      <c r="F31" s="176">
        <v>0</v>
      </c>
      <c r="G31" s="167"/>
      <c r="H31" s="176">
        <f>J31-F31</f>
        <v>60000</v>
      </c>
      <c r="I31" s="167"/>
      <c r="J31" s="176">
        <v>60000</v>
      </c>
      <c r="K31" s="167"/>
      <c r="L31" s="177">
        <v>0</v>
      </c>
    </row>
    <row r="32" spans="1:14" customHeight="1" ht="15.75">
      <c r="A32" s="178" t="s">
        <v>55</v>
      </c>
      <c r="B32" s="179"/>
      <c r="C32" s="180" t="s">
        <v>21</v>
      </c>
      <c r="D32" s="181">
        <f>SUM(D13:D31)</f>
        <v>48098231.51</v>
      </c>
      <c r="E32" s="182" t="s">
        <v>21</v>
      </c>
      <c r="F32" s="181">
        <f>SUM(F13:F31)</f>
        <v>24669579.01</v>
      </c>
      <c r="G32" s="182" t="s">
        <v>21</v>
      </c>
      <c r="H32" s="181">
        <f>SUM(H13:H31)</f>
        <v>26666955.75</v>
      </c>
      <c r="I32" s="182" t="s">
        <v>21</v>
      </c>
      <c r="J32" s="181">
        <f>SUM(J13:J31)</f>
        <v>51336534.76</v>
      </c>
      <c r="K32" s="182" t="s">
        <v>21</v>
      </c>
      <c r="L32" s="183">
        <v>56453736.73</v>
      </c>
    </row>
    <row r="33" spans="1:14">
      <c r="A33" s="213" t="s">
        <v>298</v>
      </c>
      <c r="B33" s="171"/>
      <c r="C33" s="167"/>
      <c r="D33" s="214"/>
      <c r="E33" s="167"/>
      <c r="F33" s="214"/>
      <c r="G33" s="167"/>
      <c r="H33" s="214"/>
      <c r="I33" s="167"/>
      <c r="J33" s="214"/>
      <c r="K33" s="167"/>
      <c r="L33" s="215"/>
    </row>
    <row r="34" spans="1:14">
      <c r="A34" s="170" t="s">
        <v>57</v>
      </c>
      <c r="B34" s="164" t="s">
        <v>58</v>
      </c>
      <c r="C34" s="167" t="s">
        <v>21</v>
      </c>
      <c r="D34" s="168">
        <v>455803.94</v>
      </c>
      <c r="E34" s="167" t="s">
        <v>21</v>
      </c>
      <c r="F34" s="168">
        <v>1094368.52</v>
      </c>
      <c r="G34" s="167" t="s">
        <v>21</v>
      </c>
      <c r="H34" s="168">
        <f>J34-F34</f>
        <v>933631.48</v>
      </c>
      <c r="I34" s="167" t="s">
        <v>21</v>
      </c>
      <c r="J34" s="168">
        <v>2028000</v>
      </c>
      <c r="K34" s="167" t="s">
        <v>21</v>
      </c>
      <c r="L34" s="169">
        <v>2057800</v>
      </c>
    </row>
    <row r="35" spans="1:14">
      <c r="A35" s="170" t="s">
        <v>59</v>
      </c>
      <c r="B35" s="164" t="s">
        <v>60</v>
      </c>
      <c r="C35" s="167"/>
      <c r="D35" s="174">
        <v>0</v>
      </c>
      <c r="E35" s="167"/>
      <c r="F35" s="174">
        <v>211000</v>
      </c>
      <c r="G35" s="167"/>
      <c r="H35" s="174">
        <f>J35-F35</f>
        <v>11000</v>
      </c>
      <c r="I35" s="167"/>
      <c r="J35" s="174">
        <v>222000</v>
      </c>
      <c r="K35" s="167"/>
      <c r="L35" s="175">
        <v>342000</v>
      </c>
    </row>
    <row r="36" spans="1:14">
      <c r="A36" s="170" t="s">
        <v>61</v>
      </c>
      <c r="B36" s="164" t="s">
        <v>62</v>
      </c>
      <c r="C36" s="167"/>
      <c r="D36" s="174">
        <v>1640659.92</v>
      </c>
      <c r="E36" s="167"/>
      <c r="F36" s="174">
        <v>875865.75</v>
      </c>
      <c r="G36" s="167"/>
      <c r="H36" s="174">
        <f>J36-F36</f>
        <v>715134.25</v>
      </c>
      <c r="I36" s="167"/>
      <c r="J36" s="174">
        <v>1591000</v>
      </c>
      <c r="K36" s="167"/>
      <c r="L36" s="175">
        <v>1534394.23</v>
      </c>
    </row>
    <row r="37" spans="1:14">
      <c r="A37" s="170" t="s">
        <v>143</v>
      </c>
      <c r="B37" s="164" t="s">
        <v>144</v>
      </c>
      <c r="C37" s="167"/>
      <c r="D37" s="174">
        <v>69280</v>
      </c>
      <c r="E37" s="167"/>
      <c r="F37" s="174">
        <v>72230</v>
      </c>
      <c r="G37" s="167"/>
      <c r="H37" s="174">
        <f>J37-F37</f>
        <v>22770</v>
      </c>
      <c r="I37" s="167"/>
      <c r="J37" s="174">
        <v>95000</v>
      </c>
      <c r="K37" s="167"/>
      <c r="L37" s="175">
        <v>95000</v>
      </c>
    </row>
    <row r="38" spans="1:14">
      <c r="A38" s="170" t="s">
        <v>299</v>
      </c>
      <c r="B38" s="164" t="s">
        <v>159</v>
      </c>
      <c r="C38" s="167"/>
      <c r="D38" s="174">
        <v>496829</v>
      </c>
      <c r="E38" s="167"/>
      <c r="F38" s="174">
        <v>253500</v>
      </c>
      <c r="G38" s="167"/>
      <c r="H38" s="174">
        <f>J38-F38</f>
        <v>246500</v>
      </c>
      <c r="I38" s="167"/>
      <c r="J38" s="174">
        <v>500000</v>
      </c>
      <c r="K38" s="167"/>
      <c r="L38" s="175">
        <v>1700000</v>
      </c>
    </row>
    <row r="39" spans="1:14">
      <c r="A39" s="170" t="s">
        <v>63</v>
      </c>
      <c r="B39" s="164" t="s">
        <v>64</v>
      </c>
      <c r="C39" s="167"/>
      <c r="D39" s="174">
        <v>5483271.47</v>
      </c>
      <c r="E39" s="167"/>
      <c r="F39" s="174">
        <v>1738856.22</v>
      </c>
      <c r="G39" s="167"/>
      <c r="H39" s="174">
        <f>J39-F39</f>
        <v>1561557.25</v>
      </c>
      <c r="I39" s="167"/>
      <c r="J39" s="174">
        <v>3300413.47</v>
      </c>
      <c r="K39" s="167"/>
      <c r="L39" s="175">
        <v>2450000</v>
      </c>
    </row>
    <row r="40" spans="1:14">
      <c r="A40" s="170" t="s">
        <v>300</v>
      </c>
      <c r="B40" s="164" t="s">
        <v>301</v>
      </c>
      <c r="C40" s="167"/>
      <c r="D40" s="174">
        <v>209654</v>
      </c>
      <c r="E40" s="167"/>
      <c r="F40" s="174">
        <v>129616</v>
      </c>
      <c r="G40" s="167"/>
      <c r="H40" s="174">
        <f>J40-F40</f>
        <v>80384</v>
      </c>
      <c r="I40" s="167"/>
      <c r="J40" s="174">
        <v>210000</v>
      </c>
      <c r="K40" s="167"/>
      <c r="L40" s="175">
        <v>350000</v>
      </c>
    </row>
    <row r="41" spans="1:14">
      <c r="A41" s="170" t="s">
        <v>65</v>
      </c>
      <c r="B41" s="164" t="s">
        <v>66</v>
      </c>
      <c r="C41" s="167"/>
      <c r="D41" s="174">
        <v>581003.64</v>
      </c>
      <c r="E41" s="167"/>
      <c r="F41" s="174">
        <v>410464.36</v>
      </c>
      <c r="G41" s="167"/>
      <c r="H41" s="174">
        <f>J41-F41</f>
        <v>189535.64</v>
      </c>
      <c r="I41" s="167"/>
      <c r="J41" s="174">
        <v>600000</v>
      </c>
      <c r="K41" s="167"/>
      <c r="L41" s="175">
        <v>600000</v>
      </c>
    </row>
    <row r="42" spans="1:14">
      <c r="A42" s="170" t="s">
        <v>67</v>
      </c>
      <c r="B42" s="164" t="s">
        <v>68</v>
      </c>
      <c r="C42" s="167"/>
      <c r="D42" s="174">
        <v>2172499.7</v>
      </c>
      <c r="E42" s="167"/>
      <c r="F42" s="174">
        <v>1576238.77</v>
      </c>
      <c r="G42" s="167"/>
      <c r="H42" s="174">
        <f>J42-F42</f>
        <v>423761.23</v>
      </c>
      <c r="I42" s="167"/>
      <c r="J42" s="174">
        <v>2000000</v>
      </c>
      <c r="K42" s="167"/>
      <c r="L42" s="175">
        <v>2500000</v>
      </c>
    </row>
    <row r="43" spans="1:14">
      <c r="A43" s="170" t="s">
        <v>69</v>
      </c>
      <c r="B43" s="164" t="s">
        <v>70</v>
      </c>
      <c r="C43" s="167"/>
      <c r="D43" s="174">
        <v>4166</v>
      </c>
      <c r="E43" s="167"/>
      <c r="F43" s="174">
        <v>960</v>
      </c>
      <c r="G43" s="167"/>
      <c r="H43" s="174">
        <f>J43-F43</f>
        <v>14540</v>
      </c>
      <c r="I43" s="167"/>
      <c r="J43" s="174">
        <v>15500</v>
      </c>
      <c r="K43" s="167"/>
      <c r="L43" s="175">
        <v>16000</v>
      </c>
    </row>
    <row r="44" spans="1:14">
      <c r="A44" s="170" t="s">
        <v>71</v>
      </c>
      <c r="B44" s="164" t="s">
        <v>72</v>
      </c>
      <c r="C44" s="167"/>
      <c r="D44" s="174">
        <v>1553697.43</v>
      </c>
      <c r="E44" s="167"/>
      <c r="F44" s="174">
        <v>787701.56</v>
      </c>
      <c r="G44" s="167"/>
      <c r="H44" s="174">
        <f>J44-F44</f>
        <v>870298.44</v>
      </c>
      <c r="I44" s="167"/>
      <c r="J44" s="174">
        <v>1658000</v>
      </c>
      <c r="K44" s="167"/>
      <c r="L44" s="175">
        <v>1656000</v>
      </c>
    </row>
    <row r="45" spans="1:14">
      <c r="A45" s="170" t="s">
        <v>73</v>
      </c>
      <c r="B45" s="164" t="s">
        <v>74</v>
      </c>
      <c r="C45" s="167"/>
      <c r="D45" s="174">
        <v>353188.92</v>
      </c>
      <c r="E45" s="167"/>
      <c r="F45" s="174">
        <v>176101.12</v>
      </c>
      <c r="G45" s="167"/>
      <c r="H45" s="174">
        <f>J45-F45</f>
        <v>308898.88</v>
      </c>
      <c r="I45" s="167"/>
      <c r="J45" s="174">
        <v>485000</v>
      </c>
      <c r="K45" s="167"/>
      <c r="L45" s="175">
        <v>465150</v>
      </c>
    </row>
    <row r="46" spans="1:14">
      <c r="A46" s="216" t="s">
        <v>302</v>
      </c>
      <c r="B46" s="164" t="s">
        <v>76</v>
      </c>
      <c r="C46" s="167"/>
      <c r="D46" s="174">
        <v>40136.37</v>
      </c>
      <c r="E46" s="167"/>
      <c r="F46" s="174">
        <v>39182.33</v>
      </c>
      <c r="G46" s="167"/>
      <c r="H46" s="174">
        <f>J46-F46</f>
        <v>954.04</v>
      </c>
      <c r="I46" s="167"/>
      <c r="J46" s="174">
        <v>40136.37</v>
      </c>
      <c r="K46" s="167"/>
      <c r="L46" s="175">
        <v>43569.96</v>
      </c>
    </row>
    <row r="47" spans="1:14">
      <c r="A47" s="170" t="s">
        <v>136</v>
      </c>
      <c r="B47" s="164" t="s">
        <v>137</v>
      </c>
      <c r="C47" s="167"/>
      <c r="D47" s="174">
        <v>65000</v>
      </c>
      <c r="E47" s="167"/>
      <c r="F47" s="174">
        <v>59361</v>
      </c>
      <c r="G47" s="167"/>
      <c r="H47" s="174">
        <f>J47-F47</f>
        <v>5639</v>
      </c>
      <c r="I47" s="167"/>
      <c r="J47" s="174">
        <v>65000</v>
      </c>
      <c r="K47" s="167"/>
      <c r="L47" s="175">
        <v>65000</v>
      </c>
    </row>
    <row r="48" spans="1:14">
      <c r="A48" s="170" t="s">
        <v>77</v>
      </c>
      <c r="B48" s="164" t="s">
        <v>78</v>
      </c>
      <c r="C48" s="167"/>
      <c r="D48" s="174">
        <v>487000</v>
      </c>
      <c r="E48" s="167"/>
      <c r="F48" s="174">
        <v>234000</v>
      </c>
      <c r="G48" s="167"/>
      <c r="H48" s="174">
        <f>J48-F48</f>
        <v>258000</v>
      </c>
      <c r="I48" s="167"/>
      <c r="J48" s="174">
        <v>492000</v>
      </c>
      <c r="K48" s="167"/>
      <c r="L48" s="175">
        <v>552000</v>
      </c>
    </row>
    <row r="49" spans="1:14">
      <c r="A49" s="170" t="s">
        <v>79</v>
      </c>
      <c r="B49" s="164" t="s">
        <v>80</v>
      </c>
      <c r="C49" s="167"/>
      <c r="D49" s="174">
        <v>7168995.78</v>
      </c>
      <c r="E49" s="167"/>
      <c r="F49" s="174">
        <v>4561671.25</v>
      </c>
      <c r="G49" s="167"/>
      <c r="H49" s="174">
        <f>J49-F49</f>
        <v>1763325.61</v>
      </c>
      <c r="I49" s="167"/>
      <c r="J49" s="174">
        <v>6324996.86</v>
      </c>
      <c r="K49" s="167"/>
      <c r="L49" s="175">
        <v>5811400</v>
      </c>
    </row>
    <row r="50" spans="1:14">
      <c r="A50" s="170" t="s">
        <v>81</v>
      </c>
      <c r="B50" s="164" t="s">
        <v>82</v>
      </c>
      <c r="C50" s="167"/>
      <c r="D50" s="174">
        <v>92562.14</v>
      </c>
      <c r="E50" s="167"/>
      <c r="F50" s="174">
        <v>100950</v>
      </c>
      <c r="G50" s="167"/>
      <c r="H50" s="174">
        <f>J50-F50</f>
        <v>193550</v>
      </c>
      <c r="I50" s="167"/>
      <c r="J50" s="174">
        <v>294500</v>
      </c>
      <c r="K50" s="167"/>
      <c r="L50" s="175">
        <v>495450</v>
      </c>
    </row>
    <row r="51" spans="1:14">
      <c r="A51" s="170" t="s">
        <v>303</v>
      </c>
      <c r="B51" s="164" t="s">
        <v>84</v>
      </c>
      <c r="C51" s="167"/>
      <c r="D51" s="174">
        <v>1335082.6</v>
      </c>
      <c r="E51" s="167"/>
      <c r="F51" s="174">
        <v>990937.5</v>
      </c>
      <c r="G51" s="167"/>
      <c r="H51" s="174">
        <f>J51-F51</f>
        <v>42062.5</v>
      </c>
      <c r="I51" s="167"/>
      <c r="J51" s="174">
        <v>1033000</v>
      </c>
      <c r="K51" s="167"/>
      <c r="L51" s="175">
        <v>865000</v>
      </c>
    </row>
    <row r="52" spans="1:14">
      <c r="A52" s="170" t="s">
        <v>304</v>
      </c>
      <c r="B52" s="164" t="s">
        <v>86</v>
      </c>
      <c r="C52" s="167"/>
      <c r="D52" s="174">
        <v>57000</v>
      </c>
      <c r="E52" s="167"/>
      <c r="F52" s="174">
        <v>0</v>
      </c>
      <c r="G52" s="167"/>
      <c r="H52" s="174">
        <f>J52-F52</f>
        <v>185000</v>
      </c>
      <c r="I52" s="167"/>
      <c r="J52" s="174">
        <v>185000</v>
      </c>
      <c r="K52" s="167"/>
      <c r="L52" s="175">
        <v>170000</v>
      </c>
    </row>
    <row r="53" spans="1:14">
      <c r="A53" s="170" t="s">
        <v>87</v>
      </c>
      <c r="B53" s="164" t="s">
        <v>88</v>
      </c>
      <c r="C53" s="167"/>
      <c r="D53" s="174">
        <v>141153.99</v>
      </c>
      <c r="E53" s="167"/>
      <c r="F53" s="174">
        <v>116127.54</v>
      </c>
      <c r="G53" s="167"/>
      <c r="H53" s="174">
        <f>J53-F53</f>
        <v>33872.46</v>
      </c>
      <c r="I53" s="167"/>
      <c r="J53" s="174">
        <v>150000</v>
      </c>
      <c r="K53" s="167"/>
      <c r="L53" s="175">
        <v>150000</v>
      </c>
    </row>
    <row r="54" spans="1:14">
      <c r="A54" s="170" t="s">
        <v>89</v>
      </c>
      <c r="B54" s="164" t="s">
        <v>90</v>
      </c>
      <c r="C54" s="167"/>
      <c r="D54" s="174">
        <v>50000</v>
      </c>
      <c r="E54" s="167"/>
      <c r="F54" s="174">
        <v>0</v>
      </c>
      <c r="G54" s="167"/>
      <c r="H54" s="174">
        <f>J54-F54</f>
        <v>150000</v>
      </c>
      <c r="I54" s="167"/>
      <c r="J54" s="174">
        <v>150000</v>
      </c>
      <c r="K54" s="167"/>
      <c r="L54" s="175">
        <v>75000</v>
      </c>
    </row>
    <row r="55" spans="1:14">
      <c r="A55" s="170" t="s">
        <v>91</v>
      </c>
      <c r="B55" s="164" t="s">
        <v>92</v>
      </c>
      <c r="C55" s="217"/>
      <c r="D55" s="174">
        <v>5952992.39</v>
      </c>
      <c r="E55" s="167"/>
      <c r="F55" s="174">
        <v>2969890.71</v>
      </c>
      <c r="G55" s="167"/>
      <c r="H55" s="174">
        <f>J55-F55</f>
        <v>1716868.7</v>
      </c>
      <c r="I55" s="167"/>
      <c r="J55" s="174">
        <v>4686759.41</v>
      </c>
      <c r="K55" s="167"/>
      <c r="L55" s="175">
        <v>4140177.8</v>
      </c>
    </row>
    <row r="56" spans="1:14">
      <c r="A56" s="170" t="s">
        <v>305</v>
      </c>
      <c r="B56" s="164" t="s">
        <v>306</v>
      </c>
      <c r="C56" s="217"/>
      <c r="D56" s="174">
        <v>462000</v>
      </c>
      <c r="E56" s="167"/>
      <c r="F56" s="174">
        <v>231000</v>
      </c>
      <c r="G56" s="167"/>
      <c r="H56" s="174">
        <f>J56-F56</f>
        <v>231000</v>
      </c>
      <c r="I56" s="167"/>
      <c r="J56" s="174">
        <v>462000</v>
      </c>
      <c r="K56" s="167"/>
      <c r="L56" s="175">
        <v>887040</v>
      </c>
    </row>
    <row r="57" spans="1:14">
      <c r="A57" s="170" t="s">
        <v>307</v>
      </c>
      <c r="B57" s="164" t="s">
        <v>308</v>
      </c>
      <c r="C57" s="217"/>
      <c r="D57" s="218">
        <v>34241.2</v>
      </c>
      <c r="E57" s="167"/>
      <c r="F57" s="218">
        <v>56500</v>
      </c>
      <c r="G57" s="167"/>
      <c r="H57" s="218">
        <f>J57-F57</f>
        <v>18500</v>
      </c>
      <c r="I57" s="167"/>
      <c r="J57" s="218">
        <v>75000</v>
      </c>
      <c r="K57" s="167"/>
      <c r="L57" s="219">
        <v>1300000</v>
      </c>
    </row>
    <row r="58" spans="1:14">
      <c r="A58" s="170" t="s">
        <v>309</v>
      </c>
      <c r="B58" s="164" t="s">
        <v>179</v>
      </c>
      <c r="C58" s="217"/>
      <c r="D58" s="174">
        <v>0</v>
      </c>
      <c r="E58" s="220"/>
      <c r="F58" s="174">
        <v>0</v>
      </c>
      <c r="G58" s="220"/>
      <c r="H58" s="174">
        <f>J58-F58</f>
        <v>1035000</v>
      </c>
      <c r="I58" s="220"/>
      <c r="J58" s="174">
        <v>1035000</v>
      </c>
      <c r="K58" s="220"/>
      <c r="L58" s="175">
        <v>1350000</v>
      </c>
    </row>
    <row r="59" spans="1:14">
      <c r="A59" s="170" t="s">
        <v>180</v>
      </c>
      <c r="B59" s="164" t="s">
        <v>181</v>
      </c>
      <c r="C59" s="217"/>
      <c r="D59" s="174">
        <v>0</v>
      </c>
      <c r="E59" s="220"/>
      <c r="F59" s="174">
        <v>0</v>
      </c>
      <c r="G59" s="220"/>
      <c r="H59" s="174">
        <f>J59-F59</f>
        <v>75000</v>
      </c>
      <c r="I59" s="220"/>
      <c r="J59" s="174">
        <v>75000</v>
      </c>
      <c r="K59" s="220"/>
      <c r="L59" s="175">
        <v>100000</v>
      </c>
    </row>
    <row r="60" spans="1:14">
      <c r="A60" s="170" t="s">
        <v>182</v>
      </c>
      <c r="B60" s="164" t="s">
        <v>183</v>
      </c>
      <c r="C60" s="217"/>
      <c r="D60" s="174">
        <v>0</v>
      </c>
      <c r="E60" s="220"/>
      <c r="F60" s="174">
        <v>0</v>
      </c>
      <c r="G60" s="220"/>
      <c r="H60" s="174">
        <f>J60-F60</f>
        <v>75000</v>
      </c>
      <c r="I60" s="220"/>
      <c r="J60" s="174">
        <v>75000</v>
      </c>
      <c r="K60" s="220"/>
      <c r="L60" s="175">
        <v>100000</v>
      </c>
    </row>
    <row r="61" spans="1:14">
      <c r="A61" s="170" t="s">
        <v>184</v>
      </c>
      <c r="B61" s="164" t="s">
        <v>185</v>
      </c>
      <c r="C61" s="217"/>
      <c r="D61" s="174">
        <v>0</v>
      </c>
      <c r="E61" s="220"/>
      <c r="F61" s="174">
        <v>0</v>
      </c>
      <c r="G61" s="220"/>
      <c r="H61" s="174">
        <f>J61-F61</f>
        <v>265000</v>
      </c>
      <c r="I61" s="220"/>
      <c r="J61" s="174">
        <v>265000</v>
      </c>
      <c r="K61" s="220"/>
      <c r="L61" s="175">
        <v>200000</v>
      </c>
    </row>
    <row r="62" spans="1:14">
      <c r="A62" s="170" t="s">
        <v>310</v>
      </c>
      <c r="B62" s="164" t="s">
        <v>187</v>
      </c>
      <c r="C62" s="217"/>
      <c r="D62" s="174">
        <v>0</v>
      </c>
      <c r="E62" s="220"/>
      <c r="F62" s="174">
        <v>0</v>
      </c>
      <c r="G62" s="220"/>
      <c r="H62" s="174">
        <f>J62-F62</f>
        <v>50000</v>
      </c>
      <c r="I62" s="220"/>
      <c r="J62" s="174">
        <v>50000</v>
      </c>
      <c r="K62" s="220"/>
      <c r="L62" s="175">
        <v>30000</v>
      </c>
    </row>
    <row r="63" spans="1:14">
      <c r="A63" s="170" t="s">
        <v>311</v>
      </c>
      <c r="B63" s="164" t="s">
        <v>194</v>
      </c>
      <c r="C63" s="217"/>
      <c r="D63" s="174">
        <v>0</v>
      </c>
      <c r="E63" s="220"/>
      <c r="F63" s="174">
        <v>0</v>
      </c>
      <c r="G63" s="220"/>
      <c r="H63" s="174">
        <f>J63-F63</f>
        <v>47500</v>
      </c>
      <c r="I63" s="220"/>
      <c r="J63" s="174">
        <v>47500</v>
      </c>
      <c r="K63" s="220"/>
      <c r="L63" s="175">
        <v>50800</v>
      </c>
    </row>
    <row r="64" spans="1:14">
      <c r="A64" s="170" t="s">
        <v>312</v>
      </c>
      <c r="B64" s="164" t="s">
        <v>196</v>
      </c>
      <c r="C64" s="217"/>
      <c r="D64" s="174">
        <v>0</v>
      </c>
      <c r="E64" s="220"/>
      <c r="F64" s="174">
        <v>0</v>
      </c>
      <c r="G64" s="220"/>
      <c r="H64" s="174">
        <f>J64-F64</f>
        <v>90000</v>
      </c>
      <c r="I64" s="220"/>
      <c r="J64" s="174">
        <v>90000</v>
      </c>
      <c r="K64" s="220"/>
      <c r="L64" s="175">
        <v>90000</v>
      </c>
    </row>
    <row r="65" spans="1:14">
      <c r="A65" s="170" t="s">
        <v>197</v>
      </c>
      <c r="B65" s="164" t="s">
        <v>198</v>
      </c>
      <c r="C65" s="217"/>
      <c r="D65" s="174">
        <v>0</v>
      </c>
      <c r="E65" s="220"/>
      <c r="F65" s="174">
        <v>0</v>
      </c>
      <c r="G65" s="220"/>
      <c r="H65" s="174">
        <f>J65-F65</f>
        <v>1000000</v>
      </c>
      <c r="I65" s="220"/>
      <c r="J65" s="174">
        <v>1000000</v>
      </c>
      <c r="K65" s="220"/>
      <c r="L65" s="175">
        <v>2219200</v>
      </c>
    </row>
    <row r="66" spans="1:14">
      <c r="A66" s="170" t="s">
        <v>199</v>
      </c>
      <c r="B66" s="164" t="s">
        <v>200</v>
      </c>
      <c r="C66" s="217"/>
      <c r="D66" s="174">
        <v>0</v>
      </c>
      <c r="E66" s="220"/>
      <c r="F66" s="174">
        <v>0</v>
      </c>
      <c r="G66" s="220"/>
      <c r="H66" s="174">
        <f>J66-F66</f>
        <v>3187500</v>
      </c>
      <c r="I66" s="220"/>
      <c r="J66" s="174">
        <v>3187500</v>
      </c>
      <c r="K66" s="220"/>
      <c r="L66" s="175">
        <v>2100000</v>
      </c>
    </row>
    <row r="67" spans="1:14" customHeight="1" ht="15.75">
      <c r="A67" s="170" t="s">
        <v>313</v>
      </c>
      <c r="B67" s="164" t="s">
        <v>202</v>
      </c>
      <c r="C67" s="217"/>
      <c r="D67" s="221">
        <v>0</v>
      </c>
      <c r="E67" s="167"/>
      <c r="F67" s="221">
        <v>2998800</v>
      </c>
      <c r="G67" s="167"/>
      <c r="H67" s="221">
        <f>J67-F67</f>
        <v>1200</v>
      </c>
      <c r="I67" s="167"/>
      <c r="J67" s="221">
        <v>3000000</v>
      </c>
      <c r="K67" s="167"/>
      <c r="L67" s="222">
        <v>0</v>
      </c>
    </row>
    <row r="68" spans="1:14" customHeight="1" ht="15.75">
      <c r="A68" s="178" t="s">
        <v>93</v>
      </c>
      <c r="B68" s="179"/>
      <c r="C68" s="180" t="s">
        <v>21</v>
      </c>
      <c r="D68" s="181">
        <f>SUM(D34:D67)</f>
        <v>28906218.49</v>
      </c>
      <c r="E68" s="180" t="s">
        <v>21</v>
      </c>
      <c r="F68" s="181">
        <f>SUM(F34:F67)</f>
        <v>19685322.63</v>
      </c>
      <c r="G68" s="180" t="s">
        <v>21</v>
      </c>
      <c r="H68" s="181">
        <f>SUM(H34:H67)</f>
        <v>15802983.48</v>
      </c>
      <c r="I68" s="180" t="s">
        <v>21</v>
      </c>
      <c r="J68" s="181">
        <f>SUM(J34:J67)</f>
        <v>35488306.11</v>
      </c>
      <c r="K68" s="180" t="s">
        <v>21</v>
      </c>
      <c r="L68" s="183">
        <f>SUM(L34:L67)</f>
        <v>34560981.99</v>
      </c>
    </row>
    <row r="69" spans="1:14">
      <c r="A69" s="213" t="s">
        <v>314</v>
      </c>
      <c r="B69" s="171"/>
      <c r="C69" s="217"/>
      <c r="D69" s="168"/>
      <c r="E69" s="217"/>
      <c r="F69" s="168"/>
      <c r="G69" s="217"/>
      <c r="H69" s="168"/>
      <c r="I69" s="217"/>
      <c r="J69" s="168"/>
      <c r="K69" s="217"/>
      <c r="L69" s="169"/>
    </row>
    <row r="70" spans="1:14">
      <c r="A70" s="170" t="s">
        <v>315</v>
      </c>
      <c r="B70" s="164" t="s">
        <v>165</v>
      </c>
      <c r="C70" s="217" t="s">
        <v>21</v>
      </c>
      <c r="D70" s="172">
        <v>0</v>
      </c>
      <c r="E70" s="217" t="s">
        <v>21</v>
      </c>
      <c r="F70" s="172">
        <v>3000000</v>
      </c>
      <c r="G70" s="217" t="s">
        <v>21</v>
      </c>
      <c r="H70" s="172">
        <f>J70-F70</f>
        <v>0</v>
      </c>
      <c r="I70" s="217" t="s">
        <v>21</v>
      </c>
      <c r="J70" s="172">
        <v>3000000</v>
      </c>
      <c r="K70" s="167" t="s">
        <v>21</v>
      </c>
      <c r="L70" s="173">
        <v>0</v>
      </c>
    </row>
    <row r="71" spans="1:14">
      <c r="A71" s="170" t="s">
        <v>316</v>
      </c>
      <c r="B71" s="164" t="s">
        <v>96</v>
      </c>
      <c r="C71" s="217"/>
      <c r="D71" s="172">
        <v>0</v>
      </c>
      <c r="E71" s="217"/>
      <c r="F71" s="172">
        <v>0</v>
      </c>
      <c r="G71" s="217"/>
      <c r="H71" s="172">
        <f>J71-F71</f>
        <v>720000</v>
      </c>
      <c r="I71" s="217"/>
      <c r="J71" s="172">
        <v>720000</v>
      </c>
      <c r="K71" s="167"/>
      <c r="L71" s="173">
        <v>0</v>
      </c>
    </row>
    <row r="72" spans="1:14">
      <c r="A72" s="170" t="s">
        <v>317</v>
      </c>
      <c r="B72" s="164" t="s">
        <v>98</v>
      </c>
      <c r="C72" s="217"/>
      <c r="D72" s="172">
        <v>0</v>
      </c>
      <c r="E72" s="217"/>
      <c r="F72" s="172">
        <v>0</v>
      </c>
      <c r="G72" s="217"/>
      <c r="H72" s="172">
        <f>J72-F72</f>
        <v>534415</v>
      </c>
      <c r="I72" s="217"/>
      <c r="J72" s="172">
        <v>534415</v>
      </c>
      <c r="K72" s="167"/>
      <c r="L72" s="173">
        <v>0</v>
      </c>
    </row>
    <row r="73" spans="1:14">
      <c r="A73" s="170" t="s">
        <v>318</v>
      </c>
      <c r="B73" s="164" t="s">
        <v>167</v>
      </c>
      <c r="C73" s="217"/>
      <c r="D73" s="172">
        <v>408684.67</v>
      </c>
      <c r="E73" s="217"/>
      <c r="F73" s="172">
        <v>0</v>
      </c>
      <c r="G73" s="217"/>
      <c r="H73" s="172">
        <f>J73-F73</f>
        <v>650000</v>
      </c>
      <c r="I73" s="217"/>
      <c r="J73" s="172">
        <v>650000</v>
      </c>
      <c r="K73" s="167"/>
      <c r="L73" s="173">
        <v>300000</v>
      </c>
    </row>
    <row r="74" spans="1:14">
      <c r="A74" s="170" t="s">
        <v>166</v>
      </c>
      <c r="B74" s="164" t="s">
        <v>167</v>
      </c>
      <c r="C74" s="217"/>
      <c r="D74" s="172">
        <v>0</v>
      </c>
      <c r="E74" s="217"/>
      <c r="F74" s="172">
        <v>0</v>
      </c>
      <c r="G74" s="217"/>
      <c r="H74" s="172">
        <v>0</v>
      </c>
      <c r="I74" s="217"/>
      <c r="J74" s="172">
        <v>0</v>
      </c>
      <c r="K74" s="167"/>
      <c r="L74" s="173">
        <v>700000</v>
      </c>
    </row>
    <row r="75" spans="1:14">
      <c r="A75" s="170" t="s">
        <v>115</v>
      </c>
      <c r="B75" s="164" t="s">
        <v>100</v>
      </c>
      <c r="C75" s="217"/>
      <c r="D75" s="172">
        <v>930882</v>
      </c>
      <c r="E75" s="217"/>
      <c r="F75" s="172">
        <v>752394</v>
      </c>
      <c r="G75" s="217"/>
      <c r="H75" s="172">
        <f>J75-F75</f>
        <v>1347606</v>
      </c>
      <c r="I75" s="217"/>
      <c r="J75" s="172">
        <v>2100000</v>
      </c>
      <c r="K75" s="167"/>
      <c r="L75" s="173">
        <v>2080000</v>
      </c>
    </row>
    <row r="76" spans="1:14">
      <c r="A76" s="170" t="s">
        <v>319</v>
      </c>
      <c r="B76" s="164" t="s">
        <v>102</v>
      </c>
      <c r="C76" s="217"/>
      <c r="D76" s="174">
        <v>2884960</v>
      </c>
      <c r="E76" s="217"/>
      <c r="F76" s="174">
        <v>0</v>
      </c>
      <c r="G76" s="217"/>
      <c r="H76" s="174">
        <v>0</v>
      </c>
      <c r="I76" s="217"/>
      <c r="J76" s="174">
        <v>0</v>
      </c>
      <c r="K76" s="167"/>
      <c r="L76" s="175">
        <v>0</v>
      </c>
    </row>
    <row r="77" spans="1:14" customHeight="1" ht="15.75">
      <c r="A77" s="170" t="s">
        <v>168</v>
      </c>
      <c r="B77" s="164" t="s">
        <v>169</v>
      </c>
      <c r="C77" s="217"/>
      <c r="D77" s="221">
        <v>0</v>
      </c>
      <c r="E77" s="217"/>
      <c r="F77" s="221">
        <v>0</v>
      </c>
      <c r="G77" s="217"/>
      <c r="H77" s="172">
        <f>J77-F77</f>
        <v>3000000</v>
      </c>
      <c r="I77" s="217"/>
      <c r="J77" s="221">
        <v>3000000</v>
      </c>
      <c r="K77" s="167"/>
      <c r="L77" s="222">
        <v>0</v>
      </c>
    </row>
    <row r="78" spans="1:14" customHeight="1" ht="15.75">
      <c r="A78" s="213" t="s">
        <v>320</v>
      </c>
      <c r="B78" s="164"/>
      <c r="C78" s="223" t="s">
        <v>21</v>
      </c>
      <c r="D78" s="224">
        <f>SUM(D70:D77)</f>
        <v>4224526.67</v>
      </c>
      <c r="E78" s="223" t="s">
        <v>21</v>
      </c>
      <c r="F78" s="224">
        <f>SUM(F70:F77)</f>
        <v>3752394</v>
      </c>
      <c r="G78" s="223" t="s">
        <v>21</v>
      </c>
      <c r="H78" s="224">
        <f>SUM(H70:H77)</f>
        <v>6252021</v>
      </c>
      <c r="I78" s="223" t="s">
        <v>21</v>
      </c>
      <c r="J78" s="224">
        <f>SUM(J70:J77)</f>
        <v>10004415</v>
      </c>
      <c r="K78" s="223" t="s">
        <v>21</v>
      </c>
      <c r="L78" s="225">
        <f>SUM(L70:L77)</f>
        <v>3080000</v>
      </c>
    </row>
    <row r="79" spans="1:14">
      <c r="A79" s="213" t="s">
        <v>321</v>
      </c>
      <c r="B79" s="164"/>
      <c r="C79" s="167"/>
      <c r="D79" s="168"/>
      <c r="E79" s="167"/>
      <c r="F79" s="168"/>
      <c r="G79" s="167"/>
      <c r="H79" s="168"/>
      <c r="I79" s="167"/>
      <c r="J79" s="168"/>
      <c r="K79" s="167"/>
      <c r="L79" s="169"/>
    </row>
    <row r="80" spans="1:14">
      <c r="A80" s="170" t="s">
        <v>322</v>
      </c>
      <c r="B80" s="164">
        <v>8919</v>
      </c>
      <c r="C80" s="167" t="s">
        <v>21</v>
      </c>
      <c r="D80" s="168">
        <v>17589478.36</v>
      </c>
      <c r="E80" s="167" t="s">
        <v>21</v>
      </c>
      <c r="F80" s="168">
        <v>17953372.83</v>
      </c>
      <c r="G80" s="167" t="s">
        <v>21</v>
      </c>
      <c r="H80" s="168">
        <f>J80-F80</f>
        <v>13900379.17</v>
      </c>
      <c r="I80" s="167" t="s">
        <v>21</v>
      </c>
      <c r="J80" s="169">
        <v>31853752</v>
      </c>
      <c r="K80" s="167" t="s">
        <v>21</v>
      </c>
      <c r="L80" s="169">
        <v>27244545.6</v>
      </c>
    </row>
    <row r="81" spans="1:14">
      <c r="A81" s="170" t="s">
        <v>323</v>
      </c>
      <c r="B81" s="164">
        <v>9998</v>
      </c>
      <c r="C81" s="167"/>
      <c r="D81" s="174">
        <v>5638937.71</v>
      </c>
      <c r="E81" s="167"/>
      <c r="F81" s="174">
        <v>1667425</v>
      </c>
      <c r="G81" s="167"/>
      <c r="H81" s="174">
        <f>J81-F81</f>
        <v>6694713</v>
      </c>
      <c r="I81" s="167"/>
      <c r="J81" s="175">
        <v>8362138</v>
      </c>
      <c r="K81" s="167"/>
      <c r="L81" s="175">
        <v>7266036.4</v>
      </c>
    </row>
    <row r="82" spans="1:14">
      <c r="A82" s="216" t="s">
        <v>324</v>
      </c>
      <c r="B82" s="164" t="s">
        <v>284</v>
      </c>
      <c r="C82" s="167"/>
      <c r="D82" s="174">
        <v>1168517</v>
      </c>
      <c r="E82" s="167"/>
      <c r="F82" s="174">
        <v>0</v>
      </c>
      <c r="G82" s="167"/>
      <c r="H82" s="174">
        <f>J82-F82</f>
        <v>1592687.6</v>
      </c>
      <c r="I82" s="167"/>
      <c r="J82" s="219">
        <v>1592687.6</v>
      </c>
      <c r="K82" s="167"/>
      <c r="L82" s="219">
        <v>1362227.28</v>
      </c>
    </row>
    <row r="83" spans="1:14" customHeight="1" ht="15.75">
      <c r="A83" s="170" t="s">
        <v>325</v>
      </c>
      <c r="B83" s="164" t="s">
        <v>326</v>
      </c>
      <c r="C83" s="167"/>
      <c r="D83" s="176">
        <v>450000</v>
      </c>
      <c r="E83" s="167"/>
      <c r="F83" s="176">
        <v>0</v>
      </c>
      <c r="G83" s="167"/>
      <c r="H83" s="176">
        <f>J83-F83</f>
        <v>450000</v>
      </c>
      <c r="I83" s="167"/>
      <c r="J83" s="176">
        <v>450000</v>
      </c>
      <c r="K83" s="167"/>
      <c r="L83" s="177">
        <v>450000</v>
      </c>
    </row>
    <row r="84" spans="1:14" customHeight="1" ht="15.75">
      <c r="A84" s="213" t="s">
        <v>327</v>
      </c>
      <c r="B84" s="171"/>
      <c r="C84" s="226" t="s">
        <v>21</v>
      </c>
      <c r="D84" s="224">
        <f>SUM(D80:D83)</f>
        <v>24846933.07</v>
      </c>
      <c r="E84" s="226" t="s">
        <v>21</v>
      </c>
      <c r="F84" s="224">
        <f>SUM(F80:F83)</f>
        <v>19620797.83</v>
      </c>
      <c r="G84" s="226" t="s">
        <v>21</v>
      </c>
      <c r="H84" s="224">
        <f>SUM(H80:H83)</f>
        <v>22637779.77</v>
      </c>
      <c r="I84" s="226" t="s">
        <v>21</v>
      </c>
      <c r="J84" s="224">
        <f>SUM(J80:J83)</f>
        <v>42258577.6</v>
      </c>
      <c r="K84" s="226" t="s">
        <v>21</v>
      </c>
      <c r="L84" s="225">
        <f>SUM(L80:L83)</f>
        <v>36322809.28</v>
      </c>
    </row>
    <row r="85" spans="1:14">
      <c r="A85" s="213" t="s">
        <v>328</v>
      </c>
      <c r="B85" s="171"/>
      <c r="C85" s="226"/>
      <c r="D85" s="227"/>
      <c r="E85" s="226"/>
      <c r="F85" s="227"/>
      <c r="G85" s="226"/>
      <c r="H85" s="227"/>
      <c r="I85" s="226"/>
      <c r="J85" s="227"/>
      <c r="K85" s="226"/>
      <c r="L85" s="228"/>
    </row>
    <row r="86" spans="1:14">
      <c r="A86" s="213" t="s">
        <v>329</v>
      </c>
      <c r="B86" s="171"/>
      <c r="C86" s="167"/>
      <c r="D86" s="214"/>
      <c r="E86" s="167"/>
      <c r="F86" s="214"/>
      <c r="G86" s="167"/>
      <c r="H86" s="214"/>
      <c r="I86" s="167"/>
      <c r="J86" s="214"/>
      <c r="K86" s="167"/>
      <c r="L86" s="215"/>
    </row>
    <row r="87" spans="1:14">
      <c r="A87" s="170" t="s">
        <v>215</v>
      </c>
      <c r="B87" s="164" t="s">
        <v>216</v>
      </c>
      <c r="C87" s="167" t="s">
        <v>21</v>
      </c>
      <c r="D87" s="172">
        <v>1474876.58</v>
      </c>
      <c r="E87" s="167" t="s">
        <v>21</v>
      </c>
      <c r="F87" s="172">
        <v>1170194.64</v>
      </c>
      <c r="G87" s="167" t="s">
        <v>21</v>
      </c>
      <c r="H87" s="172">
        <f>J87-F87</f>
        <v>329805.36</v>
      </c>
      <c r="I87" s="167" t="s">
        <v>21</v>
      </c>
      <c r="J87" s="172">
        <v>1500000</v>
      </c>
      <c r="K87" s="167" t="s">
        <v>21</v>
      </c>
      <c r="L87" s="173">
        <v>1500000</v>
      </c>
    </row>
    <row r="88" spans="1:14">
      <c r="A88" s="170" t="s">
        <v>217</v>
      </c>
      <c r="B88" s="164" t="s">
        <v>218</v>
      </c>
      <c r="C88" s="167"/>
      <c r="D88" s="172">
        <v>0</v>
      </c>
      <c r="E88" s="167"/>
      <c r="F88" s="168">
        <v>0</v>
      </c>
      <c r="G88" s="167"/>
      <c r="H88" s="168">
        <f>J88-F88</f>
        <v>184025.07</v>
      </c>
      <c r="I88" s="167"/>
      <c r="J88" s="168">
        <v>184025.07</v>
      </c>
      <c r="K88" s="167"/>
      <c r="L88" s="169">
        <v>0</v>
      </c>
    </row>
    <row r="89" spans="1:14">
      <c r="A89" s="170" t="s">
        <v>219</v>
      </c>
      <c r="B89" s="164" t="s">
        <v>220</v>
      </c>
      <c r="C89" s="167"/>
      <c r="D89" s="174">
        <v>399999.95</v>
      </c>
      <c r="E89" s="167"/>
      <c r="F89" s="174">
        <v>184891</v>
      </c>
      <c r="G89" s="167"/>
      <c r="H89" s="174">
        <f>J89-F89</f>
        <v>65109</v>
      </c>
      <c r="I89" s="167"/>
      <c r="J89" s="174">
        <v>250000</v>
      </c>
      <c r="K89" s="167"/>
      <c r="L89" s="175">
        <v>300000</v>
      </c>
    </row>
    <row r="90" spans="1:14">
      <c r="A90" s="170" t="s">
        <v>221</v>
      </c>
      <c r="B90" s="164" t="s">
        <v>222</v>
      </c>
      <c r="C90" s="167"/>
      <c r="D90" s="174">
        <v>704594.75</v>
      </c>
      <c r="E90" s="167"/>
      <c r="F90" s="174">
        <v>333501.26</v>
      </c>
      <c r="G90" s="167"/>
      <c r="H90" s="174">
        <f>J90-F90</f>
        <v>66498.74</v>
      </c>
      <c r="I90" s="167"/>
      <c r="J90" s="174">
        <v>400000</v>
      </c>
      <c r="K90" s="167"/>
      <c r="L90" s="175">
        <v>350000</v>
      </c>
    </row>
    <row r="91" spans="1:14">
      <c r="A91" s="170" t="s">
        <v>330</v>
      </c>
      <c r="B91" s="164" t="s">
        <v>224</v>
      </c>
      <c r="C91" s="167"/>
      <c r="D91" s="174">
        <v>599997.5</v>
      </c>
      <c r="E91" s="167"/>
      <c r="F91" s="174">
        <v>312720.71</v>
      </c>
      <c r="G91" s="167"/>
      <c r="H91" s="174">
        <f>J91-F91</f>
        <v>187279.29</v>
      </c>
      <c r="I91" s="167"/>
      <c r="J91" s="174">
        <v>500000</v>
      </c>
      <c r="K91" s="167"/>
      <c r="L91" s="175">
        <v>350000</v>
      </c>
    </row>
    <row r="92" spans="1:14">
      <c r="A92" s="170" t="s">
        <v>225</v>
      </c>
      <c r="B92" s="164" t="s">
        <v>331</v>
      </c>
      <c r="C92" s="167"/>
      <c r="D92" s="174">
        <v>0</v>
      </c>
      <c r="E92" s="167"/>
      <c r="F92" s="174">
        <v>1071875</v>
      </c>
      <c r="G92" s="167"/>
      <c r="H92" s="174">
        <f>J92-F92</f>
        <v>2008125</v>
      </c>
      <c r="I92" s="167"/>
      <c r="J92" s="174">
        <v>3080000</v>
      </c>
      <c r="K92" s="167"/>
      <c r="L92" s="175">
        <v>3240000</v>
      </c>
    </row>
    <row r="93" spans="1:14">
      <c r="A93" s="170" t="s">
        <v>227</v>
      </c>
      <c r="B93" s="164" t="s">
        <v>228</v>
      </c>
      <c r="C93" s="167"/>
      <c r="D93" s="174">
        <v>335081.09</v>
      </c>
      <c r="E93" s="167"/>
      <c r="F93" s="174">
        <v>72811</v>
      </c>
      <c r="G93" s="167"/>
      <c r="H93" s="174">
        <f>J93-F93</f>
        <v>427189</v>
      </c>
      <c r="I93" s="167"/>
      <c r="J93" s="174">
        <v>500000</v>
      </c>
      <c r="K93" s="167"/>
      <c r="L93" s="175">
        <v>350000</v>
      </c>
    </row>
    <row r="94" spans="1:14">
      <c r="A94" s="170" t="s">
        <v>332</v>
      </c>
      <c r="B94" s="164" t="s">
        <v>230</v>
      </c>
      <c r="C94" s="167"/>
      <c r="D94" s="174">
        <v>208350</v>
      </c>
      <c r="E94" s="167"/>
      <c r="F94" s="174">
        <v>287579.9</v>
      </c>
      <c r="G94" s="167"/>
      <c r="H94" s="174">
        <f>J94-F94</f>
        <v>62420.1</v>
      </c>
      <c r="I94" s="167"/>
      <c r="J94" s="174">
        <v>350000</v>
      </c>
      <c r="K94" s="167"/>
      <c r="L94" s="175">
        <v>350000</v>
      </c>
    </row>
    <row r="95" spans="1:14">
      <c r="A95" s="170" t="s">
        <v>231</v>
      </c>
      <c r="B95" s="164" t="s">
        <v>232</v>
      </c>
      <c r="C95" s="167"/>
      <c r="D95" s="174">
        <v>535737.8</v>
      </c>
      <c r="E95" s="217"/>
      <c r="F95" s="174">
        <v>298477.01</v>
      </c>
      <c r="G95" s="167"/>
      <c r="H95" s="174">
        <f>J95-F95</f>
        <v>1522.99</v>
      </c>
      <c r="I95" s="167"/>
      <c r="J95" s="174">
        <v>300000</v>
      </c>
      <c r="K95" s="167"/>
      <c r="L95" s="175">
        <v>300000</v>
      </c>
    </row>
    <row r="96" spans="1:14">
      <c r="A96" s="170" t="s">
        <v>233</v>
      </c>
      <c r="B96" s="164" t="s">
        <v>234</v>
      </c>
      <c r="C96" s="167"/>
      <c r="D96" s="168">
        <v>149194.67</v>
      </c>
      <c r="E96" s="167"/>
      <c r="F96" s="168">
        <v>89735.13</v>
      </c>
      <c r="G96" s="167"/>
      <c r="H96" s="174">
        <f>J96-F96</f>
        <v>60264.87</v>
      </c>
      <c r="I96" s="167"/>
      <c r="J96" s="168">
        <v>150000</v>
      </c>
      <c r="K96" s="167"/>
      <c r="L96" s="169">
        <v>175000</v>
      </c>
    </row>
    <row r="97" spans="1:14">
      <c r="A97" s="170" t="s">
        <v>235</v>
      </c>
      <c r="B97" s="164" t="s">
        <v>236</v>
      </c>
      <c r="C97" s="167"/>
      <c r="D97" s="174">
        <v>36000</v>
      </c>
      <c r="E97" s="167"/>
      <c r="F97" s="174">
        <v>18000</v>
      </c>
      <c r="G97" s="167"/>
      <c r="H97" s="174">
        <f>J97-F97</f>
        <v>18000</v>
      </c>
      <c r="I97" s="167"/>
      <c r="J97" s="174">
        <v>36000</v>
      </c>
      <c r="K97" s="167"/>
      <c r="L97" s="175">
        <v>36000</v>
      </c>
    </row>
    <row r="98" spans="1:14">
      <c r="A98" s="170" t="s">
        <v>237</v>
      </c>
      <c r="B98" s="164" t="s">
        <v>238</v>
      </c>
      <c r="C98" s="167"/>
      <c r="D98" s="174">
        <v>58750.4</v>
      </c>
      <c r="E98" s="167"/>
      <c r="F98" s="174">
        <v>30558.51</v>
      </c>
      <c r="G98" s="167"/>
      <c r="H98" s="174">
        <f>J98-F98</f>
        <v>29441.49</v>
      </c>
      <c r="I98" s="167"/>
      <c r="J98" s="174">
        <v>60000</v>
      </c>
      <c r="K98" s="167"/>
      <c r="L98" s="175">
        <v>60000</v>
      </c>
    </row>
    <row r="99" spans="1:14">
      <c r="A99" s="170" t="s">
        <v>333</v>
      </c>
      <c r="B99" s="164" t="s">
        <v>240</v>
      </c>
      <c r="C99" s="167"/>
      <c r="D99" s="174">
        <v>12500</v>
      </c>
      <c r="E99" s="167"/>
      <c r="F99" s="174">
        <v>14000</v>
      </c>
      <c r="G99" s="167"/>
      <c r="H99" s="174">
        <f>J99-F99</f>
        <v>16000</v>
      </c>
      <c r="I99" s="167"/>
      <c r="J99" s="174">
        <v>30000</v>
      </c>
      <c r="K99" s="167"/>
      <c r="L99" s="175">
        <v>30000</v>
      </c>
    </row>
    <row r="100" spans="1:14">
      <c r="A100" s="170" t="s">
        <v>243</v>
      </c>
      <c r="B100" s="164" t="s">
        <v>244</v>
      </c>
      <c r="C100" s="167"/>
      <c r="D100" s="174">
        <v>539450</v>
      </c>
      <c r="E100" s="167"/>
      <c r="F100" s="174">
        <v>50000</v>
      </c>
      <c r="G100" s="167"/>
      <c r="H100" s="174">
        <f>J100-F100</f>
        <v>0</v>
      </c>
      <c r="I100" s="167"/>
      <c r="J100" s="174">
        <v>50000</v>
      </c>
      <c r="K100" s="167"/>
      <c r="L100" s="175">
        <v>50000</v>
      </c>
    </row>
    <row r="101" spans="1:14">
      <c r="A101" s="170" t="s">
        <v>334</v>
      </c>
      <c r="B101" s="164" t="s">
        <v>246</v>
      </c>
      <c r="C101" s="167"/>
      <c r="D101" s="174">
        <v>0</v>
      </c>
      <c r="E101" s="167"/>
      <c r="F101" s="174">
        <v>50000</v>
      </c>
      <c r="G101" s="167"/>
      <c r="H101" s="174">
        <f>J101-F101</f>
        <v>0</v>
      </c>
      <c r="I101" s="167"/>
      <c r="J101" s="174">
        <v>50000</v>
      </c>
      <c r="K101" s="167"/>
      <c r="L101" s="175">
        <v>50000</v>
      </c>
    </row>
    <row r="102" spans="1:14">
      <c r="A102" s="170" t="s">
        <v>241</v>
      </c>
      <c r="B102" s="164" t="s">
        <v>242</v>
      </c>
      <c r="C102" s="167"/>
      <c r="D102" s="174">
        <v>139752</v>
      </c>
      <c r="E102" s="167"/>
      <c r="F102" s="174">
        <v>70400</v>
      </c>
      <c r="G102" s="167"/>
      <c r="H102" s="174">
        <f>J102-F102</f>
        <v>79600</v>
      </c>
      <c r="I102" s="167"/>
      <c r="J102" s="174">
        <v>150000</v>
      </c>
      <c r="K102" s="167"/>
      <c r="L102" s="175">
        <v>150000</v>
      </c>
    </row>
    <row r="103" spans="1:14">
      <c r="A103" s="170" t="s">
        <v>247</v>
      </c>
      <c r="B103" s="164" t="s">
        <v>248</v>
      </c>
      <c r="C103" s="167"/>
      <c r="D103" s="174">
        <v>2496875</v>
      </c>
      <c r="E103" s="167"/>
      <c r="F103" s="174">
        <v>1000000</v>
      </c>
      <c r="G103" s="167"/>
      <c r="H103" s="174">
        <f>J103-F103</f>
        <v>0</v>
      </c>
      <c r="I103" s="167"/>
      <c r="J103" s="174">
        <v>1000000</v>
      </c>
      <c r="K103" s="167"/>
      <c r="L103" s="175">
        <v>0</v>
      </c>
    </row>
    <row r="104" spans="1:14">
      <c r="A104" s="170" t="s">
        <v>249</v>
      </c>
      <c r="B104" s="164" t="s">
        <v>250</v>
      </c>
      <c r="C104" s="167"/>
      <c r="D104" s="218">
        <v>0</v>
      </c>
      <c r="E104" s="167"/>
      <c r="F104" s="218">
        <v>0</v>
      </c>
      <c r="G104" s="167"/>
      <c r="H104" s="218">
        <f>J104-F104</f>
        <v>1350000</v>
      </c>
      <c r="I104" s="167"/>
      <c r="J104" s="218">
        <v>1350000</v>
      </c>
      <c r="K104" s="167"/>
      <c r="L104" s="219">
        <v>0</v>
      </c>
    </row>
    <row r="105" spans="1:14">
      <c r="A105" s="170" t="s">
        <v>251</v>
      </c>
      <c r="B105" s="164" t="s">
        <v>252</v>
      </c>
      <c r="C105" s="167" t="s">
        <v>21</v>
      </c>
      <c r="D105" s="174">
        <v>0</v>
      </c>
      <c r="E105" s="167" t="s">
        <v>21</v>
      </c>
      <c r="F105" s="174">
        <v>0</v>
      </c>
      <c r="G105" s="167" t="s">
        <v>21</v>
      </c>
      <c r="H105" s="174">
        <f>J105-F105</f>
        <v>352000</v>
      </c>
      <c r="I105" s="167" t="s">
        <v>21</v>
      </c>
      <c r="J105" s="174">
        <v>352000</v>
      </c>
      <c r="K105" s="167" t="s">
        <v>21</v>
      </c>
      <c r="L105" s="175">
        <v>352000</v>
      </c>
    </row>
    <row r="106" spans="1:14">
      <c r="A106" s="170" t="s">
        <v>253</v>
      </c>
      <c r="B106" s="164" t="s">
        <v>254</v>
      </c>
      <c r="C106" s="167"/>
      <c r="D106" s="172">
        <v>3885613.19</v>
      </c>
      <c r="E106" s="167"/>
      <c r="F106" s="172">
        <v>2604535.15</v>
      </c>
      <c r="G106" s="167"/>
      <c r="H106" s="172">
        <f>J106-F106</f>
        <v>2145464.85</v>
      </c>
      <c r="I106" s="167"/>
      <c r="J106" s="172">
        <v>4750000</v>
      </c>
      <c r="K106" s="167"/>
      <c r="L106" s="173">
        <v>2000000</v>
      </c>
    </row>
    <row r="107" spans="1:14">
      <c r="A107" s="170" t="s">
        <v>271</v>
      </c>
      <c r="B107" s="164" t="s">
        <v>272</v>
      </c>
      <c r="C107" s="167"/>
      <c r="D107" s="174">
        <v>0</v>
      </c>
      <c r="E107" s="167"/>
      <c r="F107" s="174">
        <v>0</v>
      </c>
      <c r="G107" s="167"/>
      <c r="H107" s="174">
        <f>J107-F107</f>
        <v>20000</v>
      </c>
      <c r="I107" s="167"/>
      <c r="J107" s="174">
        <v>20000</v>
      </c>
      <c r="K107" s="167"/>
      <c r="L107" s="175">
        <v>20000</v>
      </c>
    </row>
    <row r="108" spans="1:14">
      <c r="A108" s="170" t="s">
        <v>273</v>
      </c>
      <c r="B108" s="164" t="s">
        <v>274</v>
      </c>
      <c r="C108" s="167"/>
      <c r="D108" s="174">
        <v>124900</v>
      </c>
      <c r="E108" s="167"/>
      <c r="F108" s="174">
        <v>0</v>
      </c>
      <c r="G108" s="167"/>
      <c r="H108" s="174">
        <f>J108-F108</f>
        <v>100000</v>
      </c>
      <c r="I108" s="167"/>
      <c r="J108" s="174">
        <v>100000</v>
      </c>
      <c r="K108" s="167"/>
      <c r="L108" s="175">
        <v>300000</v>
      </c>
    </row>
    <row r="109" spans="1:14">
      <c r="A109" s="170" t="s">
        <v>275</v>
      </c>
      <c r="B109" s="164" t="s">
        <v>276</v>
      </c>
      <c r="C109" s="167"/>
      <c r="D109" s="174">
        <v>0</v>
      </c>
      <c r="E109" s="167"/>
      <c r="F109" s="174">
        <v>0</v>
      </c>
      <c r="G109" s="167"/>
      <c r="H109" s="174">
        <f>J109-F109</f>
        <v>52800</v>
      </c>
      <c r="I109" s="167"/>
      <c r="J109" s="229">
        <v>52800</v>
      </c>
      <c r="K109" s="167"/>
      <c r="L109" s="230">
        <v>52800</v>
      </c>
    </row>
    <row r="110" spans="1:14">
      <c r="A110" s="170" t="s">
        <v>277</v>
      </c>
      <c r="B110" s="164" t="s">
        <v>278</v>
      </c>
      <c r="C110" s="167"/>
      <c r="D110" s="218">
        <v>63906</v>
      </c>
      <c r="E110" s="167"/>
      <c r="F110" s="218">
        <v>0</v>
      </c>
      <c r="G110" s="167"/>
      <c r="H110" s="218">
        <f>J110-F110</f>
        <v>150000</v>
      </c>
      <c r="I110" s="167"/>
      <c r="J110" s="218">
        <v>150000</v>
      </c>
      <c r="K110" s="167"/>
      <c r="L110" s="219">
        <v>150000</v>
      </c>
    </row>
    <row r="111" spans="1:14">
      <c r="A111" s="231" t="s">
        <v>279</v>
      </c>
      <c r="B111" s="164" t="s">
        <v>280</v>
      </c>
      <c r="C111" s="232"/>
      <c r="D111" s="233">
        <v>0</v>
      </c>
      <c r="E111" s="234"/>
      <c r="F111" s="233">
        <v>99971.68</v>
      </c>
      <c r="G111" s="234"/>
      <c r="H111" s="233">
        <v>0</v>
      </c>
      <c r="I111" s="235"/>
      <c r="J111" s="233">
        <v>100000</v>
      </c>
      <c r="K111" s="159"/>
      <c r="L111" s="236">
        <v>0</v>
      </c>
    </row>
    <row r="112" spans="1:14">
      <c r="A112" s="170" t="s">
        <v>255</v>
      </c>
      <c r="B112" s="164" t="s">
        <v>335</v>
      </c>
      <c r="C112" s="167"/>
      <c r="D112" s="172">
        <v>30000</v>
      </c>
      <c r="E112" s="167"/>
      <c r="F112" s="172">
        <v>43000</v>
      </c>
      <c r="G112" s="167"/>
      <c r="H112" s="172">
        <f>J112-F112</f>
        <v>57000</v>
      </c>
      <c r="I112" s="167"/>
      <c r="J112" s="172">
        <v>100000</v>
      </c>
      <c r="K112" s="167"/>
      <c r="L112" s="173">
        <v>100000</v>
      </c>
    </row>
    <row r="113" spans="1:14">
      <c r="A113" s="231" t="s">
        <v>285</v>
      </c>
      <c r="B113" s="164" t="s">
        <v>336</v>
      </c>
      <c r="C113" s="232"/>
      <c r="D113" s="233">
        <v>312000</v>
      </c>
      <c r="E113" s="234"/>
      <c r="F113" s="233">
        <v>112500</v>
      </c>
      <c r="G113" s="234"/>
      <c r="H113" s="233">
        <f>J113-F113</f>
        <v>137500</v>
      </c>
      <c r="I113" s="235"/>
      <c r="J113" s="233">
        <v>250000</v>
      </c>
      <c r="K113" s="159"/>
      <c r="L113" s="236">
        <v>250000</v>
      </c>
    </row>
    <row r="114" spans="1:14">
      <c r="A114" s="170" t="s">
        <v>257</v>
      </c>
      <c r="B114" s="164" t="s">
        <v>337</v>
      </c>
      <c r="C114" s="167"/>
      <c r="D114" s="174">
        <v>0</v>
      </c>
      <c r="E114" s="167"/>
      <c r="F114" s="174">
        <v>0</v>
      </c>
      <c r="G114" s="167"/>
      <c r="H114" s="174">
        <v>0</v>
      </c>
      <c r="I114" s="167"/>
      <c r="J114" s="174">
        <v>100000</v>
      </c>
      <c r="K114" s="167"/>
      <c r="L114" s="175">
        <v>100000</v>
      </c>
    </row>
    <row r="115" spans="1:14">
      <c r="A115" s="170" t="s">
        <v>256</v>
      </c>
      <c r="B115" s="164" t="s">
        <v>258</v>
      </c>
      <c r="C115" s="167"/>
      <c r="D115" s="174">
        <v>237600</v>
      </c>
      <c r="E115" s="167"/>
      <c r="F115" s="174">
        <v>427200</v>
      </c>
      <c r="G115" s="167"/>
      <c r="H115" s="174">
        <f>J115-F115</f>
        <v>139200</v>
      </c>
      <c r="I115" s="167"/>
      <c r="J115" s="174">
        <v>566400</v>
      </c>
      <c r="K115" s="167"/>
      <c r="L115" s="175">
        <v>566400</v>
      </c>
    </row>
    <row r="116" spans="1:14">
      <c r="A116" s="170" t="s">
        <v>259</v>
      </c>
      <c r="B116" s="164" t="s">
        <v>260</v>
      </c>
      <c r="C116" s="167"/>
      <c r="D116" s="172">
        <v>0</v>
      </c>
      <c r="E116" s="167"/>
      <c r="F116" s="172">
        <v>0</v>
      </c>
      <c r="G116" s="167"/>
      <c r="H116" s="174">
        <f>J116-F116</f>
        <v>200000</v>
      </c>
      <c r="I116" s="167"/>
      <c r="J116" s="172">
        <v>200000</v>
      </c>
      <c r="K116" s="167"/>
      <c r="L116" s="173">
        <v>0</v>
      </c>
    </row>
    <row r="117" spans="1:14">
      <c r="A117" s="170" t="s">
        <v>261</v>
      </c>
      <c r="B117" s="164" t="s">
        <v>262</v>
      </c>
      <c r="C117" s="167"/>
      <c r="D117" s="172">
        <v>1201311.56</v>
      </c>
      <c r="E117" s="167"/>
      <c r="F117" s="172">
        <v>488524</v>
      </c>
      <c r="G117" s="167"/>
      <c r="H117" s="172">
        <f>J117-F117</f>
        <v>711476</v>
      </c>
      <c r="I117" s="167"/>
      <c r="J117" s="172">
        <v>1200000</v>
      </c>
      <c r="K117" s="167"/>
      <c r="L117" s="173">
        <v>1200000</v>
      </c>
    </row>
    <row r="118" spans="1:14">
      <c r="A118" s="170" t="s">
        <v>263</v>
      </c>
      <c r="B118" s="164" t="s">
        <v>264</v>
      </c>
      <c r="C118" s="167"/>
      <c r="D118" s="174">
        <v>0</v>
      </c>
      <c r="E118" s="167"/>
      <c r="F118" s="174">
        <v>0</v>
      </c>
      <c r="G118" s="167"/>
      <c r="H118" s="174">
        <f>J118-F118</f>
        <v>21000</v>
      </c>
      <c r="I118" s="167"/>
      <c r="J118" s="174">
        <v>21000</v>
      </c>
      <c r="K118" s="167"/>
      <c r="L118" s="175">
        <v>21000</v>
      </c>
    </row>
    <row r="119" spans="1:14">
      <c r="A119" s="170" t="s">
        <v>265</v>
      </c>
      <c r="B119" s="164" t="s">
        <v>266</v>
      </c>
      <c r="C119" s="167"/>
      <c r="D119" s="174">
        <v>0</v>
      </c>
      <c r="E119" s="167"/>
      <c r="F119" s="174">
        <v>0</v>
      </c>
      <c r="G119" s="167"/>
      <c r="H119" s="174">
        <f>J119-F119</f>
        <v>200000</v>
      </c>
      <c r="I119" s="167"/>
      <c r="J119" s="174">
        <v>200000</v>
      </c>
      <c r="K119" s="167"/>
      <c r="L119" s="175">
        <v>200000</v>
      </c>
    </row>
    <row r="120" spans="1:14">
      <c r="A120" s="170" t="s">
        <v>267</v>
      </c>
      <c r="B120" s="164" t="s">
        <v>268</v>
      </c>
      <c r="C120" s="167"/>
      <c r="D120" s="174">
        <v>0</v>
      </c>
      <c r="E120" s="167"/>
      <c r="F120" s="174">
        <v>124804</v>
      </c>
      <c r="G120" s="167"/>
      <c r="H120" s="174">
        <f>J120-F120</f>
        <v>25196</v>
      </c>
      <c r="I120" s="167"/>
      <c r="J120" s="174">
        <v>150000</v>
      </c>
      <c r="K120" s="167"/>
      <c r="L120" s="175">
        <v>300000</v>
      </c>
    </row>
    <row r="121" spans="1:14">
      <c r="A121" s="170" t="s">
        <v>269</v>
      </c>
      <c r="B121" s="164" t="s">
        <v>270</v>
      </c>
      <c r="C121" s="167"/>
      <c r="D121" s="174">
        <v>867524</v>
      </c>
      <c r="E121" s="167"/>
      <c r="F121" s="174">
        <v>1998285</v>
      </c>
      <c r="G121" s="167"/>
      <c r="H121" s="174">
        <f>J121-F121</f>
        <v>1715</v>
      </c>
      <c r="I121" s="167"/>
      <c r="J121" s="174">
        <v>2000000</v>
      </c>
      <c r="K121" s="167"/>
      <c r="L121" s="175">
        <v>1000000</v>
      </c>
    </row>
    <row r="122" spans="1:14">
      <c r="A122" s="170" t="s">
        <v>338</v>
      </c>
      <c r="B122" s="164" t="s">
        <v>282</v>
      </c>
      <c r="C122" s="167"/>
      <c r="D122" s="218">
        <v>0</v>
      </c>
      <c r="E122" s="167"/>
      <c r="F122" s="218">
        <v>0</v>
      </c>
      <c r="G122" s="167"/>
      <c r="H122" s="218">
        <v>0</v>
      </c>
      <c r="I122" s="167"/>
      <c r="J122" s="218">
        <v>0</v>
      </c>
      <c r="K122" s="167"/>
      <c r="L122" s="219">
        <v>500000</v>
      </c>
    </row>
    <row r="123" spans="1:14" customHeight="1" ht="15.75">
      <c r="A123" s="231" t="s">
        <v>339</v>
      </c>
      <c r="B123" s="164" t="s">
        <v>288</v>
      </c>
      <c r="C123" s="232"/>
      <c r="D123" s="237">
        <v>4277673.69</v>
      </c>
      <c r="E123" s="234"/>
      <c r="F123" s="237">
        <v>2691578</v>
      </c>
      <c r="G123" s="234"/>
      <c r="H123" s="237">
        <f>J123-F123</f>
        <v>500519.15</v>
      </c>
      <c r="I123" s="235"/>
      <c r="J123" s="237">
        <v>3192097.15</v>
      </c>
      <c r="K123" s="159"/>
      <c r="L123" s="238">
        <v>500000</v>
      </c>
    </row>
    <row r="124" spans="1:14" customHeight="1" ht="15.75">
      <c r="A124" s="242" t="s">
        <v>340</v>
      </c>
      <c r="B124" s="171"/>
      <c r="C124" s="223" t="s">
        <v>21</v>
      </c>
      <c r="D124" s="181">
        <f>SUM(D87:D123)</f>
        <v>18691688.18</v>
      </c>
      <c r="E124" s="223" t="s">
        <v>21</v>
      </c>
      <c r="F124" s="181">
        <f>SUM(F87:F123)</f>
        <v>13645141.99</v>
      </c>
      <c r="G124" s="223" t="s">
        <v>21</v>
      </c>
      <c r="H124" s="181">
        <f>SUM(H87:H123)</f>
        <v>9699151.91</v>
      </c>
      <c r="I124" s="223" t="s">
        <v>21</v>
      </c>
      <c r="J124" s="181">
        <f>SUM(J87:J123)</f>
        <v>23444322.22</v>
      </c>
      <c r="K124" s="223" t="s">
        <v>21</v>
      </c>
      <c r="L124" s="181">
        <f>SUM(L87:L123)</f>
        <v>14903200</v>
      </c>
    </row>
    <row r="125" spans="1:14" customHeight="1" ht="15.75">
      <c r="A125" s="213" t="s">
        <v>341</v>
      </c>
      <c r="B125" s="171"/>
      <c r="C125" s="223" t="s">
        <v>21</v>
      </c>
      <c r="D125" s="181">
        <f>D84+D124</f>
        <v>43538621.25</v>
      </c>
      <c r="E125" s="223" t="s">
        <v>21</v>
      </c>
      <c r="F125" s="181">
        <f>F84+F124</f>
        <v>33265939.82</v>
      </c>
      <c r="G125" s="223" t="s">
        <v>21</v>
      </c>
      <c r="H125" s="181">
        <f>H84+H124</f>
        <v>32336931.68</v>
      </c>
      <c r="I125" s="223" t="s">
        <v>21</v>
      </c>
      <c r="J125" s="181">
        <f>J84+J124</f>
        <v>65702899.82</v>
      </c>
      <c r="K125" s="223" t="s">
        <v>21</v>
      </c>
      <c r="L125" s="183">
        <f>L84+L124</f>
        <v>51226009.28</v>
      </c>
    </row>
    <row r="126" spans="1:14" customHeight="1" ht="15.75">
      <c r="A126" s="213" t="s">
        <v>342</v>
      </c>
      <c r="B126" s="171"/>
      <c r="C126" s="223" t="s">
        <v>21</v>
      </c>
      <c r="D126" s="181">
        <f>D32+D68+D78+D125</f>
        <v>124767597.92</v>
      </c>
      <c r="E126" s="223" t="s">
        <v>21</v>
      </c>
      <c r="F126" s="181">
        <f>F32+F68+F78+F125</f>
        <v>81373235.46</v>
      </c>
      <c r="G126" s="223" t="s">
        <v>21</v>
      </c>
      <c r="H126" s="181">
        <f>H32+H68+H78+H125</f>
        <v>81058891.91</v>
      </c>
      <c r="I126" s="223" t="s">
        <v>21</v>
      </c>
      <c r="J126" s="181">
        <f>J32+J68+J78+J125</f>
        <v>162532155.69</v>
      </c>
      <c r="K126" s="223" t="s">
        <v>21</v>
      </c>
      <c r="L126" s="183">
        <f>L32+L68+L78+L125</f>
        <v>145320728</v>
      </c>
    </row>
    <row r="127" spans="1:14" customHeight="1" ht="15.75">
      <c r="A127" s="243" t="s">
        <v>343</v>
      </c>
      <c r="B127" s="243"/>
      <c r="C127" s="243"/>
      <c r="D127" s="243"/>
      <c r="E127" s="243"/>
      <c r="F127" s="243"/>
      <c r="G127" s="243"/>
      <c r="H127" s="243"/>
      <c r="I127" s="243"/>
      <c r="J127" s="243"/>
      <c r="K127" s="243"/>
      <c r="L127" s="243"/>
    </row>
    <row r="128" spans="1:14">
      <c r="A128" s="167"/>
      <c r="B128" s="167"/>
      <c r="C128" s="167"/>
      <c r="D128" s="167"/>
      <c r="E128" s="167"/>
      <c r="F128" s="167"/>
      <c r="G128" s="167"/>
      <c r="H128" s="167"/>
      <c r="I128" s="167"/>
      <c r="J128" s="167"/>
      <c r="K128" s="167"/>
      <c r="L128" s="167"/>
    </row>
    <row r="129" spans="1:14">
      <c r="A129" s="184" t="s">
        <v>344</v>
      </c>
      <c r="B129" s="184"/>
      <c r="C129" s="184"/>
      <c r="D129" s="184"/>
      <c r="E129" s="184"/>
      <c r="F129" s="184"/>
      <c r="G129" s="184"/>
      <c r="H129" s="184"/>
      <c r="I129" s="184"/>
      <c r="J129" s="184"/>
      <c r="K129" s="184"/>
      <c r="L129" s="184"/>
    </row>
    <row r="130" spans="1:14">
      <c r="A130" s="167"/>
      <c r="B130" s="167"/>
      <c r="C130" s="167"/>
      <c r="D130" s="167"/>
      <c r="E130" s="167"/>
      <c r="F130" s="167"/>
      <c r="G130" s="167"/>
      <c r="H130" s="167"/>
      <c r="I130" s="167"/>
      <c r="J130" s="167"/>
      <c r="K130" s="167"/>
      <c r="L130" s="167"/>
    </row>
    <row r="131" spans="1:14" s="4" customFormat="1">
      <c r="A131" s="203" t="s">
        <v>345</v>
      </c>
      <c r="B131" s="203"/>
      <c r="C131" s="203"/>
      <c r="D131" s="203"/>
      <c r="E131" s="203"/>
      <c r="F131" s="203"/>
      <c r="G131" s="203"/>
      <c r="H131" s="203"/>
      <c r="I131" s="203"/>
      <c r="J131" s="203"/>
      <c r="K131" s="203"/>
      <c r="L131" s="203"/>
    </row>
    <row r="132" spans="1:14">
      <c r="A132" s="244" t="s">
        <v>346</v>
      </c>
      <c r="B132" s="244"/>
      <c r="C132" s="244"/>
      <c r="D132" s="244"/>
      <c r="E132" s="244"/>
      <c r="F132" s="244"/>
      <c r="G132" s="244"/>
      <c r="H132" s="244"/>
      <c r="I132" s="244"/>
      <c r="J132" s="244"/>
      <c r="K132" s="244"/>
      <c r="L132" s="244"/>
    </row>
    <row r="133" spans="1:14">
      <c r="A133" s="245"/>
      <c r="B133" s="159"/>
      <c r="C133" s="167"/>
      <c r="D133" s="167"/>
      <c r="E133" s="167"/>
      <c r="F133" s="167"/>
      <c r="G133" s="167"/>
      <c r="H133" s="167"/>
      <c r="I133" s="167"/>
      <c r="J133" s="167"/>
      <c r="K133" s="167"/>
      <c r="L133" s="167"/>
    </row>
    <row r="134" spans="1:14">
      <c r="A134" s="245"/>
      <c r="B134" s="159" t="s">
        <v>107</v>
      </c>
      <c r="C134" s="167"/>
      <c r="D134" s="167"/>
      <c r="E134" s="167"/>
      <c r="F134" s="167"/>
      <c r="G134" s="167"/>
      <c r="H134" s="167"/>
      <c r="I134" s="167"/>
      <c r="J134" s="167"/>
      <c r="K134" s="167"/>
      <c r="L134" s="167"/>
    </row>
    <row r="135" spans="1:14">
      <c r="A135" s="203" t="s">
        <v>110</v>
      </c>
      <c r="B135" s="203"/>
      <c r="C135" s="203"/>
      <c r="D135" s="203"/>
      <c r="E135" s="203"/>
      <c r="F135" s="203"/>
      <c r="G135" s="203"/>
      <c r="H135" s="203"/>
      <c r="I135" s="203"/>
      <c r="J135" s="203"/>
      <c r="K135" s="203"/>
      <c r="L135" s="203"/>
    </row>
    <row r="136" spans="1:14">
      <c r="A136" s="246" t="s">
        <v>111</v>
      </c>
      <c r="B136" s="247"/>
      <c r="C136" s="247"/>
      <c r="D136" s="247"/>
      <c r="E136" s="247"/>
      <c r="F136" s="247"/>
      <c r="G136" s="247"/>
      <c r="H136" s="247"/>
      <c r="I136" s="247"/>
      <c r="J136" s="247"/>
      <c r="K136" s="247"/>
      <c r="L136" s="247"/>
    </row>
    <row r="137" spans="1:14">
      <c r="A137" s="248"/>
      <c r="B137" s="157"/>
      <c r="C137" s="157"/>
      <c r="D137" s="157"/>
      <c r="E137" s="157"/>
      <c r="F137" s="157"/>
      <c r="G137" s="157"/>
      <c r="H137" s="157"/>
      <c r="I137" s="157"/>
      <c r="J137" s="157"/>
      <c r="K137" s="157"/>
      <c r="L137" s="157"/>
    </row>
    <row r="138" spans="1:14">
      <c r="A138" s="248"/>
      <c r="B138" s="157"/>
      <c r="C138" s="157"/>
      <c r="D138" s="157"/>
      <c r="E138" s="157"/>
      <c r="F138" s="157"/>
      <c r="G138" s="157"/>
      <c r="H138" s="157"/>
      <c r="I138" s="157"/>
      <c r="J138" s="157"/>
      <c r="K138" s="157"/>
      <c r="L138" s="157"/>
    </row>
    <row r="139" spans="1:14">
      <c r="A139" s="249" t="s">
        <v>347</v>
      </c>
      <c r="L139" s="119"/>
    </row>
    <row r="140" spans="1:14">
      <c r="A140" s="250" t="s">
        <v>348</v>
      </c>
      <c r="B140" s="250"/>
      <c r="C140" s="250"/>
      <c r="D140" s="250"/>
      <c r="E140" s="250"/>
      <c r="F140" s="250"/>
      <c r="G140" s="250"/>
      <c r="H140" s="250"/>
      <c r="I140" s="250"/>
      <c r="J140" s="250"/>
      <c r="K140" s="250"/>
      <c r="L140" s="250"/>
    </row>
    <row r="141" spans="1:14">
      <c r="A141" s="250" t="s">
        <v>349</v>
      </c>
      <c r="B141" s="250"/>
      <c r="C141" s="250"/>
      <c r="D141" s="250"/>
      <c r="E141" s="250"/>
      <c r="F141" s="250"/>
      <c r="G141" s="250"/>
      <c r="H141" s="250"/>
      <c r="I141" s="250"/>
      <c r="J141" s="250"/>
      <c r="K141" s="250"/>
      <c r="L141" s="250"/>
    </row>
    <row r="142" spans="1:14">
      <c r="A142" s="250" t="s">
        <v>350</v>
      </c>
      <c r="B142" s="250"/>
      <c r="C142" s="250"/>
      <c r="D142" s="250"/>
      <c r="E142" s="250"/>
      <c r="F142" s="250"/>
      <c r="G142" s="250"/>
      <c r="H142" s="250"/>
      <c r="I142" s="250"/>
      <c r="J142" s="250"/>
      <c r="K142" s="250"/>
      <c r="L142" s="250"/>
    </row>
    <row r="143" spans="1:14" customHeight="1" ht="15.75">
      <c r="A143" s="251"/>
      <c r="B143" s="251"/>
      <c r="C143" s="251"/>
      <c r="D143" s="251"/>
      <c r="E143" s="251"/>
      <c r="F143" s="251"/>
      <c r="G143" s="251"/>
      <c r="H143" s="251"/>
      <c r="L143" s="119"/>
    </row>
    <row r="144" spans="1:14">
      <c r="A144" s="185" t="s">
        <v>351</v>
      </c>
      <c r="B144" s="47"/>
      <c r="C144" s="186" t="s">
        <v>352</v>
      </c>
      <c r="D144" s="187"/>
      <c r="E144" s="188" t="s">
        <v>353</v>
      </c>
      <c r="F144" s="189"/>
      <c r="G144" s="189"/>
      <c r="H144" s="189"/>
      <c r="I144" s="189"/>
      <c r="J144" s="190"/>
      <c r="K144" s="191" t="s">
        <v>354</v>
      </c>
      <c r="L144" s="192"/>
    </row>
    <row r="145" spans="1:14">
      <c r="A145" s="193"/>
      <c r="B145" s="194" t="s">
        <v>355</v>
      </c>
      <c r="C145" s="195">
        <v>2021</v>
      </c>
      <c r="D145" s="196"/>
      <c r="E145" s="197" t="s">
        <v>12</v>
      </c>
      <c r="F145" s="198"/>
      <c r="G145" s="199" t="s">
        <v>356</v>
      </c>
      <c r="H145" s="200"/>
      <c r="I145" s="201" t="s">
        <v>357</v>
      </c>
      <c r="J145" s="202"/>
      <c r="K145" s="203">
        <v>2023</v>
      </c>
      <c r="L145" s="204"/>
    </row>
    <row r="146" spans="1:14" customHeight="1" ht="15.75">
      <c r="A146" s="205"/>
      <c r="B146" s="206" t="s">
        <v>358</v>
      </c>
      <c r="C146" s="207" t="s">
        <v>359</v>
      </c>
      <c r="D146" s="208"/>
      <c r="E146" s="207" t="s">
        <v>15</v>
      </c>
      <c r="F146" s="208"/>
      <c r="G146" s="207" t="s">
        <v>16</v>
      </c>
      <c r="H146" s="208"/>
      <c r="I146" s="209"/>
      <c r="J146" s="210"/>
      <c r="K146" s="211" t="s">
        <v>360</v>
      </c>
      <c r="L146" s="212"/>
    </row>
    <row r="147" spans="1:14">
      <c r="A147" s="155" t="s">
        <v>361</v>
      </c>
      <c r="B147" s="156"/>
      <c r="C147" s="232"/>
      <c r="D147" s="227"/>
      <c r="E147" s="254"/>
      <c r="F147" s="227"/>
      <c r="G147" s="254"/>
      <c r="H147" s="227"/>
      <c r="I147" s="167"/>
      <c r="J147" s="214"/>
      <c r="K147" s="167"/>
      <c r="L147" s="169"/>
    </row>
    <row r="148" spans="1:14">
      <c r="A148" s="155" t="s">
        <v>362</v>
      </c>
      <c r="B148" s="164"/>
      <c r="C148" s="232"/>
      <c r="D148" s="227"/>
      <c r="E148" s="254"/>
      <c r="F148" s="227"/>
      <c r="G148" s="254"/>
      <c r="H148" s="227"/>
      <c r="I148" s="167"/>
      <c r="J148" s="214"/>
      <c r="K148" s="167"/>
      <c r="L148" s="169"/>
    </row>
    <row r="149" spans="1:14">
      <c r="A149" s="170" t="s">
        <v>363</v>
      </c>
      <c r="B149" s="164" t="s">
        <v>20</v>
      </c>
      <c r="C149" s="234" t="s">
        <v>21</v>
      </c>
      <c r="D149" s="168">
        <v>1884612.63</v>
      </c>
      <c r="E149" s="253" t="s">
        <v>21</v>
      </c>
      <c r="F149" s="168">
        <v>974093.36</v>
      </c>
      <c r="G149" s="253" t="s">
        <v>21</v>
      </c>
      <c r="H149" s="168">
        <f>J149-F149</f>
        <v>1092381.55</v>
      </c>
      <c r="I149" s="167" t="s">
        <v>21</v>
      </c>
      <c r="J149" s="168">
        <v>2066474.91</v>
      </c>
      <c r="K149" s="167" t="s">
        <v>21</v>
      </c>
      <c r="L149" s="169">
        <v>2172519.12</v>
      </c>
    </row>
    <row r="150" spans="1:14">
      <c r="A150" s="170" t="s">
        <v>364</v>
      </c>
      <c r="B150" s="164" t="s">
        <v>365</v>
      </c>
      <c r="C150" s="234"/>
      <c r="D150" s="174">
        <v>1390000</v>
      </c>
      <c r="E150" s="253"/>
      <c r="F150" s="174">
        <v>0</v>
      </c>
      <c r="G150" s="253"/>
      <c r="H150" s="174">
        <v>0</v>
      </c>
      <c r="I150" s="167"/>
      <c r="J150" s="174">
        <v>0</v>
      </c>
      <c r="K150" s="167"/>
      <c r="L150" s="175">
        <v>0</v>
      </c>
    </row>
    <row r="151" spans="1:14">
      <c r="A151" s="213" t="s">
        <v>22</v>
      </c>
      <c r="B151" s="164"/>
      <c r="C151" s="232"/>
      <c r="D151" s="227"/>
      <c r="E151" s="254"/>
      <c r="F151" s="227"/>
      <c r="G151" s="254"/>
      <c r="H151" s="227"/>
      <c r="I151" s="167"/>
      <c r="J151" s="168"/>
      <c r="K151" s="167"/>
      <c r="L151" s="169"/>
    </row>
    <row r="152" spans="1:14">
      <c r="A152" s="170" t="s">
        <v>23</v>
      </c>
      <c r="B152" s="164" t="s">
        <v>24</v>
      </c>
      <c r="C152" s="232"/>
      <c r="D152" s="172">
        <v>350000</v>
      </c>
      <c r="E152" s="253"/>
      <c r="F152" s="172">
        <v>178928.57</v>
      </c>
      <c r="G152" s="253"/>
      <c r="H152" s="168">
        <f>J152-F152</f>
        <v>200103.69</v>
      </c>
      <c r="I152" s="167"/>
      <c r="J152" s="172">
        <v>379032.26</v>
      </c>
      <c r="K152" s="167"/>
      <c r="L152" s="173">
        <v>384000</v>
      </c>
    </row>
    <row r="153" spans="1:14">
      <c r="A153" s="170" t="s">
        <v>29</v>
      </c>
      <c r="B153" s="164" t="s">
        <v>30</v>
      </c>
      <c r="C153" s="232"/>
      <c r="D153" s="168">
        <v>90000</v>
      </c>
      <c r="E153" s="253"/>
      <c r="F153" s="168">
        <v>90000</v>
      </c>
      <c r="G153" s="253"/>
      <c r="H153" s="174">
        <f>J153-F153</f>
        <v>6000</v>
      </c>
      <c r="I153" s="167"/>
      <c r="J153" s="168">
        <v>96000</v>
      </c>
      <c r="K153" s="167"/>
      <c r="L153" s="169">
        <v>96000</v>
      </c>
    </row>
    <row r="154" spans="1:14">
      <c r="A154" s="170" t="s">
        <v>366</v>
      </c>
      <c r="B154" s="164" t="s">
        <v>32</v>
      </c>
      <c r="C154" s="234"/>
      <c r="D154" s="174">
        <v>70000</v>
      </c>
      <c r="E154" s="253"/>
      <c r="F154" s="174">
        <v>0</v>
      </c>
      <c r="G154" s="253"/>
      <c r="H154" s="174">
        <f>J154-F154</f>
        <v>80000</v>
      </c>
      <c r="I154" s="217"/>
      <c r="J154" s="174">
        <v>80000</v>
      </c>
      <c r="K154" s="167"/>
      <c r="L154" s="175">
        <v>80000</v>
      </c>
    </row>
    <row r="155" spans="1:14">
      <c r="A155" s="170" t="s">
        <v>295</v>
      </c>
      <c r="B155" s="164" t="s">
        <v>34</v>
      </c>
      <c r="C155" s="234"/>
      <c r="D155" s="174">
        <v>150000</v>
      </c>
      <c r="E155" s="253"/>
      <c r="F155" s="174">
        <v>0</v>
      </c>
      <c r="G155" s="253"/>
      <c r="H155" s="174">
        <f>J155-F155</f>
        <v>10000</v>
      </c>
      <c r="I155" s="217"/>
      <c r="J155" s="174">
        <v>10000</v>
      </c>
      <c r="K155" s="167"/>
      <c r="L155" s="175">
        <v>160000</v>
      </c>
    </row>
    <row r="156" spans="1:14">
      <c r="A156" s="170" t="s">
        <v>35</v>
      </c>
      <c r="B156" s="164" t="s">
        <v>36</v>
      </c>
      <c r="C156" s="234"/>
      <c r="D156" s="174">
        <v>151405</v>
      </c>
      <c r="E156" s="253"/>
      <c r="F156" s="174">
        <v>0</v>
      </c>
      <c r="G156" s="253"/>
      <c r="H156" s="174">
        <f>J156-F156</f>
        <v>174465</v>
      </c>
      <c r="I156" s="217"/>
      <c r="J156" s="174">
        <v>174465</v>
      </c>
      <c r="K156" s="167"/>
      <c r="L156" s="175">
        <v>181310</v>
      </c>
    </row>
    <row r="157" spans="1:14">
      <c r="A157" s="170" t="s">
        <v>37</v>
      </c>
      <c r="B157" s="164" t="s">
        <v>38</v>
      </c>
      <c r="C157" s="234"/>
      <c r="D157" s="174">
        <v>70000</v>
      </c>
      <c r="E157" s="253"/>
      <c r="F157" s="174">
        <v>0</v>
      </c>
      <c r="G157" s="253"/>
      <c r="H157" s="174">
        <f>J157-F157</f>
        <v>80000</v>
      </c>
      <c r="I157" s="217"/>
      <c r="J157" s="174">
        <v>80000</v>
      </c>
      <c r="K157" s="167"/>
      <c r="L157" s="175">
        <v>80000</v>
      </c>
    </row>
    <row r="158" spans="1:14">
      <c r="A158" s="170" t="s">
        <v>39</v>
      </c>
      <c r="B158" s="164" t="s">
        <v>40</v>
      </c>
      <c r="C158" s="234"/>
      <c r="D158" s="174">
        <v>151405</v>
      </c>
      <c r="E158" s="253"/>
      <c r="F158" s="174">
        <v>153124</v>
      </c>
      <c r="G158" s="253"/>
      <c r="H158" s="174">
        <f>J158-F158</f>
        <v>10614</v>
      </c>
      <c r="I158" s="217"/>
      <c r="J158" s="174">
        <v>163738</v>
      </c>
      <c r="K158" s="167"/>
      <c r="L158" s="175">
        <v>180611</v>
      </c>
    </row>
    <row r="159" spans="1:14">
      <c r="A159" s="213" t="s">
        <v>41</v>
      </c>
      <c r="B159" s="164"/>
      <c r="C159" s="232"/>
      <c r="D159" s="227"/>
      <c r="E159" s="254"/>
      <c r="F159" s="227"/>
      <c r="G159" s="254"/>
      <c r="H159" s="227"/>
      <c r="I159" s="223"/>
      <c r="J159" s="227"/>
      <c r="K159" s="226"/>
      <c r="L159" s="228"/>
    </row>
    <row r="160" spans="1:14">
      <c r="A160" s="170" t="s">
        <v>42</v>
      </c>
      <c r="B160" s="164" t="s">
        <v>43</v>
      </c>
      <c r="C160" s="159"/>
      <c r="D160" s="172">
        <v>226153.51</v>
      </c>
      <c r="E160" s="255"/>
      <c r="F160" s="172">
        <v>116891.1</v>
      </c>
      <c r="G160" s="255"/>
      <c r="H160" s="168">
        <f>J160-F160</f>
        <v>131085.89</v>
      </c>
      <c r="I160" s="167"/>
      <c r="J160" s="172">
        <v>247976.99</v>
      </c>
      <c r="K160" s="167"/>
      <c r="L160" s="173">
        <v>260702.29</v>
      </c>
    </row>
    <row r="161" spans="1:14">
      <c r="A161" s="170" t="s">
        <v>44</v>
      </c>
      <c r="B161" s="164" t="s">
        <v>45</v>
      </c>
      <c r="C161" s="234"/>
      <c r="D161" s="172">
        <v>17500</v>
      </c>
      <c r="E161" s="253"/>
      <c r="F161" s="172">
        <v>9000</v>
      </c>
      <c r="G161" s="253"/>
      <c r="H161" s="174">
        <f>J161-F161</f>
        <v>9951.61</v>
      </c>
      <c r="I161" s="217"/>
      <c r="J161" s="172">
        <v>18951.61</v>
      </c>
      <c r="K161" s="167"/>
      <c r="L161" s="173">
        <v>19200</v>
      </c>
    </row>
    <row r="162" spans="1:14">
      <c r="A162" s="170" t="s">
        <v>46</v>
      </c>
      <c r="B162" s="164" t="s">
        <v>47</v>
      </c>
      <c r="C162" s="234"/>
      <c r="D162" s="174">
        <v>28543.21</v>
      </c>
      <c r="E162" s="253"/>
      <c r="F162" s="174">
        <v>15560.67</v>
      </c>
      <c r="G162" s="253"/>
      <c r="H162" s="174">
        <f>J162-F162</f>
        <v>15436.48</v>
      </c>
      <c r="I162" s="217"/>
      <c r="J162" s="174">
        <v>30997.15</v>
      </c>
      <c r="K162" s="167"/>
      <c r="L162" s="175">
        <v>48881.65</v>
      </c>
    </row>
    <row r="163" spans="1:14">
      <c r="A163" s="170" t="s">
        <v>48</v>
      </c>
      <c r="B163" s="164" t="s">
        <v>49</v>
      </c>
      <c r="C163" s="232"/>
      <c r="D163" s="174">
        <v>17317.48</v>
      </c>
      <c r="E163" s="255"/>
      <c r="F163" s="174">
        <v>8946.49</v>
      </c>
      <c r="G163" s="255"/>
      <c r="H163" s="174">
        <f>J163-F163</f>
        <v>10005.124</v>
      </c>
      <c r="I163" s="167"/>
      <c r="J163" s="174">
        <v>18951.614</v>
      </c>
      <c r="K163" s="167"/>
      <c r="L163" s="175">
        <v>19200</v>
      </c>
    </row>
    <row r="164" spans="1:14">
      <c r="A164" s="256" t="s">
        <v>51</v>
      </c>
      <c r="B164" s="164" t="s">
        <v>52</v>
      </c>
      <c r="C164" s="240"/>
      <c r="D164" s="218">
        <v>76188.97</v>
      </c>
      <c r="E164" s="255"/>
      <c r="F164" s="218">
        <v>0</v>
      </c>
      <c r="G164" s="255"/>
      <c r="H164" s="218">
        <v>0</v>
      </c>
      <c r="I164" s="167"/>
      <c r="J164" s="218">
        <v>0</v>
      </c>
      <c r="K164" s="167"/>
      <c r="L164" s="219">
        <v>0</v>
      </c>
    </row>
    <row r="165" spans="1:14" customHeight="1" ht="15.75">
      <c r="A165" s="170" t="s">
        <v>142</v>
      </c>
      <c r="B165" s="164" t="s">
        <v>54</v>
      </c>
      <c r="C165" s="240"/>
      <c r="D165" s="176">
        <v>20000</v>
      </c>
      <c r="E165" s="255"/>
      <c r="F165" s="176">
        <v>0</v>
      </c>
      <c r="G165" s="255"/>
      <c r="H165" s="176">
        <f>J165-F165</f>
        <v>170000</v>
      </c>
      <c r="I165" s="167"/>
      <c r="J165" s="176">
        <v>170000</v>
      </c>
      <c r="K165" s="167"/>
      <c r="L165" s="177">
        <v>0</v>
      </c>
    </row>
    <row r="166" spans="1:14">
      <c r="A166" s="213" t="s">
        <v>367</v>
      </c>
      <c r="B166" s="252"/>
      <c r="C166" s="269" t="s">
        <v>21</v>
      </c>
      <c r="D166" s="227">
        <f>SUM(D149:D165)</f>
        <v>4693125.8</v>
      </c>
      <c r="E166" s="269" t="s">
        <v>21</v>
      </c>
      <c r="F166" s="227">
        <f>SUM(F149:F165)</f>
        <v>1546544.19</v>
      </c>
      <c r="G166" s="269" t="s">
        <v>21</v>
      </c>
      <c r="H166" s="227">
        <f>SUM(H149:H165)</f>
        <v>1990043.344</v>
      </c>
      <c r="I166" s="269" t="s">
        <v>21</v>
      </c>
      <c r="J166" s="227">
        <f>SUM(J149:J165)</f>
        <v>3536587.534</v>
      </c>
      <c r="K166" s="269" t="s">
        <v>21</v>
      </c>
      <c r="L166" s="228">
        <f>SUM(L149:L165)</f>
        <v>3682424.06</v>
      </c>
    </row>
    <row r="167" spans="1:14">
      <c r="A167" s="270" t="s">
        <v>368</v>
      </c>
      <c r="B167" s="271"/>
      <c r="C167" s="272"/>
      <c r="D167" s="273"/>
      <c r="E167" s="272"/>
      <c r="F167" s="273"/>
      <c r="G167" s="272"/>
      <c r="H167" s="273"/>
      <c r="I167" s="274"/>
      <c r="J167" s="268"/>
      <c r="K167" s="272"/>
      <c r="L167" s="275"/>
    </row>
    <row r="168" spans="1:14">
      <c r="A168" s="170" t="s">
        <v>57</v>
      </c>
      <c r="B168" s="164" t="s">
        <v>58</v>
      </c>
      <c r="C168" s="159" t="s">
        <v>21</v>
      </c>
      <c r="D168" s="258">
        <v>24740</v>
      </c>
      <c r="E168" s="159" t="s">
        <v>21</v>
      </c>
      <c r="F168" s="258">
        <v>650</v>
      </c>
      <c r="G168" s="159" t="s">
        <v>21</v>
      </c>
      <c r="H168" s="258">
        <f>J168-F168</f>
        <v>23938.98</v>
      </c>
      <c r="I168" s="259" t="s">
        <v>21</v>
      </c>
      <c r="J168" s="258">
        <v>24588.98</v>
      </c>
      <c r="K168" s="159" t="s">
        <v>21</v>
      </c>
      <c r="L168" s="260">
        <v>15000</v>
      </c>
    </row>
    <row r="169" spans="1:14">
      <c r="A169" s="170" t="s">
        <v>61</v>
      </c>
      <c r="B169" s="164" t="s">
        <v>62</v>
      </c>
      <c r="C169" s="159"/>
      <c r="D169" s="233">
        <v>0</v>
      </c>
      <c r="E169" s="159"/>
      <c r="F169" s="233">
        <v>0</v>
      </c>
      <c r="G169" s="159"/>
      <c r="H169" s="233">
        <v>0</v>
      </c>
      <c r="I169" s="259"/>
      <c r="J169" s="233">
        <v>45000</v>
      </c>
      <c r="K169" s="159"/>
      <c r="L169" s="236">
        <v>40000</v>
      </c>
    </row>
    <row r="170" spans="1:14">
      <c r="A170" s="170" t="s">
        <v>79</v>
      </c>
      <c r="B170" s="164" t="s">
        <v>80</v>
      </c>
      <c r="C170" s="159"/>
      <c r="D170" s="261">
        <v>0</v>
      </c>
      <c r="E170" s="159"/>
      <c r="F170" s="261">
        <v>843338</v>
      </c>
      <c r="G170" s="159"/>
      <c r="H170" s="261">
        <f>J170-F170</f>
        <v>856662</v>
      </c>
      <c r="I170" s="259"/>
      <c r="J170" s="261">
        <v>1700000</v>
      </c>
      <c r="K170" s="159"/>
      <c r="L170" s="262">
        <v>1895000</v>
      </c>
    </row>
    <row r="171" spans="1:14" customHeight="1" ht="15.75">
      <c r="A171" s="170" t="s">
        <v>91</v>
      </c>
      <c r="B171" s="164" t="s">
        <v>92</v>
      </c>
      <c r="C171" s="159"/>
      <c r="D171" s="237">
        <v>521881</v>
      </c>
      <c r="E171" s="159"/>
      <c r="F171" s="237">
        <v>299458.13</v>
      </c>
      <c r="G171" s="159"/>
      <c r="H171" s="237">
        <f>J171-F171</f>
        <v>294365.36</v>
      </c>
      <c r="I171" s="259"/>
      <c r="J171" s="237">
        <v>593823.49</v>
      </c>
      <c r="K171" s="159"/>
      <c r="L171" s="238">
        <v>587575.94</v>
      </c>
    </row>
    <row r="172" spans="1:14" customHeight="1" ht="15.75">
      <c r="A172" s="213" t="s">
        <v>93</v>
      </c>
      <c r="B172" s="194"/>
      <c r="C172" s="240" t="s">
        <v>21</v>
      </c>
      <c r="D172" s="239">
        <f>SUM(D168:D171)</f>
        <v>546621</v>
      </c>
      <c r="E172" s="240" t="s">
        <v>21</v>
      </c>
      <c r="F172" s="239">
        <v>1143446.13</v>
      </c>
      <c r="G172" s="240" t="s">
        <v>21</v>
      </c>
      <c r="H172" s="239">
        <f>SUM(H168:H171)</f>
        <v>1174966.34</v>
      </c>
      <c r="I172" s="257" t="s">
        <v>21</v>
      </c>
      <c r="J172" s="239">
        <f>SUM(J168:J171)</f>
        <v>2363412.47</v>
      </c>
      <c r="K172" s="240" t="s">
        <v>21</v>
      </c>
      <c r="L172" s="241">
        <f>SUM(L168:L171)</f>
        <v>2537575.94</v>
      </c>
    </row>
    <row r="173" spans="1:14" customHeight="1" ht="15.75">
      <c r="A173" s="213" t="s">
        <v>342</v>
      </c>
      <c r="B173" s="194"/>
      <c r="C173" s="240" t="s">
        <v>21</v>
      </c>
      <c r="D173" s="263">
        <f>D166+D172</f>
        <v>5239746.8</v>
      </c>
      <c r="E173" s="240" t="s">
        <v>21</v>
      </c>
      <c r="F173" s="263">
        <f>SUM(F168:F172)</f>
        <v>2286892.26</v>
      </c>
      <c r="G173" s="240" t="s">
        <v>21</v>
      </c>
      <c r="H173" s="263">
        <f>H166+H172</f>
        <v>3165009.684</v>
      </c>
      <c r="I173" s="257" t="s">
        <v>21</v>
      </c>
      <c r="J173" s="263">
        <f>J166+J172</f>
        <v>5900000.004</v>
      </c>
      <c r="K173" s="240" t="s">
        <v>21</v>
      </c>
      <c r="L173" s="241">
        <f>L166+L172</f>
        <v>6220000</v>
      </c>
      <c r="N173" s="116"/>
    </row>
    <row r="174" spans="1:14" customHeight="1" ht="16.5">
      <c r="A174" s="264"/>
      <c r="B174" s="265"/>
      <c r="C174" s="265"/>
      <c r="D174" s="265"/>
      <c r="E174" s="265"/>
      <c r="F174" s="266"/>
      <c r="G174" s="265"/>
      <c r="H174" s="265"/>
      <c r="I174" s="267"/>
      <c r="J174" s="267"/>
      <c r="K174" s="265"/>
      <c r="L174" s="265"/>
    </row>
    <row r="175" spans="1:14" customHeight="1" ht="15.75">
      <c r="A175" s="243" t="s">
        <v>343</v>
      </c>
      <c r="B175" s="243"/>
      <c r="C175" s="243"/>
      <c r="D175" s="243"/>
      <c r="E175" s="243"/>
      <c r="F175" s="243"/>
      <c r="G175" s="243"/>
      <c r="H175" s="243"/>
      <c r="I175" s="243"/>
      <c r="J175" s="243"/>
      <c r="K175" s="243"/>
      <c r="L175" s="243"/>
    </row>
    <row r="176" spans="1:14">
      <c r="A176" s="167"/>
      <c r="B176" s="167"/>
      <c r="C176" s="167"/>
      <c r="D176" s="167"/>
      <c r="E176" s="167"/>
      <c r="F176" s="167"/>
      <c r="G176" s="167"/>
      <c r="H176" s="167"/>
      <c r="I176" s="167"/>
      <c r="J176" s="167"/>
      <c r="K176" s="167"/>
      <c r="L176" s="167"/>
    </row>
    <row r="177" spans="1:14">
      <c r="A177" s="184" t="s">
        <v>344</v>
      </c>
      <c r="B177" s="184"/>
      <c r="C177" s="184"/>
      <c r="D177" s="184"/>
      <c r="E177" s="184"/>
      <c r="F177" s="184"/>
      <c r="G177" s="184"/>
      <c r="H177" s="184"/>
      <c r="I177" s="184"/>
      <c r="J177" s="184"/>
      <c r="K177" s="184"/>
      <c r="L177" s="184"/>
    </row>
    <row r="178" spans="1:14">
      <c r="A178" s="167"/>
      <c r="B178" s="167"/>
      <c r="C178" s="167"/>
      <c r="D178" s="167"/>
      <c r="E178" s="167"/>
      <c r="F178" s="167"/>
      <c r="G178" s="167"/>
      <c r="H178" s="167"/>
      <c r="I178" s="167"/>
      <c r="J178" s="167"/>
      <c r="K178" s="167"/>
      <c r="L178" s="167"/>
    </row>
    <row r="179" spans="1:14" s="4" customFormat="1">
      <c r="A179" s="203" t="s">
        <v>345</v>
      </c>
      <c r="B179" s="203"/>
      <c r="C179" s="203"/>
      <c r="D179" s="203"/>
      <c r="E179" s="203"/>
      <c r="F179" s="203"/>
      <c r="G179" s="203"/>
      <c r="H179" s="203"/>
      <c r="I179" s="203"/>
      <c r="J179" s="203"/>
      <c r="K179" s="203"/>
      <c r="L179" s="203"/>
    </row>
    <row r="180" spans="1:14">
      <c r="A180" s="244" t="s">
        <v>346</v>
      </c>
      <c r="B180" s="244"/>
      <c r="C180" s="244"/>
      <c r="D180" s="244"/>
      <c r="E180" s="244"/>
      <c r="F180" s="244"/>
      <c r="G180" s="244"/>
      <c r="H180" s="244"/>
      <c r="I180" s="244"/>
      <c r="J180" s="244"/>
      <c r="K180" s="244"/>
      <c r="L180" s="244"/>
    </row>
    <row r="181" spans="1:14">
      <c r="A181" s="245"/>
      <c r="B181" s="159"/>
      <c r="C181" s="167"/>
      <c r="D181" s="167"/>
      <c r="E181" s="167"/>
      <c r="F181" s="167"/>
      <c r="G181" s="167"/>
      <c r="H181" s="167"/>
      <c r="I181" s="167"/>
      <c r="J181" s="167"/>
      <c r="K181" s="167"/>
      <c r="L181" s="167"/>
    </row>
    <row r="182" spans="1:14">
      <c r="A182" s="245"/>
      <c r="B182" s="159" t="s">
        <v>107</v>
      </c>
      <c r="C182" s="167"/>
      <c r="D182" s="167"/>
      <c r="E182" s="167"/>
      <c r="F182" s="167"/>
      <c r="G182" s="167"/>
      <c r="H182" s="167"/>
      <c r="I182" s="167"/>
      <c r="J182" s="167"/>
      <c r="K182" s="167"/>
      <c r="L182" s="167"/>
    </row>
    <row r="183" spans="1:14">
      <c r="A183" s="203" t="s">
        <v>110</v>
      </c>
      <c r="B183" s="203"/>
      <c r="C183" s="203"/>
      <c r="D183" s="203"/>
      <c r="E183" s="203"/>
      <c r="F183" s="203"/>
      <c r="G183" s="203"/>
      <c r="H183" s="203"/>
      <c r="I183" s="203"/>
      <c r="J183" s="203"/>
      <c r="K183" s="203"/>
      <c r="L183" s="203"/>
    </row>
    <row r="184" spans="1:14">
      <c r="A184" s="246" t="s">
        <v>111</v>
      </c>
      <c r="B184" s="247"/>
      <c r="C184" s="247"/>
      <c r="D184" s="247"/>
      <c r="E184" s="247"/>
      <c r="F184" s="247"/>
      <c r="G184" s="247"/>
      <c r="H184" s="247"/>
      <c r="I184" s="247"/>
      <c r="J184" s="247"/>
      <c r="K184" s="247"/>
      <c r="L184" s="247"/>
    </row>
    <row r="185" spans="1:14">
      <c r="L185" s="119"/>
    </row>
    <row r="186" spans="1:14">
      <c r="L186" s="119"/>
    </row>
    <row r="187" spans="1:14">
      <c r="L187" s="119"/>
    </row>
    <row r="188" spans="1:14">
      <c r="L188" s="119"/>
    </row>
    <row r="189" spans="1:14">
      <c r="L189" s="119"/>
    </row>
    <row r="190" spans="1:14">
      <c r="L190" s="11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31:L131"/>
    <mergeCell ref="A132:L132"/>
    <mergeCell ref="A179:L179"/>
    <mergeCell ref="A180:L180"/>
    <mergeCell ref="A183:L183"/>
    <mergeCell ref="A184:L184"/>
    <mergeCell ref="A175:L175"/>
    <mergeCell ref="A177:L177"/>
    <mergeCell ref="E146:F146"/>
    <mergeCell ref="G146:H146"/>
    <mergeCell ref="K146:L146"/>
    <mergeCell ref="A142:L142"/>
    <mergeCell ref="C144:D144"/>
    <mergeCell ref="E144:J144"/>
    <mergeCell ref="K144:L144"/>
    <mergeCell ref="C145:D145"/>
    <mergeCell ref="E145:F145"/>
    <mergeCell ref="G145:H145"/>
    <mergeCell ref="I145:J146"/>
    <mergeCell ref="K145:L145"/>
    <mergeCell ref="C146:D146"/>
    <mergeCell ref="A135:L135"/>
    <mergeCell ref="A127:L127"/>
    <mergeCell ref="A144:A146"/>
    <mergeCell ref="A136:L136"/>
    <mergeCell ref="A140:L140"/>
    <mergeCell ref="A141:L141"/>
    <mergeCell ref="A129:L129"/>
    <mergeCell ref="C10:D10"/>
    <mergeCell ref="E10:F10"/>
    <mergeCell ref="G10:H10"/>
    <mergeCell ref="K10:L10"/>
    <mergeCell ref="A1:L1"/>
    <mergeCell ref="A2:L2"/>
    <mergeCell ref="C8:D8"/>
    <mergeCell ref="E8:J8"/>
    <mergeCell ref="K8:L8"/>
    <mergeCell ref="C9:D9"/>
    <mergeCell ref="E9:F9"/>
    <mergeCell ref="G9:H9"/>
    <mergeCell ref="I9:J10"/>
    <mergeCell ref="K9:L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FORM 1a - MAYOR</vt:lpstr>
      <vt:lpstr>FORM 1a - MDRRMO </vt:lpstr>
      <vt:lpstr>FORM 1a - VICE MAYOR</vt:lpstr>
      <vt:lpstr>FORM 1a - SANGGUNIANG BAYAN</vt:lpstr>
      <vt:lpstr>FORM 1a - HR</vt:lpstr>
      <vt:lpstr>FORM 1a -MPDC</vt:lpstr>
      <vt:lpstr>FORM 1a - REGISTRAR</vt:lpstr>
      <vt:lpstr>FORM 1a - BUDGET</vt:lpstr>
      <vt:lpstr>FORM 1a - ACCOUNTING</vt:lpstr>
      <vt:lpstr>FORM 1a - TREASURY</vt:lpstr>
      <vt:lpstr>FORM 1a - ASSESSOR</vt:lpstr>
      <vt:lpstr>FORM 1a -   RHU</vt:lpstr>
      <vt:lpstr>FORM 1a -   MSWD</vt:lpstr>
      <vt:lpstr>FORM 1a -   AGRICULTURE</vt:lpstr>
      <vt:lpstr>FORM 1a -  ENGINEERING</vt:lpstr>
      <vt:lpstr>FORM 1a - SPA</vt:lpstr>
      <vt:lpstr>FORM 1a - MARKET</vt:lpstr>
      <vt:lpstr>FORM 1a - SLAUGHTERHOUSE</vt:lpstr>
      <vt:lpstr>FORM 1a - CEMETERY</vt:lpstr>
      <vt:lpstr>FORM 1b - ABR SUMMARY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emaxx</dc:creator>
  <cp:lastModifiedBy>emaxx</cp:lastModifiedBy>
  <dcterms:created xsi:type="dcterms:W3CDTF">2023-05-18T08:49:51+08:00</dcterms:created>
  <dcterms:modified xsi:type="dcterms:W3CDTF">2023-05-18T11:12:01+08:00</dcterms:modified>
  <dc:title/>
  <dc:description/>
  <dc:subject/>
  <cp:keywords/>
  <cp:category/>
</cp:coreProperties>
</file>