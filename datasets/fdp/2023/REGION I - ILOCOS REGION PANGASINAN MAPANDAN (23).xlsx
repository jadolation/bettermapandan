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6" minimized="false" showHorizontalScroll="true" showSheetTabs="true" showVerticalScroll="true" tabRatio="915" visibility="visible"/>
  </bookViews>
  <sheets>
    <sheet name=" APP Accouting Office " sheetId="1" r:id="rId4"/>
    <sheet name="APP Agriculture Office" sheetId="2" r:id="rId5"/>
    <sheet name="APP Assesor Office" sheetId="3" r:id="rId6"/>
    <sheet name="APP Budget Office " sheetId="4" r:id="rId7"/>
    <sheet name="APP DILG Office" sheetId="5" r:id="rId8"/>
    <sheet name="APP EngineeringOffice" sheetId="6" r:id="rId9"/>
    <sheet name="APP HR Office" sheetId="7" r:id="rId10"/>
    <sheet name="APP MPDC Office" sheetId="8" r:id="rId11"/>
    <sheet name="APP MSWD Office" sheetId="9" r:id="rId12"/>
    <sheet name="APP MDRRM Office" sheetId="10" r:id="rId13"/>
    <sheet name="APP MAyors Office" sheetId="11" r:id="rId14"/>
    <sheet name="APP RHU Office" sheetId="12" r:id="rId15"/>
    <sheet name="APP Registrar Office" sheetId="13" r:id="rId16"/>
    <sheet name="APP Treasury Office " sheetId="14" r:id="rId17"/>
    <sheet name="APP Vice MAyor's Office" sheetId="15" r:id="rId18"/>
    <sheet name="data validation" sheetId="16" state="hidden" r:id="rId19"/>
    <sheet name="Form 4b - APP Summary" sheetId="17" r:id="rId20"/>
    <sheet name="FDPP LICENSE" sheetId="18" state="veryHidden" r:id="rId2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<sst xmlns="http://schemas.openxmlformats.org/spreadsheetml/2006/main" uniqueCount="808">
  <si>
    <t>FDP Form 4a - Annual Procurement Plan or Procurement List, by Office or Department</t>
  </si>
  <si>
    <t>ANNUAL PROCUREMENT PLAN</t>
  </si>
  <si>
    <t>REGION:</t>
  </si>
  <si>
    <t>CALENDAR YEAR:</t>
  </si>
  <si>
    <t>PROVINCE:</t>
  </si>
  <si>
    <t>Pangasinan</t>
  </si>
  <si>
    <t>OFFICE/DEPARTMENT:</t>
  </si>
  <si>
    <t xml:space="preserve">Accounting Office </t>
  </si>
  <si>
    <t>CITY/MUNICIPALITY:</t>
  </si>
  <si>
    <t>Mapandan</t>
  </si>
  <si>
    <t>Code (PAP)</t>
  </si>
  <si>
    <t>Procurement
Project</t>
  </si>
  <si>
    <t>PMO/
End-User</t>
  </si>
  <si>
    <t>Is this an Early Procurement Activity? (Yes/No)</t>
  </si>
  <si>
    <t>Mode of Procurement</t>
  </si>
  <si>
    <t>Schedule for Each Procurement Activity</t>
  </si>
  <si>
    <t>Source of Funds</t>
  </si>
  <si>
    <t>Estimated Budget (PhP)</t>
  </si>
  <si>
    <t>Remarks
(brief description of Project)</t>
  </si>
  <si>
    <t>Advertisement/Posting of IB/REI</t>
  </si>
  <si>
    <t>Submission/Opening of Bids</t>
  </si>
  <si>
    <t>Notice of Award</t>
  </si>
  <si>
    <t>Contract Signing</t>
  </si>
  <si>
    <t>Total</t>
  </si>
  <si>
    <t>MOOE</t>
  </si>
  <si>
    <t>CO</t>
  </si>
  <si>
    <t>12191601-AL-E04</t>
  </si>
  <si>
    <t>ALCOHOL, Ethyl, 500 mL</t>
  </si>
  <si>
    <t>Accounting</t>
  </si>
  <si>
    <t>No</t>
  </si>
  <si>
    <t>Shopping</t>
  </si>
  <si>
    <t>60121524-SP-G01</t>
  </si>
  <si>
    <t>SIGN PEN, Black, liquid or gel</t>
  </si>
  <si>
    <t>26111702-BT-A02</t>
  </si>
  <si>
    <t>BATTERY, dry cell, size AA, Two (2) pieces per blister pack</t>
  </si>
  <si>
    <t>47131604-BR-S01</t>
  </si>
  <si>
    <t>BROOM, Soft (Walis Tambo)</t>
  </si>
  <si>
    <t>47131803-DS-A01</t>
  </si>
  <si>
    <t>DISINFECTANT SPRAY, Aerosol type, 400g</t>
  </si>
  <si>
    <t>47131830-FC-A01</t>
  </si>
  <si>
    <t>FURNITURE CLEANER, Aerosol type, 300mL</t>
  </si>
  <si>
    <t>43201827-HD-X02</t>
  </si>
  <si>
    <t>EXTERNAL HARD DRIVE, 1TB</t>
  </si>
  <si>
    <t>31201610-GL-J01</t>
  </si>
  <si>
    <t>GLUE, all-purpose, 200 grams</t>
  </si>
  <si>
    <t>31151804-SW-S01</t>
  </si>
  <si>
    <t>STAPLE WIRE, standard</t>
  </si>
  <si>
    <t>31201512-TA-T01</t>
  </si>
  <si>
    <t>TAPE, transparent, 24mm</t>
  </si>
  <si>
    <t>41111604-RU-P02</t>
  </si>
  <si>
    <t>RULER, plastic, 450 mm</t>
  </si>
  <si>
    <t>44101807-CA-C01</t>
  </si>
  <si>
    <t>CALCULATOR, Compact</t>
  </si>
  <si>
    <t>44122105-BF-C04</t>
  </si>
  <si>
    <t>CLIP, backfold, 50mm</t>
  </si>
  <si>
    <t>44121801-CT-R02</t>
  </si>
  <si>
    <t>CORRECTION TAPE, 8 meters</t>
  </si>
  <si>
    <t>DATA FOLDER</t>
  </si>
  <si>
    <t>44122118-FA-P01</t>
  </si>
  <si>
    <t>FASTENER, metal, non-sharp edges, 50 sets per box</t>
  </si>
  <si>
    <t>44122011-FO-T03</t>
  </si>
  <si>
    <t xml:space="preserve">FOLDER with tab, A4, 100 pieces per pack </t>
  </si>
  <si>
    <t>44122011-FO-T04</t>
  </si>
  <si>
    <t xml:space="preserve">FOLDER with tab, legal, 100 pieces per pack </t>
  </si>
  <si>
    <t>44121708-MP-B01</t>
  </si>
  <si>
    <t>MARKER, Permanent, Black</t>
  </si>
  <si>
    <t>44122104-PC-G01</t>
  </si>
  <si>
    <t>PAPER CLIP, vinly/plastic coated, 33mm</t>
  </si>
  <si>
    <t>44122104-PC-J02</t>
  </si>
  <si>
    <t>PAPER CLIP, vinly/plastic coated, jumbo, 50mm</t>
  </si>
  <si>
    <t>44101602-PU-P01</t>
  </si>
  <si>
    <t>PUNCHER, paper, heavy duty</t>
  </si>
  <si>
    <t>44121905-SP-F01</t>
  </si>
  <si>
    <t>STAMP PAD, felt</t>
  </si>
  <si>
    <t>44121615-ST-S01</t>
  </si>
  <si>
    <t>STAPLER, standard type</t>
  </si>
  <si>
    <t>14111514-NP-S02</t>
  </si>
  <si>
    <t>NOTE PAD, stick on, 2" x 3", 100 sheets per pad</t>
  </si>
  <si>
    <t>14111507-PP-C02</t>
  </si>
  <si>
    <t>PAPER, MULTIPURPOSE LEGAL, 500 sheets per ream</t>
  </si>
  <si>
    <t>14111531-RE-B01</t>
  </si>
  <si>
    <t>RECORD BOOK, 300 PAGES</t>
  </si>
  <si>
    <t>14111531-RE-B02</t>
  </si>
  <si>
    <t>RECORD BOOK, 500 PAGES</t>
  </si>
  <si>
    <t>14111704-TT-P02</t>
  </si>
  <si>
    <t>TOILET TISSUE PAPER, 2 ply, 12 rolls in a pack</t>
  </si>
  <si>
    <t>FLASH DRIVE, 16 GB capacity</t>
  </si>
  <si>
    <t>PRINTER, EPSON L5190</t>
  </si>
  <si>
    <t>PAPER, Multi-Purpose (COPY) Short, 70 gsm</t>
  </si>
  <si>
    <t>UNINTERRUPTIBLE POWER SUPPLY (UPS)</t>
  </si>
  <si>
    <t>Mineral Water (Refill)</t>
  </si>
  <si>
    <t>Dishwashing Liquid</t>
  </si>
  <si>
    <t>Sponge</t>
  </si>
  <si>
    <t>Ballpen Black</t>
  </si>
  <si>
    <t>Columnar Notebook 6 Column</t>
  </si>
  <si>
    <t>Columnar Notebook 4 Column</t>
  </si>
  <si>
    <t>Expanding Folder long (orange)</t>
  </si>
  <si>
    <t>Expanding Folder short (orange)</t>
  </si>
  <si>
    <t xml:space="preserve">EPSON Ink 003, Black </t>
  </si>
  <si>
    <t>EPSON Ink 003, Yellow</t>
  </si>
  <si>
    <t>EPSON Ink 003, Magenta</t>
  </si>
  <si>
    <t>EPSON Ink 003, Cyan</t>
  </si>
  <si>
    <t>Folder Short (White)</t>
  </si>
  <si>
    <t>Folder Long (Long)</t>
  </si>
  <si>
    <t>Filing Folder (Smart File)</t>
  </si>
  <si>
    <t>SSD 240 gig</t>
  </si>
  <si>
    <t>SATA Cable</t>
  </si>
  <si>
    <t>4GB RAM DDR3 1333MHZ (Desktop)</t>
  </si>
  <si>
    <t>Wireless Mouse</t>
  </si>
  <si>
    <t>Agriculture Office</t>
  </si>
  <si>
    <t>12191601-AL-E03</t>
  </si>
  <si>
    <t>ALCOHOL, ETHYL, 1 GALLON</t>
  </si>
  <si>
    <t>Agriculture</t>
  </si>
  <si>
    <t>SIGN PEN, BLACK, LIQUID OR GEL</t>
  </si>
  <si>
    <t>47131812-AF-A01</t>
  </si>
  <si>
    <t>AIR FRESHENER, AEROSOL TYPE, 150g</t>
  </si>
  <si>
    <t>BROOM, SOFT (WALIS TAMBO)</t>
  </si>
  <si>
    <t>47131604-BR-T01</t>
  </si>
  <si>
    <t>BROOM, STICK (WALIS TINGTING)</t>
  </si>
  <si>
    <t>47131829-TB-C01</t>
  </si>
  <si>
    <t>CLEANER, TOILET BOEL AND URINAL 900ml-1000ml</t>
  </si>
  <si>
    <t>DISINFECTANT SPRAY, AEROSOL TYPE, 400g</t>
  </si>
  <si>
    <t>73101612-HS-L01</t>
  </si>
  <si>
    <t>LIQUID HAND SOAP, 500ml</t>
  </si>
  <si>
    <t>47121804-MP-B01</t>
  </si>
  <si>
    <t>MOP BUCKET, HEAVY DUTY, HARD PLASTIC, 30L CAPACITY</t>
  </si>
  <si>
    <t>47121701-TB-P04</t>
  </si>
  <si>
    <t>TRASHBAG, black, 37" x 40", XL, 10 pieces per roll or pack</t>
  </si>
  <si>
    <t>31151804-SW-H01</t>
  </si>
  <si>
    <t>STAPLE WIRE, heavy duty (binder type), 23/13</t>
  </si>
  <si>
    <t>31201512-TA-T02</t>
  </si>
  <si>
    <t>TAPE, transparent, 48 mm</t>
  </si>
  <si>
    <t>44122011-DF-F01</t>
  </si>
  <si>
    <t>44103202-DS-M01</t>
  </si>
  <si>
    <t>DATING AND STAMPING MACHINE</t>
  </si>
  <si>
    <t>44121506-EN-D01</t>
  </si>
  <si>
    <t xml:space="preserve">ENVELOPE, Documentary, A4, 500 pieces per box </t>
  </si>
  <si>
    <t>44121506-EN-D02</t>
  </si>
  <si>
    <t xml:space="preserve">ENVELOPE, Documentary, legal, 500 pieces per box </t>
  </si>
  <si>
    <t>44111912-ER-B01</t>
  </si>
  <si>
    <t>ERASER, felt, for blackboard/whiteboard</t>
  </si>
  <si>
    <t>44122011-FO-L01</t>
  </si>
  <si>
    <t>FOLDER, L-type, A4, 50 pieces per pack</t>
  </si>
  <si>
    <t>44122011-FO-L02</t>
  </si>
  <si>
    <t>FOLDER, L-type, legal, 50 pieces per pack</t>
  </si>
  <si>
    <t>44121708-MW-B01</t>
  </si>
  <si>
    <t>MARKER, Whiteboard, Black</t>
  </si>
  <si>
    <t>44121706-PE-L01</t>
  </si>
  <si>
    <t>PENCIL, lead/graphite, with eraser, one (1) dozen per box</t>
  </si>
  <si>
    <t>44121605-TD-T01</t>
  </si>
  <si>
    <t>TAPE DISPENSER, table top</t>
  </si>
  <si>
    <t>10191509-IN-A01</t>
  </si>
  <si>
    <t>INSECTICIDE, 600mL</t>
  </si>
  <si>
    <t>Nitrile Gloves</t>
  </si>
  <si>
    <t>Premium Latex Gloves</t>
  </si>
  <si>
    <t>Ballpen (gel type)</t>
  </si>
  <si>
    <t>Dishwashing Sponge (Scotch Brite)</t>
  </si>
  <si>
    <t>ALBATROSE</t>
  </si>
  <si>
    <t>Glass</t>
  </si>
  <si>
    <t>Plate</t>
  </si>
  <si>
    <t>Spoon and Fork/1 Dozen</t>
  </si>
  <si>
    <t>Soup Bowl</t>
  </si>
  <si>
    <t>Office Curtain</t>
  </si>
  <si>
    <t>BROTHER DT60 INK 1 SET</t>
  </si>
  <si>
    <t>EPSON L5190 INK 1 SET</t>
  </si>
  <si>
    <t>Mineral Water</t>
  </si>
  <si>
    <t>PAPER, MULTICOPY, 80gsm: size 216mm x 330mm</t>
  </si>
  <si>
    <t>EPSON L5290 INK (BLACK)</t>
  </si>
  <si>
    <t>PAPER, MULITPURPOSE A4, 500 SHEETS</t>
  </si>
  <si>
    <t>Assesor Office</t>
  </si>
  <si>
    <t>Assesor</t>
  </si>
  <si>
    <t>AIR FRESHENER, Aerosol type, 150g</t>
  </si>
  <si>
    <t>47131811-DE-P03</t>
  </si>
  <si>
    <t>DETERGENT POWDER, all purpose, 1kg</t>
  </si>
  <si>
    <t>47131601-DU-P01</t>
  </si>
  <si>
    <t>DUST PAN, rigid non-breakable plastic</t>
  </si>
  <si>
    <t>47131501-RG-C01</t>
  </si>
  <si>
    <t>RAGS, all cotton, 1 kilo per bundle</t>
  </si>
  <si>
    <t>12171703-SI-P01</t>
  </si>
  <si>
    <t>INK, for stamp pad, 50mL</t>
  </si>
  <si>
    <t>31201503-TA-M01</t>
  </si>
  <si>
    <t>TAPE, masking, 24mm</t>
  </si>
  <si>
    <t>31201503-TA-M02</t>
  </si>
  <si>
    <t>TAPE, masking, 48 mm</t>
  </si>
  <si>
    <t>44111515-DF-B01</t>
  </si>
  <si>
    <t>DATA FILE BOX</t>
  </si>
  <si>
    <t>44121506-EN-X02</t>
  </si>
  <si>
    <t>ENVELOPE, Expanding, Plastic</t>
  </si>
  <si>
    <t>44121506-EN-M02</t>
  </si>
  <si>
    <t>ENVELOPE, Mailing, 500 pieces per box</t>
  </si>
  <si>
    <t>44121618-SS-S01</t>
  </si>
  <si>
    <t>SCISSORS, symmetrical or asymmetrical</t>
  </si>
  <si>
    <t>14111514-NP-S04</t>
  </si>
  <si>
    <t>NOTE PAD, stick on, 3" x 4", 100 sheets per pad</t>
  </si>
  <si>
    <t>14111514-NP-S03</t>
  </si>
  <si>
    <t>NOTE PAD, stick on, 3" x 3", 100 sheets per pad</t>
  </si>
  <si>
    <t>14111704-TT-P04</t>
  </si>
  <si>
    <t>TISSUE, INTERFOLDED PAPER TOWEL, 150 pulls per pack</t>
  </si>
  <si>
    <t>44103105-EP-B17</t>
  </si>
  <si>
    <t>INK CARTRIDGE, EPSON C13T664100 (T6641), Black</t>
  </si>
  <si>
    <t>44103105-EP-C17</t>
  </si>
  <si>
    <t>INK CARTRIDGE, EPSON C13T664200 (T6642), Cyan</t>
  </si>
  <si>
    <t>44103105-EP-M17</t>
  </si>
  <si>
    <t>INK CARTRIDGE, EPSON C13T664300 (T6643), Magenta</t>
  </si>
  <si>
    <t>44103105-EP-Y17</t>
  </si>
  <si>
    <t>INK CARTRIDGE, EPSON C13T664400 (T6644), Yellow</t>
  </si>
  <si>
    <t>PAPER, multi-purpose, letter, 70gsm</t>
  </si>
  <si>
    <t>Toilet Tissue, big roll</t>
  </si>
  <si>
    <t>Dishwashing Liquid 750ml</t>
  </si>
  <si>
    <t>Scrub Sponge Reg.</t>
  </si>
  <si>
    <t>Epson 003 ink (Cyan)</t>
  </si>
  <si>
    <t>Epson 003 ink (Yellow)</t>
  </si>
  <si>
    <t>Epson 003 ink (Magenta)</t>
  </si>
  <si>
    <t>Epson 003 ink (Black)</t>
  </si>
  <si>
    <t>Canon GI-790 ink (Cyan)</t>
  </si>
  <si>
    <t>Canon GI-790 ink (Magenta)</t>
  </si>
  <si>
    <t>Canon GI-790 ink (Black)</t>
  </si>
  <si>
    <t>Canon GI-790 ink (Yellow)</t>
  </si>
  <si>
    <t>ELBA RADO FILING FOLDER 13.5"</t>
  </si>
  <si>
    <t>TAX DECLARATION OF REAL PROPERTY FORM</t>
  </si>
  <si>
    <t>Brown Envelope (A4/Letter)</t>
  </si>
  <si>
    <t>White Folder (Legal)</t>
  </si>
  <si>
    <t>White Folder (Letter/A4)</t>
  </si>
  <si>
    <t>Glass Cleaner</t>
  </si>
  <si>
    <t>Ribbon for Typewriter</t>
  </si>
  <si>
    <t>Flexstick 0.5 ball pen</t>
  </si>
  <si>
    <t>Floor Rubber Moulding-75mm width (6ft/roll)</t>
  </si>
  <si>
    <t>Wireless Keyboard and Mouse Combination</t>
  </si>
  <si>
    <t>Pen Holder Metal Round</t>
  </si>
  <si>
    <t>Reel Measuring Tape 100m</t>
  </si>
  <si>
    <t>240gb SSD (Solid State Drive)</t>
  </si>
  <si>
    <t>Clipboard Metal Clip</t>
  </si>
  <si>
    <t>Duct Tape Gray 48mm</t>
  </si>
  <si>
    <t>AWD 650 VA UPS</t>
  </si>
  <si>
    <t>WIFI USB Adapter</t>
  </si>
  <si>
    <t>3D Vertical Filing Cabinet</t>
  </si>
  <si>
    <t>Purified Water</t>
  </si>
  <si>
    <t>Epson L5190 Printer</t>
  </si>
  <si>
    <t>Budget Office</t>
  </si>
  <si>
    <t>60121524-SP-G02</t>
  </si>
  <si>
    <t>SIGN PEN, BLUE, LIQUID OR GEL</t>
  </si>
  <si>
    <t>26111702-BT-A01</t>
  </si>
  <si>
    <t>BATTERY, dry cell, size AAA, Two (2) pieces per blister pack</t>
  </si>
  <si>
    <t>47131619-MP-R01</t>
  </si>
  <si>
    <t>MOPHEAD, made of rayon</t>
  </si>
  <si>
    <t>47121702-WB-P01</t>
  </si>
  <si>
    <t>WASTEBASKET, rigid plastic</t>
  </si>
  <si>
    <t>13111201-CF-P02</t>
  </si>
  <si>
    <t>CARBON FILM, Legal, 100 sheets per box</t>
  </si>
  <si>
    <t>43211708-MO-O01</t>
  </si>
  <si>
    <t>MOUSE, OPTICAL, USB connection type</t>
  </si>
  <si>
    <t>44122018-FT-D01</t>
  </si>
  <si>
    <t>FILE TAB/INDEX DIVIDER, bristol board, A4</t>
  </si>
  <si>
    <t>44122018-FT-D02</t>
  </si>
  <si>
    <t>FILE TAB/INDEX DIVIDER, bristol board, legal</t>
  </si>
  <si>
    <t>44121716-MA-F01</t>
  </si>
  <si>
    <t xml:space="preserve">MARKER, Flourescent, 3 colors per set </t>
  </si>
  <si>
    <t>44121708-MP-B02</t>
  </si>
  <si>
    <t>MARKER, Permanent, Blue</t>
  </si>
  <si>
    <t>44121619-PS-M01</t>
  </si>
  <si>
    <t>PENCIL SHARPENER, manual, single cutter head</t>
  </si>
  <si>
    <t>44122037-RB-P10</t>
  </si>
  <si>
    <t>RING BINDER, plastic, 32 mm, 10 pieces per bundle</t>
  </si>
  <si>
    <t>44122101-RU-B01</t>
  </si>
  <si>
    <t>RUBBER BAND No. 18, 350g</t>
  </si>
  <si>
    <t>44121613-SR-P01</t>
  </si>
  <si>
    <t>STAPLE REMOVER, plier type</t>
  </si>
  <si>
    <t>14111514-NB-S01</t>
  </si>
  <si>
    <t>NOTEBOOK, stenographer</t>
  </si>
  <si>
    <t>14111507-PP-M01</t>
  </si>
  <si>
    <t>PAPER, MULTICOPY A4, 500 sheets per ream</t>
  </si>
  <si>
    <t>14111507-PP-C01</t>
  </si>
  <si>
    <t>PAPER, MULTIPURPOSE A4, 500 sheets per ream</t>
  </si>
  <si>
    <t>53131626-HS-S01</t>
  </si>
  <si>
    <t>LIQUID HAND SANITIZER, 500mL</t>
  </si>
  <si>
    <t>Multicopy Paper (Letter)</t>
  </si>
  <si>
    <t>EPSON PRINTER INK - BLACK - 003</t>
  </si>
  <si>
    <t>EPSON PRINTER INK - CYAN - 0003</t>
  </si>
  <si>
    <t>EPSON PRINTER INK - MAGENTA - 003</t>
  </si>
  <si>
    <t>EPSON PRINTER INK - YELLOW - 003</t>
  </si>
  <si>
    <t>TIMEBOOK AND PAYROLL</t>
  </si>
  <si>
    <t>GLUE.ALL MULTI-PURPOSE GLUE ELMERS</t>
  </si>
  <si>
    <t>BALLPEN</t>
  </si>
  <si>
    <t>POCKET NOTEBOOK</t>
  </si>
  <si>
    <t>RUBBER BAND SMALL</t>
  </si>
  <si>
    <t>COLUMNAR NOTEBOOK - 18 COL</t>
  </si>
  <si>
    <t>EXTENSION WIRE 2 METERS</t>
  </si>
  <si>
    <t>3M POST-IT FLAGS SIGN HERE</t>
  </si>
  <si>
    <t>DISHWASHING LIQUID</t>
  </si>
  <si>
    <t>PHOTOPAPER GLOSSY A4</t>
  </si>
  <si>
    <t>FOLDER, LEGAL</t>
  </si>
  <si>
    <t>FASTENER, PLASTIC</t>
  </si>
  <si>
    <t>COLUMNAR NOTEBOOK - 4 COL</t>
  </si>
  <si>
    <t>Drinking Water</t>
  </si>
  <si>
    <t>ADDITIONAL PROVISION FOR INFLATION (10% of TOTAL)</t>
  </si>
  <si>
    <t>DILG Office</t>
  </si>
  <si>
    <t xml:space="preserve">DILG Office </t>
  </si>
  <si>
    <t>MEO</t>
  </si>
  <si>
    <t>51471901-AL-I01</t>
  </si>
  <si>
    <t>ALCOHOL, isopropyl, 68%- 72%, 500ml (-5ml)</t>
  </si>
  <si>
    <t>Engineering Office</t>
  </si>
  <si>
    <t>ALCOHOL, ethyl, 68%-72%, 1 Gallon</t>
  </si>
  <si>
    <t>LIQUID HAND SOAP, 500mL</t>
  </si>
  <si>
    <t>31201502-TA-E01</t>
  </si>
  <si>
    <t>TAPE, electrical</t>
  </si>
  <si>
    <t>31201517-TA-P01</t>
  </si>
  <si>
    <t>TAPE, packaging, 48 mm</t>
  </si>
  <si>
    <t>44121612-CU-H01</t>
  </si>
  <si>
    <t>CUTTER/UTILITY KNIFE, for general purpose</t>
  </si>
  <si>
    <t>44122011-FO-F02</t>
  </si>
  <si>
    <t>FOLDER, Fancy with slide, legal, 50 pieces per bundle</t>
  </si>
  <si>
    <t>44121708-MP-B03</t>
  </si>
  <si>
    <t>MARKER, Permanent, Red</t>
  </si>
  <si>
    <t>Ballpen 0.5mm</t>
  </si>
  <si>
    <t>Refillable correction tape</t>
  </si>
  <si>
    <t>Refill for correction tape</t>
  </si>
  <si>
    <t>ArchFile Folder</t>
  </si>
  <si>
    <t>PAPER, Multi-Purpose (COPY) A3</t>
  </si>
  <si>
    <t>INK FOR hp designjet t120 Printer</t>
  </si>
  <si>
    <t xml:space="preserve">Ink 003 for EPSON L5190 Printer (black) </t>
  </si>
  <si>
    <t xml:space="preserve">Ink 003 for EPSON L5190 Printer (cyan) </t>
  </si>
  <si>
    <t xml:space="preserve">Ink 003 for EPSON L5190 Printer (yellow) </t>
  </si>
  <si>
    <t xml:space="preserve">Ink 003 for EPSON L5190 Printer (magenta) </t>
  </si>
  <si>
    <t>Timebook and Payroll</t>
  </si>
  <si>
    <t>Tuff</t>
  </si>
  <si>
    <t>Wifi adapter</t>
  </si>
  <si>
    <t>Tracing paper (20x50)</t>
  </si>
  <si>
    <t>Tracing paper 90/95</t>
  </si>
  <si>
    <t>NOTE PAD, stick on, 50mm x 76mm (2" x 3") min</t>
  </si>
  <si>
    <t>NOTE PAD, stick on, 76mm x 100mm (3" x 4") min</t>
  </si>
  <si>
    <t>RECORD BOOK, 300 PAGES, size: 214mm x 278mm min</t>
  </si>
  <si>
    <t>TOILET TISSUE PAPER, 2-ply, 100% recycled</t>
  </si>
  <si>
    <t>Office Tables</t>
  </si>
  <si>
    <t>Office Chairs</t>
  </si>
  <si>
    <t>GLUE, all purpose</t>
  </si>
  <si>
    <t>RAGS, all cotton</t>
  </si>
  <si>
    <t>43202010-FD-U01</t>
  </si>
  <si>
    <t>FLASH DRIVE, 16 GB</t>
  </si>
  <si>
    <t>43211708-MO-O02</t>
  </si>
  <si>
    <t>MOUSE, WIRELESS, USB</t>
  </si>
  <si>
    <t>ENVELOPE, DOCUMENTARY, for legal size document</t>
  </si>
  <si>
    <t>44121506-EN-X01</t>
  </si>
  <si>
    <t>ENVELOPE, expanding, kraft, legal</t>
  </si>
  <si>
    <t>FILE CABINET</t>
  </si>
  <si>
    <t>HR</t>
  </si>
  <si>
    <t>ALCOHOL, Ethyl,  1 Gallon</t>
  </si>
  <si>
    <t xml:space="preserve">HR Office </t>
  </si>
  <si>
    <t>SIGN PEN, Blue, liquid or gel</t>
  </si>
  <si>
    <t>60121524-SP-G03</t>
  </si>
  <si>
    <t>SIGN PEN, Red, liquid or gel</t>
  </si>
  <si>
    <t>47131811-DE-B02</t>
  </si>
  <si>
    <t>DETERGENT BAR, 140g as packed</t>
  </si>
  <si>
    <t>14111531-PP-R01</t>
  </si>
  <si>
    <t>PAD PAPER, ruled</t>
  </si>
  <si>
    <t>Paper, Multipurpose, Letter</t>
  </si>
  <si>
    <t>Staplewire 26/6</t>
  </si>
  <si>
    <t>Envelope documentary A4</t>
  </si>
  <si>
    <t>Envelope documentary Legal</t>
  </si>
  <si>
    <t>Envelope documentary Letter</t>
  </si>
  <si>
    <t>Envelope Mailing w/ window, Legal</t>
  </si>
  <si>
    <t>Evnvelope Expanding Plastic</t>
  </si>
  <si>
    <t>Paper Fastener, Plastic</t>
  </si>
  <si>
    <t>Epson 673 Ink Black</t>
  </si>
  <si>
    <t>Epson 673 Ink Cyan</t>
  </si>
  <si>
    <t>Epson 673 Ink Light Cyan</t>
  </si>
  <si>
    <t>Epson 673 Ink Magenta</t>
  </si>
  <si>
    <t>Epson 673 Ink Light Magenta</t>
  </si>
  <si>
    <t>Epson 673 Ink Yellow</t>
  </si>
  <si>
    <t>Brother Ink BT 6000Bk</t>
  </si>
  <si>
    <t>Brother Ink BT 5000 Cyan</t>
  </si>
  <si>
    <t>Brother Ink BT 5000 Magenta</t>
  </si>
  <si>
    <t>Brother Ink BT 5000 Yellow</t>
  </si>
  <si>
    <t>Epson 003 Ink Black</t>
  </si>
  <si>
    <t>Epson 003 Ink Cyan</t>
  </si>
  <si>
    <t>Epson 003 Ink Magenta</t>
  </si>
  <si>
    <t>Epson 003 Ink Yellow</t>
  </si>
  <si>
    <t>Epson Printer Ribbon (FX-2175)</t>
  </si>
  <si>
    <t>Ballpen, Black Retractable Fine Pilot</t>
  </si>
  <si>
    <t>Timebook &amp; Payroll</t>
  </si>
  <si>
    <t>Special Paper</t>
  </si>
  <si>
    <t>Official Record Book</t>
  </si>
  <si>
    <t>Laminating Film</t>
  </si>
  <si>
    <t>Joy Diswashing  Liquid 500ml</t>
  </si>
  <si>
    <t>White Folder,Legal</t>
  </si>
  <si>
    <t>UPS</t>
  </si>
  <si>
    <t>LEAVE LEDGER CARD</t>
  </si>
  <si>
    <t>Single Hole Puncher for id</t>
  </si>
  <si>
    <t>SSD SATA 128GB</t>
  </si>
  <si>
    <t xml:space="preserve">Total </t>
  </si>
  <si>
    <t>MPDC</t>
  </si>
  <si>
    <t>44121615-ST-B01</t>
  </si>
  <si>
    <t>STAPLER, heavy duty (binder type), desktop</t>
  </si>
  <si>
    <t>44122105-BF-C03</t>
  </si>
  <si>
    <t>CLIP, backfold, 32mm</t>
  </si>
  <si>
    <t>Refill of PLUS Correction Tape WH-605</t>
  </si>
  <si>
    <t>MULTIPURPOSE Legal 70gsm, 500 sheets per ream</t>
  </si>
  <si>
    <t>MULTIPURPOSE letter 70gsm, 500 sheets per ream</t>
  </si>
  <si>
    <t>EPSON Ecotank (003), Black</t>
  </si>
  <si>
    <t>EPSON Ecotank (003), Cyan</t>
  </si>
  <si>
    <t>EPSON Ecotank (003), Yellow</t>
  </si>
  <si>
    <t>EPSON Ecotank (003), Magenta</t>
  </si>
  <si>
    <t>EPSON Ecotank (008), Black</t>
  </si>
  <si>
    <t>EPSON Ecotank (008), Cyan</t>
  </si>
  <si>
    <t>EPSON Ecotank (008), Yellow</t>
  </si>
  <si>
    <t>EPSON Ecotank (008), Magenta</t>
  </si>
  <si>
    <t>FOLDER Tagboard Legal Size, 100 piece</t>
  </si>
  <si>
    <t>FOLDER Tagboard Letter Size, 100 pieces</t>
  </si>
  <si>
    <t>Date Stamper</t>
  </si>
  <si>
    <t>Plotter Paper Roll, 90gsm, A0 | 841mm x 50mt</t>
  </si>
  <si>
    <t>PVC Transparent Binding Cover, 8.5 x 11", 100 sheets</t>
  </si>
  <si>
    <t>PVC Transparent Binding Cover, 8.5 x 13", 100 sheets</t>
  </si>
  <si>
    <t>Christmas Garland  Decoration, 5 meters</t>
  </si>
  <si>
    <t>Christmas Ball Decoration, red</t>
  </si>
  <si>
    <t>Christmas Ball Decoration, silver</t>
  </si>
  <si>
    <t>Kingston PCIe NVME Solid State Drive 500gb</t>
  </si>
  <si>
    <t>APC BVX650i-PH 650VA UPS</t>
  </si>
  <si>
    <t>MSWDO</t>
  </si>
  <si>
    <t>BROOM, Stick (Walis Ting-ting)</t>
  </si>
  <si>
    <t xml:space="preserve">ENVELOPE, Expanding, Kraft, 100 pieces per box </t>
  </si>
  <si>
    <t>44121504-EN-W02</t>
  </si>
  <si>
    <t>ENVELOPE, Mailing, with window, 500 pieces per box</t>
  </si>
  <si>
    <t>44111515-MF-B02</t>
  </si>
  <si>
    <t>MAGAZINE FILE BOX, Large</t>
  </si>
  <si>
    <t>44121708-MW-B03</t>
  </si>
  <si>
    <t>MARKER, Whiteboard, Red</t>
  </si>
  <si>
    <t>14111525-CA-A01</t>
  </si>
  <si>
    <t>CARTOLINA, assorted colors, 20 pieces of assorted colors per pack</t>
  </si>
  <si>
    <t>14111507-PP-M02</t>
  </si>
  <si>
    <t>PAPER, MULTICOPY LEGAL, 500 sheets per ream</t>
  </si>
  <si>
    <t>File Cabinet</t>
  </si>
  <si>
    <t>Office Table</t>
  </si>
  <si>
    <t>Office Chair</t>
  </si>
  <si>
    <t>Epson Ink 003 Black</t>
  </si>
  <si>
    <t>Epson Ink 003 Magenta</t>
  </si>
  <si>
    <t>Epson Ink 003 Cyan</t>
  </si>
  <si>
    <t>Epson Ink 003 Yellow</t>
  </si>
  <si>
    <t>PRINTER WITH SCANNER (Epson L3110)</t>
  </si>
  <si>
    <t>Laminator</t>
  </si>
  <si>
    <t>File Drawer</t>
  </si>
  <si>
    <t>Decora Laminating Film</t>
  </si>
  <si>
    <t>Tornado Mop with Bucket</t>
  </si>
  <si>
    <t>Ballpen (Flex Stick) 0.5 Black</t>
  </si>
  <si>
    <t>Ballpen (Flex Stick) 0.5 Blue</t>
  </si>
  <si>
    <t>PAPER, MULTIPURPOSE Letter, 500 sheets per ream</t>
  </si>
  <si>
    <t>MDRRMO</t>
  </si>
  <si>
    <t>BROOM, Stick (Walis Ting-Ting)</t>
  </si>
  <si>
    <t>CLEANER, Toilet Bowl and Urinal, 900mL - 1000mL</t>
  </si>
  <si>
    <t>47131602-SC-N01</t>
  </si>
  <si>
    <t>SCOURING PAD, 5 pieces per pack</t>
  </si>
  <si>
    <t>44122105-BF-C02</t>
  </si>
  <si>
    <t>CLIP, backfold, 25mm</t>
  </si>
  <si>
    <t>EPSON T664, Black</t>
  </si>
  <si>
    <t>FOLDER Tagboard Legal Size</t>
  </si>
  <si>
    <t>FOLDER Tagboard Letter Size</t>
  </si>
  <si>
    <t>USB Flash Drive 64GB</t>
  </si>
  <si>
    <t>Specialty Paper Short 500gsm - White</t>
  </si>
  <si>
    <t>Specialty Paper Long 500gsm - White</t>
  </si>
  <si>
    <t>Elmer's Glue 130g</t>
  </si>
  <si>
    <t>Extension Cord 5 meters</t>
  </si>
  <si>
    <t>Duct tape 2"</t>
  </si>
  <si>
    <t>Tissue Paper 3 Ply</t>
  </si>
  <si>
    <t>Mop with Bucket</t>
  </si>
  <si>
    <t>Dishwashing Liquid 250 ml</t>
  </si>
  <si>
    <t>Push pin</t>
  </si>
  <si>
    <t>Cork Board 3" x 2"</t>
  </si>
  <si>
    <t>Albatross Bathroom Deodorizer with Holder</t>
  </si>
  <si>
    <t>Albatross Bathroom Deodorizer Refill</t>
  </si>
  <si>
    <t>Air Purifier</t>
  </si>
  <si>
    <t>Wall Clock 15"</t>
  </si>
  <si>
    <t>Mayors Office</t>
  </si>
  <si>
    <t xml:space="preserve">Mayor's Office </t>
  </si>
  <si>
    <t>60121413-CB-P01</t>
  </si>
  <si>
    <t>CLEARBOOK, 20 transparent pockets, A4</t>
  </si>
  <si>
    <t>60121413-CB-P02</t>
  </si>
  <si>
    <t>CLEARBOOK, 20 transparent pockets, legal</t>
  </si>
  <si>
    <t>47131805-CL-P01</t>
  </si>
  <si>
    <t>CLEANSER, Scouring Powder, 350g</t>
  </si>
  <si>
    <t>47131802-FW-P02</t>
  </si>
  <si>
    <t>FLOOR WAX, paste type, red, 2kg</t>
  </si>
  <si>
    <t>MOP BUCKET, heavy duty, hard plastic, 30 liters capacity</t>
  </si>
  <si>
    <t>47131613-MP-H02</t>
  </si>
  <si>
    <t>MOPHANDLE, heavy duty</t>
  </si>
  <si>
    <t>42131713-SM-M06</t>
  </si>
  <si>
    <t>FACE MASK, 3 ply, fifty (50) pieces per box</t>
  </si>
  <si>
    <t>55121905-PH-F01</t>
  </si>
  <si>
    <t>PHILIPPINE NATIONAL FLAG</t>
  </si>
  <si>
    <t>56101504-CM-B01</t>
  </si>
  <si>
    <t>MONOBLOC CHAIR, beige</t>
  </si>
  <si>
    <t>40101604-EF-S01</t>
  </si>
  <si>
    <t>ELECTRIC FAN, stand type</t>
  </si>
  <si>
    <t>43211503-LAP001</t>
  </si>
  <si>
    <t>LAPTOP, for Mid-range Users</t>
  </si>
  <si>
    <t>43211503-LAP002</t>
  </si>
  <si>
    <t>LAPTOP, Lightweight</t>
  </si>
  <si>
    <t>39101628-LB-L01</t>
  </si>
  <si>
    <t>LIGHT-EMITTING DIODE (LED) LIGHT BULB, 7 watts</t>
  </si>
  <si>
    <t>39101628-LT-L01</t>
  </si>
  <si>
    <t>LIGHT-EMITTING DIODE (LED) LINEAR TUBE, 18 watts</t>
  </si>
  <si>
    <t>31151507-TW-P01</t>
  </si>
  <si>
    <t>TWINE, plastic</t>
  </si>
  <si>
    <t>44121612-BL-H01</t>
  </si>
  <si>
    <t>BLADE, for general purpose cutter/utility knife, 10 pieces per tube</t>
  </si>
  <si>
    <t>44122105-BF-C01</t>
  </si>
  <si>
    <t>CLIP, backfold, 19mm</t>
  </si>
  <si>
    <t>44101714-FX-M01</t>
  </si>
  <si>
    <t>FACSIMILE MACHINE</t>
  </si>
  <si>
    <t>44111515-FO-X01</t>
  </si>
  <si>
    <t>FILE ORGANIZER, expanding, plastic, legal</t>
  </si>
  <si>
    <t>44122011-FO-F01</t>
  </si>
  <si>
    <t>FOLDER, Fancy with slide, A4, 50 pieces per bundle</t>
  </si>
  <si>
    <t>44122027-FO-P01</t>
  </si>
  <si>
    <t xml:space="preserve">FOLDER, pressboard, 100 pieces per box </t>
  </si>
  <si>
    <t>44122008-IT-T01</t>
  </si>
  <si>
    <t>INDEX TAB, self-adhesive, transparent, 5 sets per box</t>
  </si>
  <si>
    <t>44121708-MW-B02</t>
  </si>
  <si>
    <t>MARKER, Whiteboard, Blue</t>
  </si>
  <si>
    <t>44101601-PT-M01</t>
  </si>
  <si>
    <t>PAPER TRIMMER/CUTTING MACHINE, table top</t>
  </si>
  <si>
    <t>14111609-LL-C01</t>
  </si>
  <si>
    <t>LOOSELEAF COVER, 50 sets per bundle</t>
  </si>
  <si>
    <t>PAPER, MULTICOPY LETTER, 500 sheets per ream</t>
  </si>
  <si>
    <t>14111503-PA-P01</t>
  </si>
  <si>
    <t>PAPER, parchment, 100 sheets per box</t>
  </si>
  <si>
    <t>14111818-TH-P02</t>
  </si>
  <si>
    <t>THERMAL PAPER, 216mm</t>
  </si>
  <si>
    <t>EPSON INK BLK</t>
  </si>
  <si>
    <t>EPSON INK MAGENTA</t>
  </si>
  <si>
    <t>EPSON INK YELLOW</t>
  </si>
  <si>
    <t>EPSON INK CYAN</t>
  </si>
  <si>
    <t>BROTHER INK BLK BT D60</t>
  </si>
  <si>
    <t>BROTHER INK YELLOW BT 5000</t>
  </si>
  <si>
    <t>BROTHER INK MAGENTA BT 5001</t>
  </si>
  <si>
    <t>BROTHER INK CYAN BT 5002</t>
  </si>
  <si>
    <t>EPSON PRINTER L3210</t>
  </si>
  <si>
    <t>TONER OKI</t>
  </si>
  <si>
    <t>MASTER RISO</t>
  </si>
  <si>
    <t xml:space="preserve">REFILL WATER </t>
  </si>
  <si>
    <t>MEALS, SNACKS</t>
  </si>
  <si>
    <t>BOTTLED WATER</t>
  </si>
  <si>
    <t>REPAIR &amp; MAINTENANCE (VEHICLE)</t>
  </si>
  <si>
    <t>AIRCON</t>
  </si>
  <si>
    <t>ASSORTED BISCUIT</t>
  </si>
  <si>
    <t>REFREGARATOR</t>
  </si>
  <si>
    <t>COFFE</t>
  </si>
  <si>
    <t>TONER RISO</t>
  </si>
  <si>
    <t xml:space="preserve">SPEAKER </t>
  </si>
  <si>
    <t>MIC STAND</t>
  </si>
  <si>
    <t>PROJECTOR STAND WHITE SCREEN</t>
  </si>
  <si>
    <t>MICROPHONE W/ BOOSTER</t>
  </si>
  <si>
    <t>TEA</t>
  </si>
  <si>
    <t>LAPTOP</t>
  </si>
  <si>
    <t>TOASTER</t>
  </si>
  <si>
    <t>SPECIAL WHREATH</t>
  </si>
  <si>
    <t>TARPAULIN</t>
  </si>
  <si>
    <t>WREATH</t>
  </si>
  <si>
    <t>Photo Shoot</t>
  </si>
  <si>
    <t>id</t>
  </si>
  <si>
    <t>musical instruments</t>
  </si>
  <si>
    <t>cpu</t>
  </si>
  <si>
    <t>COFFEE TABLE</t>
  </si>
  <si>
    <t>TOTAL</t>
  </si>
  <si>
    <t>RHU</t>
  </si>
  <si>
    <t>47131604-BR-A01</t>
  </si>
  <si>
    <t>AIR FRESHENER, AEROSOL type, 150g</t>
  </si>
  <si>
    <t>BROOM, STICK (Walis Ting - Ting)</t>
  </si>
  <si>
    <t>CLEANER, Toilet Bowl and Urinal,900ml-1000ml</t>
  </si>
  <si>
    <t>47131811-DE-P02</t>
  </si>
  <si>
    <t xml:space="preserve">MOPHEAD, made of rayon </t>
  </si>
  <si>
    <t>TRASHBAG,black,37x40,XL,10pieces per roll or pack</t>
  </si>
  <si>
    <t>WASTEBASKET,rigid plastic</t>
  </si>
  <si>
    <t>53131626-1S-S01</t>
  </si>
  <si>
    <t>44103105-IP-B33</t>
  </si>
  <si>
    <t>INK CARTRIDGE, HP CZ107AA (HP678), Black</t>
  </si>
  <si>
    <t>44103105-IP-T33</t>
  </si>
  <si>
    <t>INK CARTRIDGE, HP CZ108AA (HP678), Tri-color</t>
  </si>
  <si>
    <t>441031005-IP-T43</t>
  </si>
  <si>
    <t>INK CARTRIDGE, HP F6V26AA (HP680), Tri-color</t>
  </si>
  <si>
    <t>441031005-IP-B43</t>
  </si>
  <si>
    <t>INK CARTRIDGE, HP F6V27AA (HP680), Black</t>
  </si>
  <si>
    <t>NON-COMMUNICABLE DISEASES</t>
  </si>
  <si>
    <t>LOSARTAN K 50MG TAB</t>
  </si>
  <si>
    <t>252,000.00</t>
  </si>
  <si>
    <t>AMLODIPINE 10MG TAB</t>
  </si>
  <si>
    <t>AMLODIPINE 5MG TAB</t>
  </si>
  <si>
    <t>CATOPRIL 25MG TAB</t>
  </si>
  <si>
    <t>METFORMIN 500MG tab</t>
  </si>
  <si>
    <t>GLICLAZIDE 80MG tab</t>
  </si>
  <si>
    <t>SIMVASTATIN 20MG tab</t>
  </si>
  <si>
    <t>GENERAL MEDICINES</t>
  </si>
  <si>
    <t>AMOXICILLIN  500MG cap</t>
  </si>
  <si>
    <t>AMOXICILLIN  250MG susp</t>
  </si>
  <si>
    <t>AMOXICILLIN  100MG/ML drops 15ml</t>
  </si>
  <si>
    <t>COTRIMOXAZOLE 800/160 mg tab</t>
  </si>
  <si>
    <t>16,800.00</t>
  </si>
  <si>
    <t>COTRIMOXAZOLE 200mg susp</t>
  </si>
  <si>
    <t>PARACETAMOL 500mg tab</t>
  </si>
  <si>
    <t>PARACETAMOL 250mg syr 60ml</t>
  </si>
  <si>
    <t>PARACETAMOL drops 15ml</t>
  </si>
  <si>
    <t>MULTIVITAMINS 500mg cap</t>
  </si>
  <si>
    <t>MULTIVITAMINS 200mg syr.60ml</t>
  </si>
  <si>
    <t>MULTIVITAMINS drops 15ml</t>
  </si>
  <si>
    <t>ASCORBIC ACID 500mg cap</t>
  </si>
  <si>
    <t>ASCORBIC ACID 250mg syr.60ml</t>
  </si>
  <si>
    <t>ASCORBIC ACID drops 15ml</t>
  </si>
  <si>
    <t>VITAMIN B-COMPLEX 500mg tab</t>
  </si>
  <si>
    <t>MEFENAMIC ACID 500mg cap</t>
  </si>
  <si>
    <t>CELEXOCIB 200mg cap</t>
  </si>
  <si>
    <t>COLCHICINE 500mg tab</t>
  </si>
  <si>
    <t>CETIRIZINE 10mg tab</t>
  </si>
  <si>
    <t>CETIRIZINE syr. 60ml</t>
  </si>
  <si>
    <t>CETIRIZINE drops 15ml</t>
  </si>
  <si>
    <t>LAGUNDI LEAF 600mg cap</t>
  </si>
  <si>
    <t>LAGUNDI LEAF 300mg syr 60ml</t>
  </si>
  <si>
    <t>CINNARIZINE 25mg tab</t>
  </si>
  <si>
    <t>SALBUTAMOL 2mg tab</t>
  </si>
  <si>
    <t xml:space="preserve">SALBUTAMOL 2mg/5ml syr.60ml </t>
  </si>
  <si>
    <t>ZINC SULFATE syr. 60ml</t>
  </si>
  <si>
    <t>ZINC SULFATE drops 15ml</t>
  </si>
  <si>
    <t>ORS-75 REPLACEMENT ( Dehydration )</t>
  </si>
  <si>
    <t>DICYCLOVERINE 5mg tab</t>
  </si>
  <si>
    <t>DICYCLOVERINE 5mg  syr.60ml</t>
  </si>
  <si>
    <t>MENADION 10MG tab</t>
  </si>
  <si>
    <t>OMEPRAZOLE 200Mg cap</t>
  </si>
  <si>
    <t>MATERNAL SUPPLIES</t>
  </si>
  <si>
    <t>CEFALEXINE 500mg cap</t>
  </si>
  <si>
    <t>OXYTOCIN amp</t>
  </si>
  <si>
    <t>METHERGOMETRINE MALATE amp</t>
  </si>
  <si>
    <t>VIT. K amp</t>
  </si>
  <si>
    <t xml:space="preserve">CORD CLAMP </t>
  </si>
  <si>
    <t>CATHETER F18</t>
  </si>
  <si>
    <t>LACTATED RINGER'S 1000ml</t>
  </si>
  <si>
    <t>D5W</t>
  </si>
  <si>
    <t>PLAIN NORMAL SALINE SOLUTION 1000ML</t>
  </si>
  <si>
    <t xml:space="preserve">CHROMIC 3-0 round </t>
  </si>
  <si>
    <t xml:space="preserve">CHROMIC 3-0 cutting </t>
  </si>
  <si>
    <t>DISPOSABLE GLOVES med</t>
  </si>
  <si>
    <t>NEWBORN SCREENING kit</t>
  </si>
  <si>
    <t>STERILE GLOVES med</t>
  </si>
  <si>
    <t>COVID-19 SUPPLIES</t>
  </si>
  <si>
    <t>PPE</t>
  </si>
  <si>
    <t>RTPCR Kit</t>
  </si>
  <si>
    <t>PARAFILM</t>
  </si>
  <si>
    <t>ZIPLOCK</t>
  </si>
  <si>
    <t>AZITHROMYCIN 500mg tab</t>
  </si>
  <si>
    <t>CEFUROXIME AXETEL 500mg</t>
  </si>
  <si>
    <t>CO-AMOXICLAV 500mg cap</t>
  </si>
  <si>
    <t>CO-AMOXICLAV 625mg susp 60ml</t>
  </si>
  <si>
    <t>ASCORBIC ACID + ZINC syr 60ml</t>
  </si>
  <si>
    <t>MEDICAL &amp; LABORATORY SUPPLIES</t>
  </si>
  <si>
    <t>MICROPORE 1/4 inch</t>
  </si>
  <si>
    <t>MICROPORE 1/2 inch</t>
  </si>
  <si>
    <t>DISPOSABLE Syringe 1cc</t>
  </si>
  <si>
    <t>DISPOSABLE SYringe 3cc</t>
  </si>
  <si>
    <t>LIDOCAINE 2% SOL 50ml</t>
  </si>
  <si>
    <t>STERILE WATER 50ml</t>
  </si>
  <si>
    <t xml:space="preserve">COTTON 400grams </t>
  </si>
  <si>
    <t xml:space="preserve">SPICEMEN CONTAINER </t>
  </si>
  <si>
    <t>LANCET</t>
  </si>
  <si>
    <t>ACID FAST STAIN (ZEEHL-NELSEN)</t>
  </si>
  <si>
    <t>HEMATOLOGIC STAIN (Hema Quick)</t>
  </si>
  <si>
    <t xml:space="preserve">CAPILLARY tube </t>
  </si>
  <si>
    <t>FROSTED SLIDES</t>
  </si>
  <si>
    <t>URINE STRIPS 10 parameter</t>
  </si>
  <si>
    <t>ABO TYPING SERA w/ RH Factor</t>
  </si>
  <si>
    <t xml:space="preserve">GLUCOSE Strips </t>
  </si>
  <si>
    <t>WBC DILUTING Fluid</t>
  </si>
  <si>
    <t>PREGNANCY TEST KIT ( Advan Brand )</t>
  </si>
  <si>
    <t>HBSAg TEST Kit</t>
  </si>
  <si>
    <t>CHOLESTEROL TEST STRIP</t>
  </si>
  <si>
    <t>URIC ACID TEST STRIPS</t>
  </si>
  <si>
    <t>SLIDES</t>
  </si>
  <si>
    <t>APPLICATOR STICK</t>
  </si>
  <si>
    <t>DENGUE KIT (ABBOTT)</t>
  </si>
  <si>
    <t xml:space="preserve">POVIDONE IODINE </t>
  </si>
  <si>
    <t>GAUZE big</t>
  </si>
  <si>
    <t xml:space="preserve">FAMILY PLANNING </t>
  </si>
  <si>
    <t>MEDROXYPROGESTERON ACETATE W/SYRINGE 3ML</t>
  </si>
  <si>
    <t>SUPPLIES</t>
  </si>
  <si>
    <t>FEMME (PILLS) ORAL</t>
  </si>
  <si>
    <t>EXLUTON 500MCG TAB</t>
  </si>
  <si>
    <t>CONDOM</t>
  </si>
  <si>
    <t>ETONOGESTREL 68MG (IMPLANT)</t>
  </si>
  <si>
    <t>JANITORIAL SUPPLIES</t>
  </si>
  <si>
    <t>POWER MOP</t>
  </si>
  <si>
    <t>ZONROX DISINFECTANT 1000ML</t>
  </si>
  <si>
    <t>wifi dangle</t>
  </si>
  <si>
    <t>Municipal Registrar</t>
  </si>
  <si>
    <t>Registrar</t>
  </si>
  <si>
    <t>MCR FORM FOR CERTIFICATE OF MARRIAGE</t>
  </si>
  <si>
    <t>BOOKBINDER FOR CERTIFICATE OF BIRTH</t>
  </si>
  <si>
    <t>BOOKBINDER FOR CERTIFICATE OF DEATH</t>
  </si>
  <si>
    <t>BOOKBINDER FOR CERTIFICATE OF MARRIAGE</t>
  </si>
  <si>
    <t>TONER FOR PHOTOCOPIER</t>
  </si>
  <si>
    <t>INK REFILL FOR EPSON L5190 (BLACK)</t>
  </si>
  <si>
    <t>INK REFILL FOR EPSON L5190 (COLORED)</t>
  </si>
  <si>
    <t>INK REFILL FOR EPSON L360 (BLACK)</t>
  </si>
  <si>
    <t>INK REFILL FOR EPSON L360 (COLORED)</t>
  </si>
  <si>
    <t>INK REFILL FOR EPSON L120 (BLACK)</t>
  </si>
  <si>
    <t>INK REFILL FOR EPSON L120 (COLORED)</t>
  </si>
  <si>
    <t>LARGE FILE BOX</t>
  </si>
  <si>
    <t>KEYBOARD AND MOUSE SET</t>
  </si>
  <si>
    <t>TURBO MOP</t>
  </si>
  <si>
    <t xml:space="preserve">DRINKING WATER </t>
  </si>
  <si>
    <t>CD ROM / DVD ROM</t>
  </si>
  <si>
    <t>LETTERHEAD</t>
  </si>
  <si>
    <t>HARD DISK</t>
  </si>
  <si>
    <t>REGISTRY BOOK OF BIRTH</t>
  </si>
  <si>
    <t>REGISTRY BOOK OF MARRIAGE</t>
  </si>
  <si>
    <t>STAMPS/SEAL</t>
  </si>
  <si>
    <t>BINDER CLIPS</t>
  </si>
  <si>
    <t>Treasury Office</t>
  </si>
  <si>
    <t>44103103-HP-B22</t>
  </si>
  <si>
    <t>TONER CARTRIDGE, HP CE285A (HP85A), Black</t>
  </si>
  <si>
    <t>EPSON RIBBON CARTRIDGE S015639 LQ-310</t>
  </si>
  <si>
    <t>ADDING MACHINE PAPER</t>
  </si>
  <si>
    <t>SPECIAL PAPER</t>
  </si>
  <si>
    <t>SANITARY PERMIT</t>
  </si>
  <si>
    <t>PAY ENVELOPE</t>
  </si>
  <si>
    <t>CASH BOOK</t>
  </si>
  <si>
    <t>PRINTER</t>
  </si>
  <si>
    <t>CABINET</t>
  </si>
  <si>
    <t>ACCOUNTABLE FORM NO. 51</t>
  </si>
  <si>
    <t>ACCOUNTABLE FORM NO. 53</t>
  </si>
  <si>
    <t>ACCOUNTABLE FORM NO. 54</t>
  </si>
  <si>
    <t>COMMUNITY TAX CERTIFICATE</t>
  </si>
  <si>
    <t>CASH TICKETS @ P10.00</t>
  </si>
  <si>
    <t>ACCOUNTABLE FORM NO. 56</t>
  </si>
  <si>
    <t>COMMUNITY TAX CERTIFICATE - CORPORATION</t>
  </si>
  <si>
    <t>Vice Mayors Office</t>
  </si>
  <si>
    <t>Vice Mayor's Office</t>
  </si>
  <si>
    <t>TUFF</t>
  </si>
  <si>
    <t>PHOTO PAPER</t>
  </si>
  <si>
    <t>LAMINATION FILM  100PCS</t>
  </si>
  <si>
    <t xml:space="preserve">COFFE </t>
  </si>
  <si>
    <t>ALBATROSS</t>
  </si>
  <si>
    <t>SPONGE</t>
  </si>
  <si>
    <t>DISH WASHING</t>
  </si>
  <si>
    <t>MURIATIC</t>
  </si>
  <si>
    <t>PRANELA</t>
  </si>
  <si>
    <t>RECAHRGABLE BATTERY</t>
  </si>
  <si>
    <t>GLASS WIPER</t>
  </si>
  <si>
    <t>CONDIMENTS ORGANIZER</t>
  </si>
  <si>
    <t>SIGN PEN, Black, liquid or gel per box</t>
  </si>
  <si>
    <t>YELLOW PAD PAPER X10</t>
  </si>
  <si>
    <t>SORTING BIN</t>
  </si>
  <si>
    <t>Coffee Maker</t>
  </si>
  <si>
    <t>Motor cycle</t>
  </si>
  <si>
    <t>Competitive Bidding</t>
  </si>
  <si>
    <t>GoP</t>
  </si>
  <si>
    <t>YES</t>
  </si>
  <si>
    <t>Limited Source Bidding</t>
  </si>
  <si>
    <t>Foreign</t>
  </si>
  <si>
    <t>NO</t>
  </si>
  <si>
    <t>Direct Contracting</t>
  </si>
  <si>
    <t>Special Purpose Fund</t>
  </si>
  <si>
    <t>Repeat Order</t>
  </si>
  <si>
    <t>Corporate Budget</t>
  </si>
  <si>
    <t>Income</t>
  </si>
  <si>
    <t>NP-53.1 Two Failed Biddings</t>
  </si>
  <si>
    <t>Others</t>
  </si>
  <si>
    <t>NP-53.2 Emergency Cases</t>
  </si>
  <si>
    <t>Emergency Procurement under the Bayanihan Act</t>
  </si>
  <si>
    <t>NP-53.3 Take-Over of Contracts</t>
  </si>
  <si>
    <t>NP-53.4 Adjacent or Contiguous</t>
  </si>
  <si>
    <t>NP-53.5 Agency-to-Agency</t>
  </si>
  <si>
    <t>NP-53.6 Scientific, Scholarly, Artistic Work, Exclusive Technology and Media Services</t>
  </si>
  <si>
    <t>NP-53.7 Highly Technical Consultants</t>
  </si>
  <si>
    <t>NP-53.8 Defense Cooperation Agreement</t>
  </si>
  <si>
    <t>NP-53.9 - Small Value Procurement</t>
  </si>
  <si>
    <t>NP-53.10 Lease of Real Property and Venue</t>
  </si>
  <si>
    <t>NP-53.11 NGO Participation</t>
  </si>
  <si>
    <t>NP-53.12 Community Participation</t>
  </si>
  <si>
    <t>NP-53.13 UN Agencies, Int'l Organizations or International Financing Institutions</t>
  </si>
  <si>
    <t>NP-53.14 Direct Retail Purchase of
Petroleum Fuel, Oil and Lubricant (POL)
Products and Airline Tickets</t>
  </si>
  <si>
    <t>Others - Foreign-funded procurement</t>
  </si>
  <si>
    <t>FDP Form 4b - Annual Procurement Plan or Procurement List, Summary</t>
  </si>
  <si>
    <t>ANNUAL PROCUREMENT PLAN SUMMARY</t>
  </si>
  <si>
    <t>LGU-Mapandan</t>
  </si>
  <si>
    <t>Summary by Office</t>
  </si>
  <si>
    <t>Department</t>
  </si>
  <si>
    <t xml:space="preserve">  Head of Department / Office</t>
  </si>
  <si>
    <t>Total Cost</t>
  </si>
  <si>
    <t>Ruth B. Sotto,CPA.</t>
  </si>
  <si>
    <t>Melvin C. Villanueva</t>
  </si>
  <si>
    <t>Ana Maricris B. Natavio</t>
  </si>
  <si>
    <t>Jonathan M. Penuliar</t>
  </si>
  <si>
    <t>Jimmy Ocumen</t>
  </si>
  <si>
    <t xml:space="preserve"> ENGR. Angelo C. Abrogar</t>
  </si>
  <si>
    <t>Madeline B. Ferrer</t>
  </si>
  <si>
    <t>ARCHT. Melchor N. Serapion</t>
  </si>
  <si>
    <t>Ramil S. De Vera</t>
  </si>
  <si>
    <t>Maian Jen M. Arguelles</t>
  </si>
  <si>
    <t>Hon. Karl Christian F. Vega</t>
  </si>
  <si>
    <t>Dra. Anna Karessa L. Quinto-Ortiz</t>
  </si>
  <si>
    <t>Kristell Q. Soriano</t>
  </si>
  <si>
    <t>Veverly V. Ymana</t>
  </si>
  <si>
    <t>Hon. Gerald Glen L. Tambaoan</t>
  </si>
  <si>
    <t>Prepared By:</t>
  </si>
  <si>
    <t>Approved By:</t>
  </si>
  <si>
    <t>MELVIN C. VILLANUEVA</t>
  </si>
  <si>
    <t>HON. KARL CHRISTIAN F. VEGA</t>
  </si>
  <si>
    <t>Head, BAC Secretariat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</si>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</sst>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2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10"/>
      <color rgb="FF000000"/>
      <name val="Arial1"/>
    </font>
    <font>
      <b val="1"/>
      <i val="0"/>
      <strike val="0"/>
      <u val="none"/>
      <sz val="9"/>
      <color rgb="FF000000"/>
      <name val="Arial1"/>
    </font>
    <font>
      <b val="1"/>
      <i val="0"/>
      <strike val="0"/>
      <u val="none"/>
      <sz val="8"/>
      <color rgb="FF000000"/>
      <name val="Arial1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8"/>
      <color rgb="FF000000"/>
      <name val="Verdan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8"/>
      <color rgb="FF000000"/>
      <name val="Verdana"/>
    </font>
    <font>
      <b val="0"/>
      <i val="0"/>
      <strike val="0"/>
      <u val="none"/>
      <sz val="10"/>
      <color rgb="FF000000"/>
      <name val="Verdana"/>
    </font>
    <font>
      <b val="0"/>
      <i val="0"/>
      <strike val="0"/>
      <u val="none"/>
      <sz val="12"/>
      <color rgb="FF000000"/>
      <name val="Calibre"/>
    </font>
    <font>
      <b val="1"/>
      <i val="0"/>
      <strike val="0"/>
      <u val="none"/>
      <sz val="12"/>
      <color rgb="FF000000"/>
      <name val="Calibre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Verdana"/>
    </font>
    <font>
      <b val="0"/>
      <i val="0"/>
      <strike val="0"/>
      <u val="none"/>
      <sz val="9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2F2F2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0" applyFont="1" applyNumberFormat="0" applyFill="0" applyBorder="0" applyAlignment="1">
      <alignment horizontal="general" vertical="bottom" textRotation="0" wrapText="true" shrinkToFit="false"/>
    </xf>
    <xf xfId="0" fontId="7" numFmtId="0" fillId="3" borderId="3" applyFont="1" applyNumberFormat="0" applyFill="1" applyBorder="1" applyAlignment="1">
      <alignment horizontal="center" vertical="top" textRotation="0" wrapText="true" shrinkToFit="false"/>
    </xf>
    <xf xfId="0" fontId="8" numFmtId="0" fillId="3" borderId="3" applyFont="1" applyNumberFormat="0" applyFill="1" applyBorder="1" applyAlignment="1">
      <alignment horizontal="center" vertical="top" textRotation="0" wrapText="true" shrinkToFit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3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9" numFmtId="4" fillId="4" borderId="1" applyFont="1" applyNumberFormat="1" applyFill="1" applyBorder="1" applyAlignment="1" applyProtection="true">
      <alignment horizontal="right" vertical="center" textRotation="0" wrapText="true" shrinkToFit="false"/>
      <protection locked="false"/>
    </xf>
    <xf xfId="0" fontId="9" numFmtId="4" fillId="4" borderId="1" applyFont="1" applyNumberFormat="1" applyFill="1" applyBorder="1" applyAlignment="1" applyProtection="true">
      <alignment horizontal="right" vertical="center" textRotation="0" wrapText="true" shrinkToFit="false"/>
      <protection locked="false"/>
    </xf>
    <xf xfId="0" fontId="9" numFmtId="0" fillId="4" borderId="4" applyFont="1" applyNumberFormat="0" applyFill="1" applyBorder="1" applyAlignment="1">
      <alignment horizontal="left" vertical="center" textRotation="0" wrapText="true" shrinkToFit="false"/>
    </xf>
    <xf xfId="0" fontId="9" numFmtId="0" fillId="4" borderId="1" applyFont="1" applyNumberFormat="0" applyFill="1" applyBorder="1" applyAlignment="1">
      <alignment horizontal="left" vertical="center" textRotation="0" wrapText="true" shrinkToFit="false"/>
    </xf>
    <xf xfId="0" fontId="10" numFmtId="0" fillId="4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3" borderId="3" applyFont="1" applyNumberFormat="0" applyFill="1" applyBorder="1" applyAlignment="1">
      <alignment horizontal="center" vertical="top" textRotation="0" wrapText="true" shrinkToFit="false"/>
    </xf>
    <xf xfId="0" fontId="8" numFmtId="0" fillId="3" borderId="3" applyFont="1" applyNumberFormat="0" applyFill="1" applyBorder="1" applyAlignment="1">
      <alignment horizontal="center" vertical="top" textRotation="0" wrapText="true" shrinkToFit="false"/>
    </xf>
    <xf xfId="0" fontId="11" numFmtId="0" fillId="2" borderId="1" applyFont="1" applyNumberFormat="0" applyFill="0" applyBorder="1" applyAlignment="1">
      <alignment horizontal="general" vertical="center" textRotation="0" wrapText="true" shrinkToFit="false"/>
    </xf>
    <xf xfId="0" fontId="3" numFmtId="0" fillId="4" borderId="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8" numFmtId="0" fillId="3" borderId="1" applyFont="1" applyNumberFormat="0" applyFill="1" applyBorder="1" applyAlignment="1">
      <alignment horizontal="center" vertical="top" textRotation="0" wrapText="true" shrinkToFit="false"/>
    </xf>
    <xf xfId="0" fontId="7" numFmtId="0" fillId="3" borderId="1" applyFont="1" applyNumberFormat="0" applyFill="1" applyBorder="1" applyAlignment="1">
      <alignment horizontal="center" vertical="top" textRotation="0" wrapText="true" shrinkToFit="false"/>
    </xf>
    <xf xfId="0" fontId="9" numFmtId="0" fillId="5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9" numFmtId="0" fillId="5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9" numFmtId="0" fillId="5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9" numFmtId="0" fillId="4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12" numFmtId="0" fillId="2" borderId="6" applyFont="1" applyNumberFormat="0" applyFill="0" applyBorder="1" applyAlignment="1">
      <alignment horizontal="general" vertical="center" textRotation="0" wrapText="true" shrinkToFit="false"/>
    </xf>
    <xf xfId="0" fontId="8" numFmtId="0" fillId="3" borderId="3" applyFont="1" applyNumberFormat="0" applyFill="1" applyBorder="1" applyAlignment="1">
      <alignment horizontal="center" vertical="top" textRotation="0" wrapText="true" shrinkToFit="false"/>
    </xf>
    <xf xfId="0" fontId="7" numFmtId="0" fillId="3" borderId="3" applyFont="1" applyNumberFormat="0" applyFill="1" applyBorder="1" applyAlignment="1">
      <alignment horizontal="center" vertical="top" textRotation="0" wrapText="true" shrinkToFit="false"/>
    </xf>
    <xf xfId="0" fontId="9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2" numFmtId="164" fillId="4" borderId="1" applyFont="1" applyNumberFormat="1" applyFill="1" applyBorder="1" applyAlignment="1">
      <alignment horizontal="right" vertical="center" textRotation="0" wrapText="true" shrinkToFit="false"/>
    </xf>
    <xf xfId="0" fontId="9" numFmtId="0" fillId="4" borderId="5" applyFont="1" applyNumberFormat="0" applyFill="1" applyBorder="1" applyAlignment="1">
      <alignment horizontal="left" vertical="center" textRotation="0" wrapText="true" shrinkToFit="false"/>
    </xf>
    <xf xfId="0" fontId="13" numFmtId="0" fillId="4" borderId="1" applyFont="1" applyNumberFormat="0" applyFill="1" applyBorder="1" applyAlignment="1">
      <alignment horizontal="left" vertical="center" textRotation="0" wrapText="true" shrinkToFit="false"/>
    </xf>
    <xf xfId="0" fontId="9" numFmtId="0" fillId="4" borderId="5" applyFont="1" applyNumberFormat="0" applyFill="1" applyBorder="1" applyAlignment="1">
      <alignment horizontal="left" vertical="center" textRotation="0" wrapText="true" shrinkToFit="false"/>
    </xf>
    <xf xfId="0" fontId="13" numFmtId="0" fillId="4" borderId="1" applyFont="1" applyNumberFormat="0" applyFill="1" applyBorder="1" applyAlignment="1">
      <alignment horizontal="left" vertical="center" textRotation="0" wrapText="true" shrinkToFit="false"/>
    </xf>
    <xf xfId="0" fontId="13" numFmtId="0" fillId="4" borderId="1" applyFont="1" applyNumberFormat="0" applyFill="1" applyBorder="1" applyAlignment="1">
      <alignment horizontal="center" vertical="center" textRotation="0" wrapText="true" shrinkToFit="false"/>
    </xf>
    <xf xfId="0" fontId="12" numFmtId="164" fillId="4" borderId="1" applyFont="1" applyNumberFormat="1" applyFill="1" applyBorder="1" applyAlignment="1">
      <alignment horizontal="center" vertical="center" textRotation="0" wrapText="true" shrinkToFit="false"/>
    </xf>
    <xf xfId="0" fontId="9" numFmtId="0" fillId="4" borderId="1" applyFont="1" applyNumberFormat="0" applyFill="1" applyBorder="1" applyAlignment="1">
      <alignment horizontal="left" vertical="center" textRotation="0" wrapText="true" shrinkToFit="false"/>
    </xf>
    <xf xfId="0" fontId="9" numFmtId="49" fillId="4" borderId="1" applyFont="1" applyNumberFormat="1" applyFill="1" applyBorder="1" applyAlignment="1">
      <alignment horizontal="left" vertical="center" textRotation="0" wrapText="true" shrinkToFit="false"/>
    </xf>
    <xf xfId="0" fontId="12" numFmtId="0" fillId="4" borderId="6" applyFont="1" applyNumberFormat="0" applyFill="1" applyBorder="1" applyAlignment="1">
      <alignment horizontal="general" vertical="center" textRotation="0" wrapText="true" shrinkToFit="false"/>
    </xf>
    <xf xfId="0" fontId="9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0" fillId="4" borderId="0" applyFont="1" applyNumberFormat="0" applyFill="1" applyBorder="0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 applyProtection="true">
      <alignment horizontal="general" vertical="center" textRotation="0" wrapText="true" shrinkToFit="false"/>
      <protection locked="false"/>
    </xf>
    <xf xfId="0" fontId="3" numFmtId="0" fillId="4" borderId="0" applyFont="1" applyNumberFormat="0" applyFill="1" applyBorder="0" applyAlignment="0" applyProtection="true">
      <alignment horizontal="general" vertical="bottom" textRotation="0" wrapText="false" shrinkToFit="false"/>
      <protection locked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3" numFmtId="0" fillId="4" borderId="0" applyFont="1" applyNumberFormat="0" applyFill="1" applyBorder="0" applyAlignment="1" applyProtection="true">
      <alignment horizontal="general" vertical="center" textRotation="0" wrapText="false" shrinkToFit="false"/>
      <protection locked="false"/>
    </xf>
    <xf xfId="0" fontId="4" numFmtId="0" fillId="4" borderId="0" applyFont="1" applyNumberFormat="0" applyFill="1" applyBorder="0" applyAlignment="0" applyProtection="true">
      <alignment horizontal="general" vertical="bottom" textRotation="0" wrapText="false" shrinkToFit="false"/>
      <protection locked="false"/>
    </xf>
    <xf xfId="0" fontId="4" numFmtId="0" fillId="4" borderId="0" applyFont="1" applyNumberFormat="0" applyFill="1" applyBorder="0" applyAlignment="1">
      <alignment horizontal="general" vertical="center" textRotation="0" wrapText="false" shrinkToFit="false"/>
    </xf>
    <xf xfId="0" fontId="4" numFmtId="0" fillId="4" borderId="0" applyFont="1" applyNumberFormat="0" applyFill="1" applyBorder="0" applyAlignment="1" applyProtection="true">
      <alignment horizontal="general" vertical="center" textRotation="0" wrapText="false" shrinkToFit="false"/>
      <protection locked="false"/>
    </xf>
    <xf xfId="0" fontId="4" numFmtId="0" fillId="4" borderId="0" applyFont="1" applyNumberFormat="0" applyFill="1" applyBorder="0" applyAlignment="0">
      <alignment horizontal="general" vertical="bottom" textRotation="0" wrapText="false" shrinkToFit="false"/>
    </xf>
    <xf xfId="0" fontId="3" numFmtId="0" fillId="4" borderId="0" applyFont="1" applyNumberFormat="0" applyFill="1" applyBorder="0" applyAlignment="1" applyProtection="true">
      <alignment horizontal="general" vertical="bottom" textRotation="0" wrapText="true" shrinkToFit="false"/>
      <protection locked="false"/>
    </xf>
    <xf xfId="0" fontId="10" numFmtId="0" fillId="4" borderId="5" applyFont="1" applyNumberFormat="0" applyFill="1" applyBorder="1" applyAlignment="1">
      <alignment horizontal="left" vertical="center" textRotation="0" wrapText="true" shrinkToFit="false"/>
    </xf>
    <xf xfId="0" fontId="9" numFmtId="0" fillId="4" borderId="5" applyFont="1" applyNumberFormat="0" applyFill="1" applyBorder="1" applyAlignment="1">
      <alignment horizontal="left" vertical="center" textRotation="0" wrapText="tru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true" shrinkToFit="false"/>
    </xf>
    <xf xfId="0" fontId="10" numFmtId="0" fillId="4" borderId="5" applyFont="1" applyNumberFormat="0" applyFill="1" applyBorder="1" applyAlignment="1">
      <alignment horizontal="left" vertical="center" textRotation="0" wrapText="true" shrinkToFit="false"/>
    </xf>
    <xf xfId="0" fontId="10" numFmtId="0" fillId="4" borderId="5" applyFont="1" applyNumberFormat="0" applyFill="1" applyBorder="1" applyAlignment="1">
      <alignment horizontal="left" vertical="center" textRotation="0" wrapText="false" shrinkToFit="false"/>
    </xf>
    <xf xfId="0" fontId="10" numFmtId="49" fillId="4" borderId="5" applyFont="1" applyNumberFormat="1" applyFill="1" applyBorder="1" applyAlignment="1">
      <alignment horizontal="left" vertical="center" textRotation="0" wrapText="true" shrinkToFit="false"/>
    </xf>
    <xf xfId="0" fontId="10" numFmtId="49" fillId="4" borderId="1" applyFont="1" applyNumberFormat="1" applyFill="1" applyBorder="1" applyAlignment="1">
      <alignment horizontal="left" vertical="center" textRotation="0" wrapText="true" shrinkToFit="false"/>
    </xf>
    <xf xfId="0" fontId="10" numFmtId="0" fillId="4" borderId="1" applyFont="1" applyNumberFormat="0" applyFill="1" applyBorder="1" applyAlignment="1">
      <alignment horizontal="left" vertical="center" textRotation="0" wrapText="true" shrinkToFit="false"/>
    </xf>
    <xf xfId="0" fontId="10" numFmtId="0" fillId="4" borderId="1" applyFont="1" applyNumberFormat="0" applyFill="1" applyBorder="1" applyAlignment="1">
      <alignment horizontal="left" vertical="center" textRotation="0" wrapText="true" shrinkToFit="false"/>
    </xf>
    <xf xfId="0" fontId="10" numFmtId="49" fillId="4" borderId="5" applyFont="1" applyNumberFormat="1" applyFill="1" applyBorder="1" applyAlignment="1">
      <alignment horizontal="left" vertical="center" textRotation="0" wrapText="true" shrinkToFit="false"/>
    </xf>
    <xf xfId="0" fontId="10" numFmtId="49" fillId="4" borderId="1" applyFont="1" applyNumberFormat="1" applyFill="1" applyBorder="1" applyAlignment="1">
      <alignment horizontal="left" vertical="center" textRotation="0" wrapText="true" shrinkToFit="false"/>
    </xf>
    <xf xfId="0" fontId="12" numFmtId="0" fillId="4" borderId="7" applyFont="1" applyNumberFormat="0" applyFill="1" applyBorder="1" applyAlignment="1">
      <alignment horizontal="general" vertical="center" textRotation="0" wrapText="true" shrinkToFit="false"/>
    </xf>
    <xf xfId="0" fontId="10" numFmtId="49" fillId="4" borderId="3" applyFont="1" applyNumberFormat="1" applyFill="1" applyBorder="1" applyAlignment="1">
      <alignment horizontal="left" vertical="center" textRotation="0" wrapText="true" shrinkToFit="false"/>
    </xf>
    <xf xfId="0" fontId="12" numFmtId="0" fillId="4" borderId="1" applyFont="1" applyNumberFormat="0" applyFill="1" applyBorder="1" applyAlignment="1">
      <alignment horizontal="general" vertical="center" textRotation="0" wrapText="true" shrinkToFit="false"/>
    </xf>
    <xf xfId="0" fontId="10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5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4" borderId="5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3" borderId="1" applyFont="1" applyNumberFormat="0" applyFill="1" applyBorder="1" applyAlignment="1">
      <alignment horizontal="center" vertical="top" textRotation="0" wrapText="true" shrinkToFit="false"/>
    </xf>
    <xf xfId="0" fontId="14" numFmtId="0" fillId="4" borderId="6" applyFont="1" applyNumberFormat="0" applyFill="1" applyBorder="1" applyAlignment="1">
      <alignment horizontal="general" vertical="center" textRotation="0" wrapText="true" shrinkToFit="false"/>
    </xf>
    <xf xfId="0" fontId="7" numFmtId="0" fillId="3" borderId="1" applyFont="1" applyNumberFormat="0" applyFill="1" applyBorder="1" applyAlignment="1">
      <alignment horizontal="center" vertical="top" textRotation="0" wrapText="true" shrinkToFit="false"/>
    </xf>
    <xf xfId="0" fontId="9" numFmtId="49" fillId="5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9" numFmtId="49" fillId="5" borderId="3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9" numFmtId="49" fillId="4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15" numFmtId="164" fillId="4" borderId="1" applyFont="1" applyNumberFormat="1" applyFill="1" applyBorder="1" applyAlignment="1">
      <alignment horizontal="right" vertical="center" textRotation="0" wrapText="true" shrinkToFit="false"/>
    </xf>
    <xf xfId="0" fontId="9" numFmtId="0" fillId="4" borderId="5" applyFont="1" applyNumberFormat="0" applyFill="1" applyBorder="1" applyAlignment="1">
      <alignment horizontal="left" vertical="center" textRotation="0" wrapText="true" shrinkToFit="false"/>
    </xf>
    <xf xfId="0" fontId="15" numFmtId="164" fillId="4" borderId="5" applyFont="1" applyNumberFormat="1" applyFill="1" applyBorder="1" applyAlignment="1">
      <alignment horizontal="right" vertical="center" textRotation="0" wrapText="true" shrinkToFit="false"/>
    </xf>
    <xf xfId="0" fontId="9" numFmtId="0" fillId="4" borderId="1" applyFont="1" applyNumberFormat="0" applyFill="1" applyBorder="1" applyAlignment="1">
      <alignment horizontal="left" vertical="center" textRotation="0" wrapText="true" shrinkToFit="false"/>
    </xf>
    <xf xfId="0" fontId="9" numFmtId="49" fillId="4" borderId="5" applyFont="1" applyNumberFormat="1" applyFill="1" applyBorder="1" applyAlignment="1">
      <alignment horizontal="left" vertical="center" textRotation="0" wrapText="true" shrinkToFit="false"/>
    </xf>
    <xf xfId="0" fontId="9" numFmtId="0" fillId="4" borderId="0" applyFont="1" applyNumberFormat="0" applyFill="1" applyBorder="0" applyAlignment="1">
      <alignment horizontal="left" vertical="center" textRotation="0" wrapText="true" shrinkToFit="false"/>
    </xf>
    <xf xfId="0" fontId="9" numFmtId="0" fillId="4" borderId="1" applyFont="1" applyNumberFormat="0" applyFill="1" applyBorder="1" applyAlignment="1">
      <alignment horizontal="left" vertical="center" textRotation="0" wrapText="true" shrinkToFit="false"/>
    </xf>
    <xf xfId="0" fontId="9" numFmtId="49" fillId="4" borderId="8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9" numFmtId="4" fillId="2" borderId="1" applyFont="1" applyNumberFormat="1" applyFill="0" applyBorder="1" applyAlignment="1">
      <alignment horizontal="center" vertical="center" textRotation="0" wrapText="true" shrinkToFit="false"/>
    </xf>
    <xf xfId="0" fontId="14" numFmtId="0" fillId="4" borderId="9" applyFont="1" applyNumberFormat="0" applyFill="1" applyBorder="1" applyAlignment="1">
      <alignment horizontal="general" vertical="center" textRotation="0" wrapText="true" shrinkToFit="false"/>
    </xf>
    <xf xfId="0" fontId="0" numFmtId="0" fillId="4" borderId="6" applyFont="0" applyNumberFormat="0" applyFill="1" applyBorder="1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15" numFmtId="49" fillId="4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15" numFmtId="0" fillId="4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4" numFmtId="3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9" numFmtId="0" fillId="4" borderId="5" applyFont="1" applyNumberFormat="0" applyFill="1" applyBorder="1" applyAlignment="1">
      <alignment horizontal="left" vertical="center" textRotation="0" wrapText="true" shrinkToFit="false"/>
    </xf>
    <xf xfId="0" fontId="15" numFmtId="0" fillId="2" borderId="4" applyFont="1" applyNumberFormat="0" applyFill="0" applyBorder="1" applyAlignment="1">
      <alignment horizontal="general" vertical="center" textRotation="0" wrapText="true" shrinkToFit="false"/>
    </xf>
    <xf xfId="0" fontId="9" numFmtId="0" fillId="4" borderId="1" applyFont="1" applyNumberFormat="0" applyFill="1" applyBorder="1" applyAlignment="1">
      <alignment horizontal="left" vertical="center" textRotation="0" wrapText="true" shrinkToFit="false"/>
    </xf>
    <xf xfId="0" fontId="15" numFmtId="0" fillId="2" borderId="10" applyFont="1" applyNumberFormat="0" applyFill="0" applyBorder="1" applyAlignment="1">
      <alignment horizontal="general" vertical="center" textRotation="0" wrapText="true" shrinkToFit="false"/>
    </xf>
    <xf xfId="0" fontId="15" numFmtId="0" fillId="4" borderId="4" applyFont="1" applyNumberFormat="0" applyFill="1" applyBorder="1" applyAlignment="1">
      <alignment horizontal="left" vertical="center" textRotation="0" wrapText="true" shrinkToFit="false"/>
    </xf>
    <xf xfId="0" fontId="15" numFmtId="0" fillId="4" borderId="11" applyFont="1" applyNumberFormat="0" applyFill="1" applyBorder="1" applyAlignment="1">
      <alignment horizontal="left" vertical="center" textRotation="0" wrapText="true" shrinkToFit="false"/>
    </xf>
    <xf xfId="0" fontId="15" numFmtId="0" fillId="4" borderId="1" applyFont="1" applyNumberFormat="0" applyFill="1" applyBorder="1" applyAlignment="1">
      <alignment horizontal="left" vertical="center" textRotation="0" wrapText="true" shrinkToFit="false"/>
    </xf>
    <xf xfId="0" fontId="15" numFmtId="0" fillId="4" borderId="1" applyFont="1" applyNumberFormat="0" applyFill="1" applyBorder="1" applyAlignment="1">
      <alignment horizontal="left" vertical="center" textRotation="0" wrapText="false" shrinkToFit="false"/>
    </xf>
    <xf xfId="0" fontId="15" numFmtId="0" fillId="4" borderId="1" applyFont="1" applyNumberFormat="0" applyFill="1" applyBorder="1" applyAlignment="1">
      <alignment horizontal="left" vertical="center" textRotation="0" wrapText="true" shrinkToFit="false"/>
    </xf>
    <xf xfId="0" fontId="15" numFmtId="0" fillId="2" borderId="1" applyFont="1" applyNumberFormat="0" applyFill="0" applyBorder="1" applyAlignment="1">
      <alignment horizontal="general" vertical="center" textRotation="0" wrapText="true" shrinkToFit="false"/>
    </xf>
    <xf xfId="0" fontId="15" numFmtId="49" fillId="2" borderId="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5" numFmtId="0" fillId="2" borderId="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5" numFmtId="0" fillId="4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15" numFmtId="49" fillId="4" borderId="3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15" numFmtId="49" fillId="4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15" numFmtId="164" fillId="2" borderId="5" applyFont="1" applyNumberFormat="1" applyFill="0" applyBorder="1" applyAlignment="1">
      <alignment horizontal="center" vertical="center" textRotation="0" wrapText="true" shrinkToFit="false"/>
    </xf>
    <xf xfId="0" fontId="15" numFmtId="164" fillId="2" borderId="1" applyFont="1" applyNumberFormat="1" applyFill="0" applyBorder="1" applyAlignment="1">
      <alignment horizontal="center" vertical="center" textRotation="0" wrapText="true" shrinkToFit="false"/>
    </xf>
    <xf xfId="0" fontId="15" numFmtId="164" fillId="2" borderId="1" applyFont="1" applyNumberFormat="1" applyFill="0" applyBorder="1" applyAlignment="1">
      <alignment horizontal="center" vertical="center" textRotation="0" wrapText="true" shrinkToFit="false"/>
    </xf>
    <xf xfId="0" fontId="15" numFmtId="164" fillId="2" borderId="3" applyFont="1" applyNumberFormat="1" applyFill="0" applyBorder="1" applyAlignment="1">
      <alignment horizontal="center" vertical="center" textRotation="0" wrapText="true" shrinkToFit="false"/>
    </xf>
    <xf xfId="0" fontId="4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9" numFmtId="0" fillId="4" borderId="5" applyFont="1" applyNumberFormat="0" applyFill="1" applyBorder="1" applyAlignment="1">
      <alignment horizontal="left" vertical="center" textRotation="0" wrapText="true" shrinkToFit="false"/>
    </xf>
    <xf xfId="0" fontId="15" numFmtId="0" fillId="4" borderId="4" applyFont="1" applyNumberFormat="0" applyFill="1" applyBorder="1" applyAlignment="1">
      <alignment horizontal="general" vertical="center" textRotation="0" wrapText="true" shrinkToFit="false"/>
    </xf>
    <xf xfId="0" fontId="3" numFmtId="0" fillId="2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5" numFmtId="164" fillId="4" borderId="5" applyFont="1" applyNumberFormat="1" applyFill="1" applyBorder="1" applyAlignment="1">
      <alignment horizontal="center" vertical="center" textRotation="0" wrapText="true" shrinkToFit="false"/>
    </xf>
    <xf xfId="0" fontId="15" numFmtId="0" fillId="4" borderId="10" applyFont="1" applyNumberFormat="0" applyFill="1" applyBorder="1" applyAlignment="1">
      <alignment horizontal="general" vertical="center" textRotation="0" wrapText="true" shrinkToFit="false"/>
    </xf>
    <xf xfId="0" fontId="15" numFmtId="164" fillId="4" borderId="1" applyFont="1" applyNumberFormat="1" applyFill="1" applyBorder="1" applyAlignment="1">
      <alignment horizontal="center" vertical="center" textRotation="0" wrapText="true" shrinkToFit="false"/>
    </xf>
    <xf xfId="0" fontId="15" numFmtId="0" fillId="4" borderId="5" applyFont="1" applyNumberFormat="0" applyFill="1" applyBorder="1" applyAlignment="1">
      <alignment horizontal="left" vertical="center" textRotation="0" wrapText="true" shrinkToFit="false"/>
    </xf>
    <xf xfId="0" fontId="15" numFmtId="164" fillId="4" borderId="1" applyFont="1" applyNumberFormat="1" applyFill="1" applyBorder="1" applyAlignment="1">
      <alignment horizontal="center" vertical="center" textRotation="0" wrapText="true" shrinkToFit="false"/>
    </xf>
    <xf xfId="0" fontId="15" numFmtId="0" fillId="4" borderId="4" applyFont="1" applyNumberFormat="0" applyFill="1" applyBorder="1" applyAlignment="1">
      <alignment horizontal="left" vertical="center" textRotation="0" wrapText="true" shrinkToFit="false"/>
    </xf>
    <xf xfId="0" fontId="15" numFmtId="0" fillId="4" borderId="1" applyFont="1" applyNumberFormat="0" applyFill="1" applyBorder="1" applyAlignment="1">
      <alignment horizontal="left" vertical="center" textRotation="0" wrapText="true" shrinkToFit="false"/>
    </xf>
    <xf xfId="0" fontId="15" numFmtId="0" fillId="4" borderId="11" applyFont="1" applyNumberFormat="0" applyFill="1" applyBorder="1" applyAlignment="1">
      <alignment horizontal="left" vertical="center" textRotation="0" wrapText="true" shrinkToFit="false"/>
    </xf>
    <xf xfId="0" fontId="15" numFmtId="0" fillId="4" borderId="1" applyFont="1" applyNumberFormat="0" applyFill="1" applyBorder="1" applyAlignment="1">
      <alignment horizontal="left" vertical="center" textRotation="0" wrapText="false" shrinkToFit="false"/>
    </xf>
    <xf xfId="0" fontId="15" numFmtId="0" fillId="4" borderId="1" applyFont="1" applyNumberFormat="0" applyFill="1" applyBorder="1" applyAlignment="1">
      <alignment horizontal="left" vertical="center" textRotation="0" wrapText="true" shrinkToFit="false"/>
    </xf>
    <xf xfId="0" fontId="15" numFmtId="0" fillId="4" borderId="1" applyFont="1" applyNumberFormat="0" applyFill="1" applyBorder="1" applyAlignment="1">
      <alignment horizontal="general" vertical="center" textRotation="0" wrapText="true" shrinkToFit="false"/>
    </xf>
    <xf xfId="0" fontId="15" numFmtId="49" fillId="5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15" numFmtId="0" fillId="2" borderId="3" applyFont="1" applyNumberFormat="0" applyFill="0" applyBorder="1" applyAlignment="1">
      <alignment horizontal="general" vertical="center" textRotation="0" wrapText="true" shrinkToFit="false"/>
    </xf>
    <xf xfId="0" fontId="15" numFmtId="164" fillId="4" borderId="3" applyFont="1" applyNumberFormat="1" applyFill="1" applyBorder="1" applyAlignment="1">
      <alignment horizontal="center" vertical="center" textRotation="0" wrapText="true" shrinkToFit="false"/>
    </xf>
    <xf xfId="0" fontId="15" numFmtId="49" fillId="5" borderId="3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15" numFmtId="0" fillId="4" borderId="5" applyFont="1" applyNumberFormat="0" applyFill="1" applyBorder="1" applyAlignment="1">
      <alignment horizontal="left" vertical="center" textRotation="0" wrapText="true" shrinkToFit="false"/>
    </xf>
    <xf xfId="0" fontId="15" numFmtId="0" fillId="4" borderId="1" applyFont="1" applyNumberFormat="0" applyFill="1" applyBorder="1" applyAlignment="1">
      <alignment horizontal="left" vertical="center" textRotation="0" wrapText="true" shrinkToFit="false"/>
    </xf>
    <xf xfId="0" fontId="4" numFmtId="164" fillId="4" borderId="1" applyFont="1" applyNumberFormat="1" applyFill="1" applyBorder="1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4" borderId="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2" numFmtId="4" fillId="4" borderId="1" applyFont="1" applyNumberFormat="1" applyFill="1" applyBorder="1" applyAlignment="1">
      <alignment horizontal="general" vertical="center" textRotation="0" wrapText="true" shrinkToFit="false"/>
    </xf>
    <xf xfId="0" fontId="12" numFmtId="0" fillId="4" borderId="1" applyFont="1" applyNumberFormat="0" applyFill="1" applyBorder="1" applyAlignment="1">
      <alignment horizontal="left" vertical="center" textRotation="0" wrapText="true" shrinkToFit="false"/>
    </xf>
    <xf xfId="0" fontId="12" numFmtId="0" fillId="4" borderId="3" applyFont="1" applyNumberFormat="0" applyFill="1" applyBorder="1" applyAlignment="1">
      <alignment horizontal="general" vertical="center" textRotation="0" wrapText="true" shrinkToFit="false"/>
    </xf>
    <xf xfId="0" fontId="3" numFmtId="0" fillId="4" borderId="3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2" numFmtId="4" fillId="4" borderId="3" applyFont="1" applyNumberFormat="1" applyFill="1" applyBorder="1" applyAlignment="1">
      <alignment horizontal="general" vertical="center" textRotation="0" wrapText="true" shrinkToFit="false"/>
    </xf>
    <xf xfId="0" fontId="3" numFmtId="0" fillId="4" borderId="3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9" numFmtId="0" fillId="2" borderId="5" applyFont="1" applyNumberFormat="0" applyFill="0" applyBorder="1" applyAlignment="1">
      <alignment horizontal="left" vertical="center" textRotation="0" wrapText="true" shrinkToFit="false"/>
    </xf>
    <xf xfId="0" fontId="9" numFmtId="0" fillId="2" borderId="1" applyFont="1" applyNumberFormat="0" applyFill="0" applyBorder="1" applyAlignment="1">
      <alignment horizontal="left" vertical="center" textRotation="0" wrapText="true" shrinkToFit="false"/>
    </xf>
    <xf xfId="0" fontId="15" numFmtId="0" fillId="2" borderId="4" applyFont="1" applyNumberFormat="0" applyFill="0" applyBorder="1" applyAlignment="1">
      <alignment horizontal="left" vertical="center" textRotation="0" wrapText="true" shrinkToFit="false"/>
    </xf>
    <xf xfId="0" fontId="15" numFmtId="0" fillId="2" borderId="1" applyFont="1" applyNumberFormat="0" applyFill="0" applyBorder="1" applyAlignment="1">
      <alignment horizontal="left" vertical="center" textRotation="0" wrapText="true" shrinkToFit="false"/>
    </xf>
    <xf xfId="0" fontId="15" numFmtId="0" fillId="2" borderId="1" applyFont="1" applyNumberFormat="0" applyFill="0" applyBorder="1" applyAlignment="1">
      <alignment horizontal="left" vertical="center" textRotation="0" wrapText="true" shrinkToFit="false"/>
    </xf>
    <xf xfId="0" fontId="15" numFmtId="0" fillId="2" borderId="1" applyFont="1" applyNumberFormat="0" applyFill="0" applyBorder="1" applyAlignment="1">
      <alignment horizontal="left" vertical="center" textRotation="0" wrapText="false" shrinkToFit="false"/>
    </xf>
    <xf xfId="0" fontId="15" numFmtId="0" fillId="2" borderId="1" applyFont="1" applyNumberFormat="0" applyFill="0" applyBorder="1" applyAlignment="1">
      <alignment horizontal="general" vertical="center" textRotation="0" wrapText="true" shrinkToFit="false"/>
    </xf>
    <xf xfId="0" fontId="15" numFmtId="49" fillId="2" borderId="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5" numFmtId="0" fillId="2" borderId="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5" numFmtId="0" fillId="2" borderId="3" applyFont="1" applyNumberFormat="0" applyFill="0" applyBorder="1" applyAlignment="1">
      <alignment horizontal="general" vertical="center" textRotation="0" wrapText="true" shrinkToFit="false"/>
    </xf>
    <xf xfId="0" fontId="15" numFmtId="49" fillId="2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4" borderId="5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16" numFmtId="164" fillId="4" borderId="12" applyFont="1" applyNumberFormat="1" applyFill="1" applyBorder="1" applyAlignment="1">
      <alignment horizontal="right" vertical="center" textRotation="0" wrapText="true" shrinkToFit="false"/>
    </xf>
    <xf xfId="0" fontId="16" numFmtId="164" fillId="4" borderId="1" applyFont="1" applyNumberFormat="1" applyFill="1" applyBorder="1" applyAlignment="1">
      <alignment horizontal="right" vertical="center" textRotation="0" wrapText="true" shrinkToFit="false"/>
    </xf>
    <xf xfId="0" fontId="16" numFmtId="164" fillId="4" borderId="3" applyFont="1" applyNumberFormat="1" applyFill="1" applyBorder="1" applyAlignment="1">
      <alignment horizontal="right" vertical="center" textRotation="0" wrapText="true" shrinkToFit="false"/>
    </xf>
    <xf xfId="0" fontId="4" numFmtId="0" fillId="4" borderId="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17" numFmtId="164" fillId="4" borderId="1" applyFont="1" applyNumberFormat="1" applyFill="1" applyBorder="1" applyAlignment="0" applyProtection="true">
      <alignment horizontal="general" vertical="bottom" textRotation="0" wrapText="false" shrinkToFit="false"/>
      <protection locked="false"/>
    </xf>
    <xf xfId="0" fontId="1" numFmtId="0" fillId="4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4" borderId="13" applyFont="1" applyNumberFormat="0" applyFill="1" applyBorder="1" applyAlignment="1">
      <alignment horizontal="left" vertical="center" textRotation="0" wrapText="true" shrinkToFit="false"/>
    </xf>
    <xf xfId="0" fontId="3" numFmtId="0" fillId="4" borderId="12" applyFont="1" applyNumberFormat="0" applyFill="1" applyBorder="1" applyAlignment="1">
      <alignment horizontal="left" vertical="center" textRotation="0" wrapText="false" shrinkToFit="false"/>
    </xf>
    <xf xfId="0" fontId="3" numFmtId="164" fillId="2" borderId="12" applyFont="1" applyNumberFormat="1" applyFill="0" applyBorder="1" applyAlignment="1">
      <alignment horizontal="right" vertical="center" textRotation="0" wrapText="true" shrinkToFit="false"/>
    </xf>
    <xf xfId="0" fontId="3" numFmtId="0" fillId="2" borderId="6" applyFont="1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0" applyBorder="1" applyAlignment="1">
      <alignment horizontal="general" vertical="center" textRotation="0" wrapText="true" shrinkToFit="false"/>
    </xf>
    <xf xfId="0" fontId="3" numFmtId="164" fillId="2" borderId="1" applyFont="1" applyNumberFormat="1" applyFill="0" applyBorder="1" applyAlignment="1">
      <alignment horizontal="right" vertical="center" textRotation="0" wrapText="true" shrinkToFit="false"/>
    </xf>
    <xf xfId="0" fontId="3" numFmtId="0" fillId="4" borderId="5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4" borderId="5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4" borderId="5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4" borderId="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3" numFmtId="0" fillId="4" borderId="5" applyFont="1" applyNumberFormat="0" applyFill="1" applyBorder="1" applyAlignment="1">
      <alignment horizontal="left" vertical="center" textRotation="0" wrapText="false" shrinkToFit="false"/>
    </xf>
    <xf xfId="0" fontId="3" numFmtId="164" fillId="4" borderId="5" applyFont="1" applyNumberFormat="1" applyFill="1" applyBorder="1" applyAlignment="1">
      <alignment horizontal="right" vertical="center" textRotation="0" wrapText="true" shrinkToFit="false"/>
    </xf>
    <xf xfId="0" fontId="3" numFmtId="0" fillId="4" borderId="6" applyFont="1" applyNumberFormat="0" applyFill="1" applyBorder="1" applyAlignment="1">
      <alignment horizontal="general" vertical="center" textRotation="0" wrapText="true" shrinkToFit="false"/>
    </xf>
    <xf xfId="0" fontId="3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164" fillId="4" borderId="1" applyFont="1" applyNumberFormat="1" applyFill="1" applyBorder="1" applyAlignment="1">
      <alignment horizontal="right" vertical="center" textRotation="0" wrapText="true" shrinkToFit="false"/>
    </xf>
    <xf xfId="0" fontId="3" numFmtId="0" fillId="4" borderId="6" applyFont="1" applyNumberFormat="0" applyFill="1" applyBorder="1" applyAlignment="1">
      <alignment horizontal="general" vertical="center" textRotation="0" wrapText="true" shrinkToFit="false"/>
    </xf>
    <xf xfId="0" fontId="3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164" fillId="4" borderId="1" applyFont="1" applyNumberFormat="1" applyFill="1" applyBorder="1" applyAlignment="1">
      <alignment horizontal="right" vertical="center" textRotation="0" wrapText="true" shrinkToFit="false"/>
    </xf>
    <xf xfId="0" fontId="4" numFmtId="0" fillId="4" borderId="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4" numFmtId="164" fillId="4" borderId="1" applyFont="1" applyNumberFormat="1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3" numFmtId="0" fillId="4" borderId="5" applyFont="1" applyNumberFormat="0" applyFill="1" applyBorder="1" applyAlignment="1">
      <alignment horizontal="left" vertical="center" textRotation="0" wrapText="true" shrinkToFit="false"/>
    </xf>
    <xf xfId="0" fontId="3" numFmtId="0" fillId="4" borderId="5" applyFont="1" applyNumberFormat="0" applyFill="1" applyBorder="1" applyAlignment="1">
      <alignment horizontal="left" vertical="center" textRotation="0" wrapText="false" shrinkToFit="false"/>
    </xf>
    <xf xfId="0" fontId="3" numFmtId="164" fillId="2" borderId="1" applyFont="1" applyNumberFormat="1" applyFill="0" applyBorder="1" applyAlignment="1">
      <alignment horizontal="general" vertical="center" textRotation="0" wrapText="true" shrinkToFit="false"/>
    </xf>
    <xf xfId="0" fontId="3" numFmtId="0" fillId="4" borderId="5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5" applyFont="1" applyNumberFormat="0" applyFill="1" applyBorder="1" applyAlignment="1">
      <alignment horizontal="left" vertical="center" textRotation="0" wrapText="false" shrinkToFit="false"/>
    </xf>
    <xf xfId="0" fontId="3" numFmtId="0" fillId="4" borderId="5" applyFont="1" applyNumberFormat="0" applyFill="1" applyBorder="1" applyAlignment="1">
      <alignment horizontal="left" vertical="center" textRotation="0" wrapText="true" shrinkToFit="false"/>
    </xf>
    <xf xfId="0" fontId="3" numFmtId="0" fillId="4" borderId="15" applyFont="1" applyNumberFormat="0" applyFill="1" applyBorder="1" applyAlignment="1">
      <alignment horizontal="left" vertical="center" textRotation="0" wrapText="false" shrinkToFit="false"/>
    </xf>
    <xf xfId="0" fontId="3" numFmtId="0" fillId="2" borderId="15" applyFont="1" applyNumberFormat="0" applyFill="0" applyBorder="1" applyAlignment="1">
      <alignment horizontal="left" vertical="center" textRotation="0" wrapText="true" shrinkToFit="false"/>
    </xf>
    <xf xfId="0" fontId="3" numFmtId="0" fillId="4" borderId="15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16" applyFont="1" applyNumberFormat="0" applyFill="1" applyBorder="1" applyAlignment="1">
      <alignment horizontal="left" vertical="center" textRotation="0" wrapText="true" shrinkToFit="false"/>
    </xf>
    <xf xfId="0" fontId="3" numFmtId="0" fillId="4" borderId="8" applyFont="1" applyNumberFormat="0" applyFill="1" applyBorder="1" applyAlignment="1">
      <alignment horizontal="left" vertical="center" textRotation="0" wrapText="true" shrinkToFit="false"/>
    </xf>
    <xf xfId="0" fontId="3" numFmtId="49" fillId="4" borderId="1" applyFont="1" applyNumberFormat="1" applyFill="1" applyBorder="1" applyAlignment="1">
      <alignment horizontal="left" vertical="center" textRotation="0" wrapText="true" shrinkToFit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4" borderId="13" applyFont="1" applyNumberFormat="0" applyFill="1" applyBorder="1" applyAlignment="1">
      <alignment horizontal="left" vertical="center" textRotation="0" wrapText="true" shrinkToFit="false"/>
    </xf>
    <xf xfId="0" fontId="3" numFmtId="0" fillId="4" borderId="12" applyFont="1" applyNumberFormat="0" applyFill="1" applyBorder="1" applyAlignment="1">
      <alignment horizontal="left" vertical="center" textRotation="0" wrapText="false" shrinkToFit="false"/>
    </xf>
    <xf xfId="0" fontId="3" numFmtId="164" fillId="4" borderId="12" applyFont="1" applyNumberFormat="1" applyFill="1" applyBorder="1" applyAlignment="1">
      <alignment horizontal="right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4" applyFont="1" applyNumberFormat="0" applyFill="1" applyBorder="1" applyAlignment="1">
      <alignment horizontal="left" vertical="center" textRotation="0" wrapText="true" shrinkToFit="false"/>
    </xf>
    <xf xfId="0" fontId="3" numFmtId="0" fillId="4" borderId="5" applyFont="1" applyNumberFormat="0" applyFill="1" applyBorder="1" applyAlignment="1">
      <alignment horizontal="left" vertical="center" textRotation="0" wrapText="false" shrinkToFit="false"/>
    </xf>
    <xf xfId="0" fontId="3" numFmtId="4" fillId="4" borderId="17" applyFont="1" applyNumberFormat="1" applyFill="1" applyBorder="1" applyAlignment="1">
      <alignment horizontal="general" vertical="center" textRotation="0" wrapText="true" shrinkToFit="false"/>
    </xf>
    <xf xfId="0" fontId="3" numFmtId="4" fillId="4" borderId="1" applyFont="1" applyNumberFormat="1" applyFill="1" applyBorder="1" applyAlignment="1">
      <alignment horizontal="general" vertical="center" textRotation="0" wrapText="true" shrinkToFit="false"/>
    </xf>
    <xf xfId="0" fontId="3" numFmtId="4" fillId="4" borderId="1" applyFont="1" applyNumberFormat="1" applyFill="1" applyBorder="1" applyAlignment="1">
      <alignment horizontal="general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4" fillId="4" borderId="0" applyFont="1" applyNumberFormat="1" applyFill="1" applyBorder="0" applyAlignment="1">
      <alignment horizontal="general" vertical="center" textRotation="0" wrapText="true" shrinkToFit="false"/>
    </xf>
    <xf xfId="0" fontId="3" numFmtId="0" fillId="4" borderId="5" applyFont="1" applyNumberFormat="0" applyFill="1" applyBorder="1" applyAlignment="1">
      <alignment horizontal="general" vertical="center" textRotation="0" wrapText="false" shrinkToFit="false"/>
    </xf>
    <xf xfId="0" fontId="3" numFmtId="4" fillId="4" borderId="1" applyFont="1" applyNumberFormat="1" applyFill="1" applyBorder="1" applyAlignment="1">
      <alignment horizontal="general" vertical="center" textRotation="0" wrapText="true" shrinkToFit="false"/>
    </xf>
    <xf xfId="0" fontId="3" numFmtId="0" fillId="4" borderId="5" applyFont="1" applyNumberFormat="0" applyFill="1" applyBorder="1" applyAlignment="1">
      <alignment horizontal="left" vertical="center" textRotation="0" wrapText="false" shrinkToFit="false"/>
    </xf>
    <xf xfId="0" fontId="3" numFmtId="49" fillId="4" borderId="1" applyFont="1" applyNumberFormat="1" applyFill="1" applyBorder="1" applyAlignment="1">
      <alignment horizontal="right" vertical="center" textRotation="0" wrapText="true" shrinkToFit="false"/>
    </xf>
    <xf xfId="0" fontId="3" numFmtId="0" fillId="4" borderId="1" applyFont="1" applyNumberFormat="0" applyFill="1" applyBorder="1" applyAlignment="0">
      <alignment horizontal="general" vertical="bottom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3" numFmtId="49" fillId="4" borderId="1" applyFont="1" applyNumberFormat="1" applyFill="1" applyBorder="1" applyAlignment="1">
      <alignment horizontal="right" vertical="bottom" textRotation="0" wrapText="false" shrinkToFit="false"/>
    </xf>
    <xf xfId="0" fontId="3" numFmtId="0" fillId="4" borderId="16" applyFont="1" applyNumberFormat="0" applyFill="1" applyBorder="1" applyAlignment="0">
      <alignment horizontal="general" vertical="bottom" textRotation="0" wrapText="false" shrinkToFit="false"/>
    </xf>
    <xf xfId="0" fontId="3" numFmtId="4" fillId="4" borderId="1" applyFont="1" applyNumberFormat="1" applyFill="1" applyBorder="1" applyAlignment="0">
      <alignment horizontal="general" vertical="bottom" textRotation="0" wrapText="false" shrinkToFit="false"/>
    </xf>
    <xf xfId="0" fontId="3" numFmtId="0" fillId="4" borderId="18" applyFont="1" applyNumberFormat="0" applyFill="1" applyBorder="1" applyAlignment="0">
      <alignment horizontal="general" vertical="bottom" textRotation="0" wrapText="false" shrinkToFit="false"/>
    </xf>
    <xf xfId="0" fontId="3" numFmtId="0" fillId="4" borderId="19" applyFont="1" applyNumberFormat="0" applyFill="1" applyBorder="1" applyAlignment="1">
      <alignment horizontal="general" vertical="center" textRotation="0" wrapText="true" shrinkToFit="false"/>
    </xf>
    <xf xfId="0" fontId="3" numFmtId="0" fillId="4" borderId="20" applyFont="1" applyNumberFormat="0" applyFill="1" applyBorder="1" applyAlignment="1">
      <alignment horizontal="general" vertical="center" textRotation="0" wrapText="true" shrinkToFit="false"/>
    </xf>
    <xf xfId="0" fontId="3" numFmtId="0" fillId="5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3" numFmtId="0" fillId="5" borderId="8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3" numFmtId="0" fillId="5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3" numFmtId="49" fillId="4" borderId="1" applyFont="1" applyNumberFormat="1" applyFill="1" applyBorder="1" applyAlignment="1">
      <alignment horizontal="left" vertical="center" textRotation="0" wrapText="true" shrinkToFit="fals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0" applyFont="1" applyNumberFormat="0" applyFill="1" applyBorder="0" applyAlignment="0" applyProtection="true">
      <alignment horizontal="general" vertical="bottom" textRotation="0" wrapText="false" shrinkToFit="false"/>
      <protection locked="false"/>
    </xf>
    <xf xfId="0" fontId="3" numFmtId="0" fillId="4" borderId="0" applyFont="1" applyNumberFormat="0" applyFill="1" applyBorder="0" applyAlignment="1">
      <alignment horizontal="right" vertical="bottom" textRotation="0" wrapText="true" shrinkToFit="false"/>
    </xf>
    <xf xfId="0" fontId="3" numFmtId="0" fillId="4" borderId="0" applyFont="1" applyNumberFormat="0" applyFill="1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1" applyProtection="true">
      <alignment horizontal="right" vertical="bottom" textRotation="0" wrapText="false" shrinkToFit="false"/>
      <protection locked="false"/>
    </xf>
    <xf xfId="0" fontId="3" numFmtId="0" fillId="4" borderId="0" applyFont="1" applyNumberFormat="0" applyFill="1" applyBorder="0" applyAlignment="1" applyProtection="true">
      <alignment horizontal="center" vertical="bottom" textRotation="0" wrapText="false" shrinkToFit="false"/>
      <protection locked="false"/>
    </xf>
    <xf xfId="0" fontId="1" numFmtId="0" fillId="2" borderId="2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8" numFmtId="0" fillId="4" borderId="5" applyFont="1" applyNumberFormat="0" applyFill="1" applyBorder="1" applyAlignment="1">
      <alignment horizontal="left" vertical="center" textRotation="0" wrapText="true" shrinkToFit="false"/>
    </xf>
    <xf xfId="0" fontId="19" numFmtId="0" fillId="4" borderId="15" applyFont="1" applyNumberFormat="0" applyFill="1" applyBorder="1" applyAlignment="1">
      <alignment horizontal="left" vertical="center" textRotation="0" wrapText="false" shrinkToFit="false"/>
    </xf>
    <xf xfId="0" fontId="20" numFmtId="164" fillId="4" borderId="1" applyFont="1" applyNumberFormat="1" applyFill="1" applyBorder="1" applyAlignment="1">
      <alignment horizontal="general" vertical="center" textRotation="0" wrapText="true" shrinkToFit="false"/>
    </xf>
    <xf xfId="0" fontId="3" numFmtId="0" fillId="4" borderId="2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3" numFmtId="0" fillId="4" borderId="2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2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4" borderId="3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4" numFmtId="0" fillId="4" borderId="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19" numFmtId="0" fillId="4" borderId="5" applyFont="1" applyNumberFormat="0" applyFill="1" applyBorder="1" applyAlignment="1">
      <alignment horizontal="left" vertical="center" textRotation="0" wrapText="false" shrinkToFit="false"/>
    </xf>
    <xf xfId="0" fontId="19" numFmtId="0" fillId="4" borderId="5" applyFont="1" applyNumberFormat="0" applyFill="1" applyBorder="1" applyAlignment="1">
      <alignment horizontal="left" vertical="center" textRotation="0" wrapText="false" shrinkToFit="false"/>
    </xf>
    <xf xfId="0" fontId="18" numFmtId="0" fillId="4" borderId="1" applyFont="1" applyNumberFormat="0" applyFill="1" applyBorder="1" applyAlignment="1">
      <alignment horizontal="left" vertical="center" textRotation="0" wrapText="true" shrinkToFit="false"/>
    </xf>
    <xf xfId="0" fontId="18" numFmtId="0" fillId="4" borderId="1" applyFont="1" applyNumberFormat="0" applyFill="1" applyBorder="1" applyAlignment="1">
      <alignment horizontal="left" vertical="center" textRotation="0" wrapText="true" shrinkToFit="false"/>
    </xf>
    <xf xfId="0" fontId="19" numFmtId="0" fillId="4" borderId="1" applyFont="1" applyNumberFormat="0" applyFill="1" applyBorder="1" applyAlignment="1">
      <alignment horizontal="left" vertical="center" textRotation="0" wrapText="false" shrinkToFit="false"/>
    </xf>
    <xf xfId="0" fontId="18" numFmtId="0" fillId="4" borderId="1" applyFont="1" applyNumberFormat="0" applyFill="1" applyBorder="1" applyAlignment="1">
      <alignment horizontal="left" vertical="center" textRotation="0" wrapText="true" shrinkToFit="false"/>
    </xf>
    <xf xfId="0" fontId="19" numFmtId="0" fillId="4" borderId="1" applyFont="1" applyNumberFormat="0" applyFill="1" applyBorder="1" applyAlignment="1">
      <alignment horizontal="left" vertical="center" textRotation="0" wrapText="false" shrinkToFit="false"/>
    </xf>
    <xf xfId="0" fontId="19" numFmtId="0" fillId="4" borderId="5" applyFont="1" applyNumberFormat="0" applyFill="1" applyBorder="1" applyAlignment="1">
      <alignment horizontal="left" vertical="center" textRotation="0" wrapText="false" shrinkToFit="false"/>
    </xf>
    <xf xfId="0" fontId="18" numFmtId="0" fillId="4" borderId="1" applyFont="1" applyNumberFormat="0" applyFill="1" applyBorder="1" applyAlignment="1">
      <alignment horizontal="left" vertical="center" textRotation="0" wrapText="true" shrinkToFit="false"/>
    </xf>
    <xf xfId="0" fontId="19" numFmtId="0" fillId="4" borderId="1" applyFont="1" applyNumberFormat="0" applyFill="1" applyBorder="1" applyAlignment="1">
      <alignment horizontal="left" vertical="center" textRotation="0" wrapText="false" shrinkToFit="false"/>
    </xf>
    <xf xfId="0" fontId="19" numFmtId="0" fillId="4" borderId="5" applyFont="1" applyNumberFormat="0" applyFill="1" applyBorder="1" applyAlignment="1">
      <alignment horizontal="left" vertical="center" textRotation="0" wrapText="true" shrinkToFit="false"/>
    </xf>
    <xf xfId="0" fontId="19" numFmtId="0" fillId="4" borderId="15" applyFont="1" applyNumberFormat="0" applyFill="1" applyBorder="1" applyAlignment="1">
      <alignment horizontal="left" vertical="center" textRotation="0" wrapText="true" shrinkToFit="false"/>
    </xf>
    <xf xfId="0" fontId="19" numFmtId="0" fillId="4" borderId="15" applyFont="1" applyNumberFormat="0" applyFill="1" applyBorder="1" applyAlignment="1">
      <alignment horizontal="left" vertical="center" textRotation="0" wrapText="false" shrinkToFit="false"/>
    </xf>
    <xf xfId="0" fontId="19" numFmtId="0" fillId="4" borderId="1" applyFont="1" applyNumberFormat="0" applyFill="1" applyBorder="1" applyAlignment="1">
      <alignment horizontal="left" vertical="center" textRotation="0" wrapText="true" shrinkToFit="false"/>
    </xf>
    <xf xfId="0" fontId="19" numFmtId="0" fillId="4" borderId="16" applyFont="1" applyNumberFormat="0" applyFill="1" applyBorder="1" applyAlignment="1">
      <alignment horizontal="left" vertical="center" textRotation="0" wrapText="true" shrinkToFit="false"/>
    </xf>
    <xf xfId="0" fontId="19" numFmtId="0" fillId="4" borderId="8" applyFont="1" applyNumberFormat="0" applyFill="1" applyBorder="1" applyAlignment="1">
      <alignment horizontal="left" vertical="center" textRotation="0" wrapText="true" shrinkToFit="false"/>
    </xf>
    <xf xfId="0" fontId="18" numFmtId="49" fillId="4" borderId="1" applyFont="1" applyNumberFormat="1" applyFill="1" applyBorder="1" applyAlignment="1">
      <alignment horizontal="left" vertical="center" textRotation="0" wrapText="true" shrinkToFit="false"/>
    </xf>
    <xf xfId="0" fontId="18" numFmtId="49" fillId="4" borderId="3" applyFont="1" applyNumberFormat="1" applyFill="1" applyBorder="1" applyAlignment="1">
      <alignment horizontal="left" vertical="center" textRotation="0" wrapText="true" shrinkToFit="false"/>
    </xf>
    <xf xfId="0" fontId="20" numFmtId="164" fillId="4" borderId="3" applyFont="1" applyNumberFormat="1" applyFill="1" applyBorder="1" applyAlignment="1">
      <alignment horizontal="general" vertical="center" textRotation="0" wrapText="tru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19" numFmtId="0" fillId="4" borderId="1" applyFont="1" applyNumberFormat="0" applyFill="1" applyBorder="1" applyAlignment="1">
      <alignment horizontal="left" vertical="center" textRotation="0" wrapText="true" shrinkToFit="false"/>
    </xf>
    <xf xfId="0" fontId="21" numFmtId="164" fillId="4" borderId="1" applyFont="1" applyNumberFormat="1" applyFill="1" applyBorder="1" applyAlignment="0">
      <alignment horizontal="general" vertical="bottom" textRotation="0" wrapText="false" shrinkToFit="false"/>
    </xf>
    <xf xfId="0" fontId="21" numFmtId="4" fillId="4" borderId="1" applyFont="1" applyNumberFormat="1" applyFill="1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0">
      <alignment horizontal="general" vertical="bottom" textRotation="0" wrapText="false" shrinkToFit="false"/>
    </xf>
    <xf xfId="0" fontId="0" numFmtId="0" fillId="4" borderId="3" applyFont="0" applyNumberFormat="0" applyFill="1" applyBorder="1" applyAlignment="0">
      <alignment horizontal="general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21" numFmtId="4" fillId="4" borderId="3" applyFont="1" applyNumberFormat="1" applyFill="1" applyBorder="1" applyAlignment="0">
      <alignment horizontal="general" vertical="bottom" textRotation="0" wrapText="false" shrinkToFit="false"/>
    </xf>
    <xf xfId="0" fontId="3" numFmtId="4" fillId="4" borderId="1" applyFont="1" applyNumberFormat="1" applyFill="1" applyBorder="1" applyAlignment="1">
      <alignment horizontal="right" vertical="center" textRotation="0" wrapText="true" shrinkToFit="false"/>
    </xf>
    <xf xfId="0" fontId="4" numFmtId="164" fillId="4" borderId="1" applyFont="1" applyNumberFormat="1" applyFill="1" applyBorder="1" applyAlignment="0" applyProtection="true">
      <alignment horizontal="general" vertical="bottom" textRotation="0" wrapText="false" shrinkToFit="false"/>
      <protection locked="false"/>
    </xf>
    <xf xfId="0" fontId="9" numFmtId="0" fillId="4" borderId="4" applyFont="1" applyNumberFormat="0" applyFill="1" applyBorder="1" applyAlignment="1">
      <alignment horizontal="left" vertical="center" textRotation="0" wrapText="true" shrinkToFit="false"/>
    </xf>
    <xf xfId="0" fontId="10" numFmtId="0" fillId="4" borderId="5" applyFont="1" applyNumberFormat="0" applyFill="1" applyBorder="1" applyAlignment="1">
      <alignment horizontal="left" vertical="center" textRotation="0" wrapText="false" shrinkToFit="false"/>
    </xf>
    <xf xfId="0" fontId="10" numFmtId="49" fillId="2" borderId="5" applyFont="1" applyNumberFormat="1" applyFill="0" applyBorder="1" applyAlignment="1">
      <alignment horizontal="left" vertical="center" textRotation="0" wrapText="true" shrinkToFit="false"/>
    </xf>
    <xf xfId="0" fontId="10" numFmtId="49" fillId="2" borderId="1" applyFont="1" applyNumberFormat="1" applyFill="0" applyBorder="1" applyAlignment="1">
      <alignment horizontal="left" vertical="center" textRotation="0" wrapText="true" shrinkToFit="false"/>
    </xf>
    <xf xfId="0" fontId="10" numFmtId="0" fillId="2" borderId="1" applyFont="1" applyNumberFormat="0" applyFill="0" applyBorder="1" applyAlignment="1">
      <alignment horizontal="left" vertical="center" textRotation="0" wrapText="true" shrinkToFit="false"/>
    </xf>
    <xf xfId="0" fontId="10" numFmtId="0" fillId="4" borderId="1" applyFont="1" applyNumberFormat="0" applyFill="1" applyBorder="1" applyAlignment="1">
      <alignment horizontal="left" vertical="center" textRotation="0" wrapText="true" shrinkToFit="false"/>
    </xf>
    <xf xfId="0" fontId="10" numFmtId="0" fillId="4" borderId="5" applyFont="1" applyNumberFormat="0" applyFill="1" applyBorder="1" applyAlignment="1">
      <alignment horizontal="left" vertical="center" textRotation="0" wrapText="true" shrinkToFit="false"/>
    </xf>
    <xf xfId="0" fontId="15" numFmtId="164" fillId="2" borderId="1" applyFont="1" applyNumberFormat="1" applyFill="0" applyBorder="1" applyAlignment="1">
      <alignment horizontal="right" vertical="center" textRotation="0" wrapText="true" shrinkToFit="false"/>
    </xf>
    <xf xfId="0" fontId="15" numFmtId="164" fillId="4" borderId="12" applyFont="1" applyNumberFormat="1" applyFill="1" applyBorder="1" applyAlignment="1">
      <alignment horizontal="right" vertical="center" textRotation="0" wrapText="true" shrinkToFit="false"/>
    </xf>
    <xf xfId="0" fontId="4" numFmtId="0" fillId="4" borderId="6" applyFont="1" applyNumberFormat="0" applyFill="1" applyBorder="1" applyAlignment="1">
      <alignment horizontal="general" vertical="center" textRotation="0" wrapText="true" shrinkToFit="false"/>
    </xf>
    <xf xfId="0" fontId="4" numFmtId="0" fillId="4" borderId="5" applyFont="1" applyNumberFormat="0" applyFill="1" applyBorder="1" applyAlignment="1">
      <alignment horizontal="left" vertical="center" textRotation="0" wrapText="false" shrinkToFit="false"/>
    </xf>
    <xf xfId="0" fontId="4" numFmtId="0" fillId="4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164" fillId="4" borderId="1" applyFont="1" applyNumberFormat="1" applyFill="1" applyBorder="1" applyAlignment="1">
      <alignment horizontal="right" vertical="center" textRotation="0" wrapText="true" shrinkToFit="false"/>
    </xf>
    <xf xfId="0" fontId="3" numFmtId="164" fillId="4" borderId="17" applyFont="1" applyNumberFormat="1" applyFill="1" applyBorder="1" applyAlignment="1">
      <alignment horizontal="general" vertical="center" textRotation="0" wrapText="true" shrinkToFit="false"/>
    </xf>
    <xf xfId="0" fontId="3" numFmtId="164" fillId="4" borderId="17" applyFont="1" applyNumberFormat="1" applyFill="1" applyBorder="1" applyAlignment="1">
      <alignment horizontal="general" vertical="center" textRotation="0" wrapText="true" shrinkToFit="false"/>
    </xf>
    <xf xfId="0" fontId="3" numFmtId="0" fillId="4" borderId="5" applyFont="1" applyNumberFormat="0" applyFill="1" applyBorder="1" applyAlignment="1">
      <alignment horizontal="left" vertical="center" textRotation="0" wrapText="true" shrinkToFit="false"/>
    </xf>
    <xf xfId="0" fontId="3" numFmtId="164" fillId="4" borderId="22" applyFont="1" applyNumberFormat="1" applyFill="1" applyBorder="1" applyAlignment="1">
      <alignment horizontal="general" vertical="center" textRotation="0" wrapText="true" shrinkToFit="false"/>
    </xf>
    <xf xfId="0" fontId="3" numFmtId="0" fillId="4" borderId="4" applyFont="1" applyNumberFormat="0" applyFill="1" applyBorder="1" applyAlignment="1">
      <alignment horizontal="left" vertical="center" textRotation="0" wrapText="true" shrinkToFit="false"/>
    </xf>
    <xf xfId="0" fontId="3" numFmtId="49" fillId="4" borderId="5" applyFont="1" applyNumberFormat="1" applyFill="1" applyBorder="1" applyAlignment="1">
      <alignment horizontal="left" vertical="center" textRotation="0" wrapText="true" shrinkToFit="false"/>
    </xf>
    <xf xfId="0" fontId="3" numFmtId="164" fillId="2" borderId="17" applyFont="1" applyNumberFormat="1" applyFill="0" applyBorder="1" applyAlignment="1">
      <alignment horizontal="general" vertical="center" textRotation="0" wrapText="true" shrinkToFit="false"/>
    </xf>
    <xf xfId="0" fontId="3" numFmtId="49" fillId="4" borderId="1" applyFont="1" applyNumberFormat="1" applyFill="1" applyBorder="1" applyAlignment="1">
      <alignment horizontal="left" vertical="center" textRotation="0" wrapText="tru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164" fillId="2" borderId="16" applyFont="1" applyNumberFormat="1" applyFill="0" applyBorder="1" applyAlignment="1">
      <alignment horizontal="general" vertical="center" textRotation="0" wrapText="true" shrinkToFit="false"/>
    </xf>
    <xf xfId="0" fontId="3" numFmtId="164" fillId="4" borderId="1" applyFont="1" applyNumberFormat="1" applyFill="1" applyBorder="1" applyAlignment="1">
      <alignment horizontal="general" vertical="center" textRotation="0" wrapText="true" shrinkToFit="false"/>
    </xf>
    <xf xfId="0" fontId="1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3" borderId="23" applyFont="1" applyNumberFormat="0" applyFill="1" applyBorder="1" applyAlignment="1">
      <alignment horizontal="center" vertical="top" textRotation="0" wrapText="true" shrinkToFit="false"/>
    </xf>
    <xf xfId="0" fontId="7" numFmtId="0" fillId="3" borderId="24" applyFont="1" applyNumberFormat="0" applyFill="1" applyBorder="1" applyAlignment="1">
      <alignment horizontal="center" vertical="top" textRotation="0" wrapText="tru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13" applyFont="1" applyNumberFormat="0" applyFill="1" applyBorder="1" applyAlignment="1">
      <alignment horizontal="center" vertical="top" textRotation="0" wrapText="true" shrinkToFit="false"/>
    </xf>
    <xf xfId="0" fontId="7" numFmtId="0" fillId="3" borderId="7" applyFont="1" applyNumberFormat="0" applyFill="1" applyBorder="1" applyAlignment="1">
      <alignment horizontal="center" vertical="top" textRotation="0" wrapText="true" shrinkToFit="false"/>
    </xf>
    <xf xfId="0" fontId="7" numFmtId="0" fillId="3" borderId="12" applyFont="1" applyNumberFormat="0" applyFill="1" applyBorder="1" applyAlignment="1">
      <alignment horizontal="center" vertical="top" textRotation="0" wrapText="true" shrinkToFit="false"/>
    </xf>
    <xf xfId="0" fontId="7" numFmtId="0" fillId="3" borderId="3" applyFont="1" applyNumberFormat="0" applyFill="1" applyBorder="1" applyAlignment="1">
      <alignment horizontal="center" vertical="top" textRotation="0" wrapText="true" shrinkToFit="false"/>
    </xf>
    <xf xfId="0" fontId="8" numFmtId="0" fillId="3" borderId="12" applyFont="1" applyNumberFormat="0" applyFill="1" applyBorder="1" applyAlignment="1">
      <alignment horizontal="center" vertical="top" textRotation="0" wrapText="true" shrinkToFit="false"/>
    </xf>
    <xf xfId="0" fontId="8" numFmtId="0" fillId="3" borderId="3" applyFont="1" applyNumberFormat="0" applyFill="1" applyBorder="1" applyAlignment="1">
      <alignment horizontal="center" vertical="top" textRotation="0" wrapText="true" shrinkToFit="false"/>
    </xf>
    <xf xfId="0" fontId="7" numFmtId="0" fillId="3" borderId="6" applyFont="1" applyNumberFormat="0" applyFill="1" applyBorder="1" applyAlignment="1">
      <alignment horizontal="center" vertical="top" textRotation="0" wrapText="true" shrinkToFit="false"/>
    </xf>
    <xf xfId="0" fontId="7" numFmtId="0" fillId="3" borderId="1" applyFont="1" applyNumberFormat="0" applyFill="1" applyBorder="1" applyAlignment="1">
      <alignment horizontal="center" vertical="top" textRotation="0" wrapText="true" shrinkToFit="false"/>
    </xf>
    <xf xfId="0" fontId="7" numFmtId="0" fillId="3" borderId="23" applyFont="1" applyNumberFormat="0" applyFill="1" applyBorder="1" applyAlignment="1">
      <alignment horizontal="center" vertical="top" textRotation="0" wrapText="true" shrinkToFit="false"/>
    </xf>
    <xf xfId="0" fontId="7" numFmtId="0" fillId="3" borderId="24" applyFont="1" applyNumberFormat="0" applyFill="1" applyBorder="1" applyAlignment="1">
      <alignment horizontal="center" vertical="top" textRotation="0" wrapText="true" shrinkToFit="false"/>
    </xf>
    <xf xfId="0" fontId="7" numFmtId="0" fillId="3" borderId="13" applyFont="1" applyNumberFormat="0" applyFill="1" applyBorder="1" applyAlignment="1">
      <alignment horizontal="center" vertical="top" textRotation="0" wrapText="true" shrinkToFit="false"/>
    </xf>
    <xf xfId="0" fontId="7" numFmtId="0" fillId="3" borderId="7" applyFont="1" applyNumberFormat="0" applyFill="1" applyBorder="1" applyAlignment="1">
      <alignment horizontal="center" vertical="top" textRotation="0" wrapText="true" shrinkToFit="false"/>
    </xf>
    <xf xfId="0" fontId="7" numFmtId="0" fillId="3" borderId="12" applyFont="1" applyNumberFormat="0" applyFill="1" applyBorder="1" applyAlignment="1">
      <alignment horizontal="center" vertical="top" textRotation="0" wrapText="true" shrinkToFit="false"/>
    </xf>
    <xf xfId="0" fontId="7" numFmtId="0" fillId="3" borderId="3" applyFont="1" applyNumberFormat="0" applyFill="1" applyBorder="1" applyAlignment="1">
      <alignment horizontal="center" vertical="top" textRotation="0" wrapText="true" shrinkToFit="false"/>
    </xf>
    <xf xfId="0" fontId="8" numFmtId="0" fillId="3" borderId="12" applyFont="1" applyNumberFormat="0" applyFill="1" applyBorder="1" applyAlignment="1">
      <alignment horizontal="center" vertical="top" textRotation="0" wrapText="true" shrinkToFit="false"/>
    </xf>
    <xf xfId="0" fontId="8" numFmtId="0" fillId="3" borderId="3" applyFont="1" applyNumberFormat="0" applyFill="1" applyBorder="1" applyAlignment="1">
      <alignment horizontal="center" vertical="top" textRotation="0" wrapText="true" shrinkToFit="false"/>
    </xf>
    <xf xfId="0" fontId="7" numFmtId="0" fillId="3" borderId="6" applyFont="1" applyNumberFormat="0" applyFill="1" applyBorder="1" applyAlignment="1">
      <alignment horizontal="center" vertical="top" textRotation="0" wrapText="true" shrinkToFit="false"/>
    </xf>
    <xf xfId="0" fontId="8" numFmtId="0" fillId="3" borderId="1" applyFont="1" applyNumberFormat="0" applyFill="1" applyBorder="1" applyAlignment="1">
      <alignment horizontal="center" vertical="top" textRotation="0" wrapText="true" shrinkToFit="false"/>
    </xf>
    <xf xfId="0" fontId="7" numFmtId="0" fillId="3" borderId="1" applyFont="1" applyNumberFormat="0" applyFill="1" applyBorder="1" applyAlignment="1">
      <alignment horizontal="center" vertical="top" textRotation="0" wrapText="tru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top" textRotation="0" wrapText="true" shrinkToFit="false"/>
    </xf>
    <xf xfId="0" fontId="0" numFmtId="164" fillId="2" borderId="16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10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25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5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2" borderId="1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164" fillId="2" borderId="1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164" fillId="2" borderId="1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6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5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0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2" borderId="16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2" borderId="10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0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6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64"/>
  <sheetViews>
    <sheetView tabSelected="0" workbookViewId="0" zoomScale="80" zoomScaleNormal="80" showGridLines="true" showRowColHeaders="1">
      <selection activeCell="K64" sqref="K64"/>
    </sheetView>
  </sheetViews>
  <sheetFormatPr defaultRowHeight="14.4" defaultColWidth="20.7109375" outlineLevelRow="0" outlineLevelCol="0"/>
  <cols>
    <col min="1" max="1" width="20.85546875" customWidth="true" style="5"/>
    <col min="2" max="2" width="58.14062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7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45" t="s">
        <v>10</v>
      </c>
      <c r="B10" s="347" t="s">
        <v>11</v>
      </c>
      <c r="C10" s="347" t="s">
        <v>12</v>
      </c>
      <c r="D10" s="349" t="s">
        <v>13</v>
      </c>
      <c r="E10" s="347" t="s">
        <v>14</v>
      </c>
      <c r="F10" s="347" t="s">
        <v>15</v>
      </c>
      <c r="G10" s="347"/>
      <c r="H10" s="347"/>
      <c r="I10" s="347"/>
      <c r="J10" s="347" t="s">
        <v>16</v>
      </c>
      <c r="K10" s="347" t="s">
        <v>17</v>
      </c>
      <c r="L10" s="347"/>
      <c r="M10" s="347"/>
      <c r="N10" s="342" t="s">
        <v>18</v>
      </c>
    </row>
    <row r="11" spans="1:14" customHeight="1" ht="33.6" s="3" customFormat="1">
      <c r="A11" s="346"/>
      <c r="B11" s="348"/>
      <c r="C11" s="348"/>
      <c r="D11" s="350"/>
      <c r="E11" s="348"/>
      <c r="F11" s="23" t="s">
        <v>19</v>
      </c>
      <c r="G11" s="23" t="s">
        <v>20</v>
      </c>
      <c r="H11" s="23" t="s">
        <v>21</v>
      </c>
      <c r="I11" s="23" t="s">
        <v>22</v>
      </c>
      <c r="J11" s="348"/>
      <c r="K11" s="22" t="s">
        <v>23</v>
      </c>
      <c r="L11" s="22" t="s">
        <v>24</v>
      </c>
      <c r="M11" s="22" t="s">
        <v>25</v>
      </c>
      <c r="N11" s="343"/>
    </row>
    <row r="12" spans="1:14">
      <c r="A12" s="7" t="s">
        <v>26</v>
      </c>
      <c r="B12" s="7" t="s">
        <v>27</v>
      </c>
      <c r="C12" s="124" t="s">
        <v>28</v>
      </c>
      <c r="D12" s="24" t="s">
        <v>29</v>
      </c>
      <c r="E12" s="25" t="s">
        <v>30</v>
      </c>
      <c r="F12" s="7"/>
      <c r="G12" s="7"/>
      <c r="H12" s="7"/>
      <c r="I12" s="7"/>
      <c r="J12" s="7"/>
      <c r="K12" s="26">
        <v>3828</v>
      </c>
      <c r="L12" s="7"/>
      <c r="M12" s="7"/>
      <c r="N12" s="7"/>
    </row>
    <row r="13" spans="1:14">
      <c r="A13" s="7" t="s">
        <v>31</v>
      </c>
      <c r="B13" s="7" t="s">
        <v>32</v>
      </c>
      <c r="C13" s="7" t="s">
        <v>28</v>
      </c>
      <c r="D13" s="24" t="s">
        <v>29</v>
      </c>
      <c r="E13" s="25" t="s">
        <v>30</v>
      </c>
      <c r="F13" s="7"/>
      <c r="G13" s="7"/>
      <c r="H13" s="7"/>
      <c r="I13" s="7"/>
      <c r="J13" s="7"/>
      <c r="K13" s="7">
        <v>999</v>
      </c>
      <c r="L13" s="7"/>
      <c r="M13" s="7"/>
      <c r="N13" s="7"/>
    </row>
    <row r="14" spans="1:14">
      <c r="A14" s="7" t="s">
        <v>33</v>
      </c>
      <c r="B14" s="7" t="s">
        <v>34</v>
      </c>
      <c r="C14" s="7" t="s">
        <v>28</v>
      </c>
      <c r="D14" s="24" t="s">
        <v>29</v>
      </c>
      <c r="E14" s="25" t="s">
        <v>30</v>
      </c>
      <c r="F14" s="7"/>
      <c r="G14" s="7"/>
      <c r="H14" s="7"/>
      <c r="I14" s="7"/>
      <c r="J14" s="7"/>
      <c r="K14" s="7">
        <v>81.96</v>
      </c>
      <c r="L14" s="7"/>
      <c r="M14" s="7"/>
      <c r="N14" s="7"/>
    </row>
    <row r="15" spans="1:14">
      <c r="A15" s="7" t="s">
        <v>35</v>
      </c>
      <c r="B15" s="7" t="s">
        <v>36</v>
      </c>
      <c r="C15" s="7" t="s">
        <v>28</v>
      </c>
      <c r="D15" s="24" t="s">
        <v>29</v>
      </c>
      <c r="E15" s="25" t="s">
        <v>30</v>
      </c>
      <c r="F15" s="7"/>
      <c r="G15" s="7"/>
      <c r="H15" s="7"/>
      <c r="I15" s="7"/>
      <c r="J15" s="7"/>
      <c r="K15" s="7">
        <v>136.24</v>
      </c>
      <c r="L15" s="7"/>
      <c r="M15" s="7"/>
      <c r="N15" s="7"/>
    </row>
    <row r="16" spans="1:14">
      <c r="A16" s="7" t="s">
        <v>37</v>
      </c>
      <c r="B16" s="7" t="s">
        <v>38</v>
      </c>
      <c r="C16" s="7" t="s">
        <v>28</v>
      </c>
      <c r="D16" s="24" t="s">
        <v>29</v>
      </c>
      <c r="E16" s="25" t="s">
        <v>30</v>
      </c>
      <c r="F16" s="7"/>
      <c r="G16" s="7"/>
      <c r="H16" s="7"/>
      <c r="I16" s="7"/>
      <c r="J16" s="7"/>
      <c r="K16" s="7">
        <v>139.89</v>
      </c>
      <c r="L16" s="7"/>
      <c r="M16" s="7"/>
      <c r="N16" s="7"/>
    </row>
    <row r="17" spans="1:14">
      <c r="A17" s="7" t="s">
        <v>39</v>
      </c>
      <c r="B17" s="7" t="s">
        <v>40</v>
      </c>
      <c r="C17" s="7" t="s">
        <v>28</v>
      </c>
      <c r="D17" s="24" t="s">
        <v>29</v>
      </c>
      <c r="E17" s="25" t="s">
        <v>30</v>
      </c>
      <c r="F17" s="7"/>
      <c r="G17" s="7"/>
      <c r="H17" s="7"/>
      <c r="I17" s="7"/>
      <c r="J17" s="7"/>
      <c r="K17" s="7">
        <v>120.12</v>
      </c>
      <c r="L17" s="7"/>
      <c r="M17" s="7"/>
      <c r="N17" s="7"/>
    </row>
    <row r="18" spans="1:14">
      <c r="A18" s="7" t="s">
        <v>41</v>
      </c>
      <c r="B18" s="7" t="s">
        <v>42</v>
      </c>
      <c r="C18" s="7" t="s">
        <v>28</v>
      </c>
      <c r="D18" s="24" t="s">
        <v>29</v>
      </c>
      <c r="E18" s="25" t="s">
        <v>30</v>
      </c>
      <c r="F18" s="7"/>
      <c r="G18" s="7"/>
      <c r="H18" s="7"/>
      <c r="I18" s="7"/>
      <c r="J18" s="7"/>
      <c r="K18" s="7">
        <v>2792.4</v>
      </c>
      <c r="L18" s="7"/>
      <c r="M18" s="7"/>
      <c r="N18" s="7"/>
    </row>
    <row r="19" spans="1:14">
      <c r="A19" s="7" t="s">
        <v>43</v>
      </c>
      <c r="B19" s="7" t="s">
        <v>44</v>
      </c>
      <c r="C19" s="7" t="s">
        <v>28</v>
      </c>
      <c r="D19" s="24" t="s">
        <v>29</v>
      </c>
      <c r="E19" s="25" t="s">
        <v>30</v>
      </c>
      <c r="F19" s="7"/>
      <c r="G19" s="7"/>
      <c r="H19" s="7"/>
      <c r="I19" s="7"/>
      <c r="J19" s="7"/>
      <c r="K19" s="7">
        <v>70.72</v>
      </c>
      <c r="L19" s="7"/>
      <c r="M19" s="7"/>
      <c r="N19" s="7"/>
    </row>
    <row r="20" spans="1:14">
      <c r="A20" s="7" t="s">
        <v>45</v>
      </c>
      <c r="B20" s="7" t="s">
        <v>46</v>
      </c>
      <c r="C20" s="7" t="s">
        <v>28</v>
      </c>
      <c r="D20" s="24" t="s">
        <v>29</v>
      </c>
      <c r="E20" s="25" t="s">
        <v>30</v>
      </c>
      <c r="F20" s="7"/>
      <c r="G20" s="7"/>
      <c r="H20" s="7"/>
      <c r="I20" s="7"/>
      <c r="J20" s="7"/>
      <c r="K20" s="7">
        <v>23.76</v>
      </c>
      <c r="L20" s="7"/>
      <c r="M20" s="7"/>
      <c r="N20" s="7"/>
    </row>
    <row r="21" spans="1:14">
      <c r="A21" s="7" t="s">
        <v>47</v>
      </c>
      <c r="B21" s="7" t="s">
        <v>48</v>
      </c>
      <c r="C21" s="7" t="s">
        <v>28</v>
      </c>
      <c r="D21" s="24" t="s">
        <v>29</v>
      </c>
      <c r="E21" s="25" t="s">
        <v>30</v>
      </c>
      <c r="F21" s="7"/>
      <c r="G21" s="7"/>
      <c r="H21" s="7"/>
      <c r="I21" s="7"/>
      <c r="J21" s="7"/>
      <c r="K21" s="7">
        <v>11.18</v>
      </c>
      <c r="L21" s="7"/>
      <c r="M21" s="7"/>
      <c r="N21" s="7"/>
    </row>
    <row r="22" spans="1:14">
      <c r="A22" s="7" t="s">
        <v>49</v>
      </c>
      <c r="B22" s="7" t="s">
        <v>50</v>
      </c>
      <c r="C22" s="7" t="s">
        <v>28</v>
      </c>
      <c r="D22" s="24" t="s">
        <v>29</v>
      </c>
      <c r="E22" s="25" t="s">
        <v>30</v>
      </c>
      <c r="F22" s="7"/>
      <c r="G22" s="7"/>
      <c r="H22" s="7"/>
      <c r="I22" s="7"/>
      <c r="J22" s="7"/>
      <c r="K22" s="7">
        <v>16.64</v>
      </c>
      <c r="L22" s="7"/>
      <c r="M22" s="7"/>
      <c r="N22" s="7"/>
    </row>
    <row r="23" spans="1:14">
      <c r="A23" s="7" t="s">
        <v>51</v>
      </c>
      <c r="B23" s="7" t="s">
        <v>52</v>
      </c>
      <c r="C23" s="7" t="s">
        <v>28</v>
      </c>
      <c r="D23" s="24" t="s">
        <v>29</v>
      </c>
      <c r="E23" s="25" t="s">
        <v>30</v>
      </c>
      <c r="F23" s="7"/>
      <c r="G23" s="7"/>
      <c r="H23" s="7"/>
      <c r="I23" s="7"/>
      <c r="J23" s="7"/>
      <c r="K23" s="7">
        <v>266.24</v>
      </c>
      <c r="L23" s="7"/>
      <c r="M23" s="7"/>
      <c r="N23" s="7"/>
    </row>
    <row r="24" spans="1:14">
      <c r="A24" s="7" t="s">
        <v>53</v>
      </c>
      <c r="B24" s="7" t="s">
        <v>54</v>
      </c>
      <c r="C24" s="7" t="s">
        <v>28</v>
      </c>
      <c r="D24" s="24" t="s">
        <v>29</v>
      </c>
      <c r="E24" s="25" t="s">
        <v>30</v>
      </c>
      <c r="F24" s="7"/>
      <c r="G24" s="7"/>
      <c r="H24" s="7"/>
      <c r="I24" s="7"/>
      <c r="J24" s="7"/>
      <c r="K24" s="7">
        <v>56.04</v>
      </c>
      <c r="L24" s="7"/>
      <c r="M24" s="7"/>
      <c r="N24" s="7"/>
    </row>
    <row r="25" spans="1:14">
      <c r="A25" s="7" t="s">
        <v>55</v>
      </c>
      <c r="B25" s="7" t="s">
        <v>56</v>
      </c>
      <c r="C25" s="7" t="s">
        <v>28</v>
      </c>
      <c r="D25" s="24" t="s">
        <v>29</v>
      </c>
      <c r="E25" s="25" t="s">
        <v>30</v>
      </c>
      <c r="F25" s="7"/>
      <c r="G25" s="7"/>
      <c r="H25" s="7"/>
      <c r="I25" s="7"/>
      <c r="J25" s="7"/>
      <c r="K25" s="7">
        <v>11.53</v>
      </c>
      <c r="L25" s="7"/>
      <c r="M25" s="7"/>
      <c r="N25" s="7"/>
    </row>
    <row r="26" spans="1:14">
      <c r="A26" s="7" t="s">
        <v>57</v>
      </c>
      <c r="B26" s="7" t="s">
        <v>57</v>
      </c>
      <c r="C26" s="7" t="s">
        <v>28</v>
      </c>
      <c r="D26" s="24" t="s">
        <v>29</v>
      </c>
      <c r="E26" s="25" t="s">
        <v>30</v>
      </c>
      <c r="F26" s="7"/>
      <c r="G26" s="7"/>
      <c r="H26" s="7"/>
      <c r="I26" s="7"/>
      <c r="J26" s="7"/>
      <c r="K26" s="7">
        <v>68.64</v>
      </c>
      <c r="L26" s="7"/>
      <c r="M26" s="7"/>
      <c r="N26" s="7"/>
    </row>
    <row r="27" spans="1:14">
      <c r="A27" s="7" t="s">
        <v>58</v>
      </c>
      <c r="B27" s="7" t="s">
        <v>59</v>
      </c>
      <c r="C27" s="7" t="s">
        <v>28</v>
      </c>
      <c r="D27" s="24" t="s">
        <v>29</v>
      </c>
      <c r="E27" s="25" t="s">
        <v>30</v>
      </c>
      <c r="G27" s="7"/>
      <c r="H27" s="7"/>
      <c r="I27" s="7"/>
      <c r="J27" s="7"/>
      <c r="K27" s="7">
        <v>94.64</v>
      </c>
      <c r="L27" s="7"/>
      <c r="M27" s="7"/>
      <c r="N27" s="7"/>
    </row>
    <row r="28" spans="1:14">
      <c r="A28" s="7" t="s">
        <v>60</v>
      </c>
      <c r="B28" s="7" t="s">
        <v>61</v>
      </c>
      <c r="C28" s="7" t="s">
        <v>28</v>
      </c>
      <c r="D28" s="24" t="s">
        <v>29</v>
      </c>
      <c r="E28" s="25" t="s">
        <v>30</v>
      </c>
      <c r="F28" s="7"/>
      <c r="G28" s="7"/>
      <c r="H28" s="7"/>
      <c r="I28" s="7"/>
      <c r="J28" s="7"/>
      <c r="K28" s="7">
        <v>289.12</v>
      </c>
      <c r="L28" s="7"/>
      <c r="M28" s="7"/>
      <c r="N28" s="7"/>
    </row>
    <row r="29" spans="1:14">
      <c r="A29" s="7" t="s">
        <v>62</v>
      </c>
      <c r="B29" s="7" t="s">
        <v>63</v>
      </c>
      <c r="C29" s="7" t="s">
        <v>28</v>
      </c>
      <c r="D29" s="24" t="s">
        <v>29</v>
      </c>
      <c r="E29" s="25" t="s">
        <v>30</v>
      </c>
      <c r="F29" s="7"/>
      <c r="G29" s="7"/>
      <c r="H29" s="7"/>
      <c r="I29" s="7"/>
      <c r="J29" s="7"/>
      <c r="K29" s="7">
        <v>333.26</v>
      </c>
      <c r="L29" s="7"/>
      <c r="M29" s="7"/>
      <c r="N29" s="7"/>
    </row>
    <row r="30" spans="1:14">
      <c r="A30" s="7" t="s">
        <v>64</v>
      </c>
      <c r="B30" s="7" t="s">
        <v>65</v>
      </c>
      <c r="C30" s="7" t="s">
        <v>28</v>
      </c>
      <c r="D30" s="24" t="s">
        <v>29</v>
      </c>
      <c r="E30" s="25" t="s">
        <v>30</v>
      </c>
      <c r="F30" s="7"/>
      <c r="G30" s="7"/>
      <c r="H30" s="7"/>
      <c r="I30" s="7"/>
      <c r="J30" s="7"/>
      <c r="K30" s="7">
        <v>7.47</v>
      </c>
      <c r="L30" s="7"/>
      <c r="M30" s="7"/>
      <c r="N30" s="7"/>
    </row>
    <row r="31" spans="1:14">
      <c r="A31" s="7" t="s">
        <v>66</v>
      </c>
      <c r="B31" s="7" t="s">
        <v>67</v>
      </c>
      <c r="C31" s="7" t="s">
        <v>28</v>
      </c>
      <c r="D31" s="24" t="s">
        <v>29</v>
      </c>
      <c r="E31" s="25" t="s">
        <v>30</v>
      </c>
      <c r="F31" s="7"/>
      <c r="G31" s="7"/>
      <c r="H31" s="7"/>
      <c r="I31" s="7"/>
      <c r="J31" s="7"/>
      <c r="K31" s="7">
        <v>8.82</v>
      </c>
      <c r="L31" s="7"/>
      <c r="M31" s="7"/>
      <c r="N31" s="7"/>
    </row>
    <row r="32" spans="1:14">
      <c r="A32" s="7" t="s">
        <v>68</v>
      </c>
      <c r="B32" s="7" t="s">
        <v>69</v>
      </c>
      <c r="C32" s="7" t="s">
        <v>28</v>
      </c>
      <c r="D32" s="24" t="s">
        <v>29</v>
      </c>
      <c r="E32" s="25" t="s">
        <v>30</v>
      </c>
      <c r="F32" s="7"/>
      <c r="G32" s="7"/>
      <c r="H32" s="7"/>
      <c r="I32" s="7"/>
      <c r="J32" s="7"/>
      <c r="K32" s="7">
        <v>13.78</v>
      </c>
      <c r="L32" s="7"/>
      <c r="M32" s="7"/>
      <c r="N32" s="7"/>
    </row>
    <row r="33" spans="1:14">
      <c r="A33" s="7" t="s">
        <v>70</v>
      </c>
      <c r="B33" s="7" t="s">
        <v>71</v>
      </c>
      <c r="C33" s="7" t="s">
        <v>28</v>
      </c>
      <c r="D33" s="24" t="s">
        <v>29</v>
      </c>
      <c r="E33" s="25" t="s">
        <v>30</v>
      </c>
      <c r="F33" s="7"/>
      <c r="G33" s="7"/>
      <c r="H33" s="7"/>
      <c r="I33" s="7"/>
      <c r="J33" s="7"/>
      <c r="K33" s="7">
        <v>150.8</v>
      </c>
      <c r="L33" s="7"/>
      <c r="M33" s="7"/>
      <c r="N33" s="7"/>
    </row>
    <row r="34" spans="1:14">
      <c r="A34" s="7" t="s">
        <v>72</v>
      </c>
      <c r="B34" s="7" t="s">
        <v>73</v>
      </c>
      <c r="C34" s="7" t="s">
        <v>28</v>
      </c>
      <c r="D34" s="24" t="s">
        <v>29</v>
      </c>
      <c r="E34" s="25" t="s">
        <v>30</v>
      </c>
      <c r="F34" s="7"/>
      <c r="G34" s="7"/>
      <c r="H34" s="7"/>
      <c r="I34" s="7"/>
      <c r="J34" s="7"/>
      <c r="K34" s="7">
        <v>39.32</v>
      </c>
      <c r="L34" s="7"/>
      <c r="M34" s="7"/>
      <c r="N34" s="7"/>
    </row>
    <row r="35" spans="1:14">
      <c r="A35" s="7" t="s">
        <v>74</v>
      </c>
      <c r="B35" s="7" t="s">
        <v>75</v>
      </c>
      <c r="C35" s="7" t="s">
        <v>28</v>
      </c>
      <c r="D35" s="24" t="s">
        <v>29</v>
      </c>
      <c r="E35" s="25" t="s">
        <v>30</v>
      </c>
      <c r="F35" s="7"/>
      <c r="G35" s="7"/>
      <c r="H35" s="7"/>
      <c r="I35" s="7"/>
      <c r="J35" s="7"/>
      <c r="K35" s="7">
        <v>145.6</v>
      </c>
      <c r="L35" s="7"/>
      <c r="M35" s="7"/>
      <c r="N35" s="7"/>
    </row>
    <row r="36" spans="1:14">
      <c r="A36" s="7" t="s">
        <v>76</v>
      </c>
      <c r="B36" s="7" t="s">
        <v>77</v>
      </c>
      <c r="C36" s="7" t="s">
        <v>28</v>
      </c>
      <c r="D36" s="24" t="s">
        <v>29</v>
      </c>
      <c r="E36" s="25" t="s">
        <v>30</v>
      </c>
      <c r="F36" s="7"/>
      <c r="G36" s="7"/>
      <c r="H36" s="7"/>
      <c r="I36" s="7"/>
      <c r="J36" s="7"/>
      <c r="K36" s="7">
        <v>37.06</v>
      </c>
      <c r="L36" s="7"/>
      <c r="M36" s="7"/>
      <c r="N36" s="7"/>
    </row>
    <row r="37" spans="1:14">
      <c r="A37" s="7" t="s">
        <v>78</v>
      </c>
      <c r="B37" s="7" t="s">
        <v>79</v>
      </c>
      <c r="C37" s="7" t="s">
        <v>28</v>
      </c>
      <c r="D37" s="24" t="s">
        <v>29</v>
      </c>
      <c r="E37" s="25" t="s">
        <v>30</v>
      </c>
      <c r="F37" s="7"/>
      <c r="G37" s="7"/>
      <c r="H37" s="7"/>
      <c r="I37" s="7"/>
      <c r="J37" s="7"/>
      <c r="K37" s="7">
        <v>158.91</v>
      </c>
      <c r="L37" s="7"/>
      <c r="M37" s="7"/>
      <c r="N37" s="7"/>
    </row>
    <row r="38" spans="1:14">
      <c r="A38" s="7" t="s">
        <v>80</v>
      </c>
      <c r="B38" s="7" t="s">
        <v>81</v>
      </c>
      <c r="C38" s="7" t="s">
        <v>28</v>
      </c>
      <c r="D38" s="24" t="s">
        <v>29</v>
      </c>
      <c r="E38" s="25" t="s">
        <v>30</v>
      </c>
      <c r="F38" s="7"/>
      <c r="G38" s="7"/>
      <c r="H38" s="7"/>
      <c r="I38" s="7"/>
      <c r="J38" s="7"/>
      <c r="K38" s="7">
        <v>62.4</v>
      </c>
      <c r="L38" s="7"/>
      <c r="M38" s="7"/>
      <c r="N38" s="7"/>
    </row>
    <row r="39" spans="1:14">
      <c r="A39" s="7" t="s">
        <v>82</v>
      </c>
      <c r="B39" s="7" t="s">
        <v>83</v>
      </c>
      <c r="C39" s="7" t="s">
        <v>28</v>
      </c>
      <c r="D39" s="24" t="s">
        <v>29</v>
      </c>
      <c r="E39" s="25" t="s">
        <v>30</v>
      </c>
      <c r="F39" s="7"/>
      <c r="G39" s="7"/>
      <c r="H39" s="7"/>
      <c r="I39" s="7"/>
      <c r="J39" s="7"/>
      <c r="K39" s="7">
        <v>104</v>
      </c>
      <c r="L39" s="7"/>
      <c r="M39" s="7"/>
      <c r="N39" s="7"/>
    </row>
    <row r="40" spans="1:14">
      <c r="A40" s="7" t="s">
        <v>84</v>
      </c>
      <c r="B40" s="7" t="s">
        <v>85</v>
      </c>
      <c r="C40" s="7" t="s">
        <v>28</v>
      </c>
      <c r="D40" s="24" t="s">
        <v>29</v>
      </c>
      <c r="E40" s="25" t="s">
        <v>30</v>
      </c>
      <c r="F40" s="7"/>
      <c r="G40" s="7"/>
      <c r="H40" s="7"/>
      <c r="I40" s="7"/>
      <c r="J40" s="7"/>
      <c r="K40" s="7">
        <v>86.32</v>
      </c>
      <c r="L40" s="7"/>
      <c r="M40" s="7"/>
      <c r="N40" s="7"/>
    </row>
    <row r="41" spans="1:14">
      <c r="A41" s="7"/>
      <c r="B41" s="7" t="s">
        <v>86</v>
      </c>
      <c r="C41" s="7" t="s">
        <v>28</v>
      </c>
      <c r="D41" s="24" t="s">
        <v>29</v>
      </c>
      <c r="E41" s="25" t="s">
        <v>30</v>
      </c>
      <c r="F41" s="7"/>
      <c r="G41" s="7"/>
      <c r="H41" s="7"/>
      <c r="I41" s="7"/>
      <c r="J41" s="7"/>
      <c r="K41" s="7">
        <v>175</v>
      </c>
      <c r="L41" s="7"/>
      <c r="M41" s="7"/>
      <c r="N41" s="7"/>
    </row>
    <row r="42" spans="1:14">
      <c r="A42" s="7"/>
      <c r="B42" s="32" t="s">
        <v>87</v>
      </c>
      <c r="C42" s="7" t="s">
        <v>28</v>
      </c>
      <c r="D42" s="24" t="s">
        <v>29</v>
      </c>
      <c r="E42" s="25" t="s">
        <v>30</v>
      </c>
      <c r="F42" s="7"/>
      <c r="G42" s="7"/>
      <c r="H42" s="7"/>
      <c r="I42" s="7"/>
      <c r="J42" s="7"/>
      <c r="K42" s="27">
        <v>15000</v>
      </c>
      <c r="L42" s="7"/>
      <c r="M42" s="7"/>
      <c r="N42" s="7"/>
    </row>
    <row r="43" spans="1:14">
      <c r="A43" s="7"/>
      <c r="B43" s="108" t="s">
        <v>88</v>
      </c>
      <c r="C43" s="7" t="s">
        <v>28</v>
      </c>
      <c r="D43" s="24" t="s">
        <v>29</v>
      </c>
      <c r="E43" s="25" t="s">
        <v>30</v>
      </c>
      <c r="F43" s="7"/>
      <c r="G43" s="7"/>
      <c r="H43" s="7"/>
      <c r="I43" s="7"/>
      <c r="J43" s="7"/>
      <c r="K43" s="27">
        <v>150</v>
      </c>
      <c r="L43" s="7"/>
      <c r="M43" s="7"/>
      <c r="N43" s="7"/>
    </row>
    <row r="44" spans="1:14">
      <c r="A44" s="7"/>
      <c r="B44" s="108" t="s">
        <v>89</v>
      </c>
      <c r="C44" s="7" t="s">
        <v>28</v>
      </c>
      <c r="D44" s="24" t="s">
        <v>29</v>
      </c>
      <c r="E44" s="25" t="s">
        <v>30</v>
      </c>
      <c r="F44" s="7"/>
      <c r="G44" s="7"/>
      <c r="H44" s="7"/>
      <c r="I44" s="7"/>
      <c r="J44" s="7"/>
      <c r="K44" s="27">
        <v>4000</v>
      </c>
      <c r="L44" s="7"/>
      <c r="M44" s="7"/>
      <c r="N44" s="7"/>
    </row>
    <row r="45" spans="1:14">
      <c r="A45" s="7"/>
      <c r="B45" s="108" t="s">
        <v>90</v>
      </c>
      <c r="C45" s="7" t="s">
        <v>28</v>
      </c>
      <c r="D45" s="24" t="s">
        <v>29</v>
      </c>
      <c r="E45" s="25" t="s">
        <v>30</v>
      </c>
      <c r="F45" s="7"/>
      <c r="G45" s="7"/>
      <c r="H45" s="7"/>
      <c r="I45" s="7"/>
      <c r="J45" s="7"/>
      <c r="K45" s="27">
        <v>25</v>
      </c>
      <c r="L45" s="7"/>
      <c r="M45" s="7"/>
      <c r="N45" s="7"/>
    </row>
    <row r="46" spans="1:14">
      <c r="A46" s="7"/>
      <c r="B46" s="108" t="s">
        <v>91</v>
      </c>
      <c r="C46" s="7" t="s">
        <v>28</v>
      </c>
      <c r="D46" s="24" t="s">
        <v>29</v>
      </c>
      <c r="E46" s="25" t="s">
        <v>30</v>
      </c>
      <c r="F46" s="7"/>
      <c r="G46" s="7"/>
      <c r="H46" s="7"/>
      <c r="I46" s="7"/>
      <c r="J46" s="7"/>
      <c r="K46" s="27">
        <v>98</v>
      </c>
      <c r="L46" s="7"/>
      <c r="M46" s="7"/>
      <c r="N46" s="7"/>
    </row>
    <row r="47" spans="1:14">
      <c r="A47" s="7"/>
      <c r="B47" s="108" t="s">
        <v>92</v>
      </c>
      <c r="C47" s="7" t="s">
        <v>28</v>
      </c>
      <c r="D47" s="24" t="s">
        <v>29</v>
      </c>
      <c r="E47" s="25" t="s">
        <v>30</v>
      </c>
      <c r="F47" s="7"/>
      <c r="G47" s="7"/>
      <c r="H47" s="7"/>
      <c r="I47" s="7"/>
      <c r="J47" s="7"/>
      <c r="K47" s="27">
        <v>48</v>
      </c>
      <c r="L47" s="7"/>
      <c r="M47" s="7"/>
      <c r="N47" s="7"/>
    </row>
    <row r="48" spans="1:14">
      <c r="A48" s="7"/>
      <c r="B48" s="108" t="s">
        <v>93</v>
      </c>
      <c r="C48" s="7" t="s">
        <v>28</v>
      </c>
      <c r="D48" s="24" t="s">
        <v>29</v>
      </c>
      <c r="E48" s="25" t="s">
        <v>30</v>
      </c>
      <c r="F48" s="7"/>
      <c r="G48" s="7"/>
      <c r="H48" s="7"/>
      <c r="I48" s="7"/>
      <c r="J48" s="7"/>
      <c r="K48" s="27">
        <v>750</v>
      </c>
      <c r="L48" s="7"/>
      <c r="M48" s="7"/>
      <c r="N48" s="7"/>
    </row>
    <row r="49" spans="1:14">
      <c r="A49" s="7"/>
      <c r="B49" s="108" t="s">
        <v>94</v>
      </c>
      <c r="C49" s="7" t="s">
        <v>28</v>
      </c>
      <c r="D49" s="24" t="s">
        <v>29</v>
      </c>
      <c r="E49" s="25" t="s">
        <v>30</v>
      </c>
      <c r="F49" s="7"/>
      <c r="G49" s="7"/>
      <c r="H49" s="7"/>
      <c r="I49" s="7"/>
      <c r="J49" s="7"/>
      <c r="K49" s="27">
        <v>38</v>
      </c>
      <c r="L49" s="7"/>
      <c r="M49" s="7"/>
      <c r="N49" s="7"/>
    </row>
    <row r="50" spans="1:14">
      <c r="A50" s="7"/>
      <c r="B50" s="108" t="s">
        <v>95</v>
      </c>
      <c r="C50" s="7" t="s">
        <v>28</v>
      </c>
      <c r="D50" s="24" t="s">
        <v>29</v>
      </c>
      <c r="E50" s="25" t="s">
        <v>30</v>
      </c>
      <c r="F50" s="7"/>
      <c r="G50" s="7"/>
      <c r="H50" s="7"/>
      <c r="I50" s="7"/>
      <c r="J50" s="7"/>
      <c r="K50" s="27">
        <v>35</v>
      </c>
      <c r="L50" s="7"/>
      <c r="M50" s="7"/>
      <c r="N50" s="7"/>
    </row>
    <row r="51" spans="1:14">
      <c r="A51" s="7"/>
      <c r="B51" s="108" t="s">
        <v>96</v>
      </c>
      <c r="C51" s="7" t="s">
        <v>28</v>
      </c>
      <c r="D51" s="24" t="s">
        <v>29</v>
      </c>
      <c r="E51" s="25" t="s">
        <v>30</v>
      </c>
      <c r="F51" s="7"/>
      <c r="G51" s="7"/>
      <c r="H51" s="7"/>
      <c r="I51" s="7"/>
      <c r="J51" s="7"/>
      <c r="K51" s="28">
        <v>32</v>
      </c>
      <c r="L51" s="7"/>
      <c r="M51" s="7"/>
      <c r="N51" s="7"/>
    </row>
    <row r="52" spans="1:14">
      <c r="A52" s="7"/>
      <c r="B52" s="108" t="s">
        <v>97</v>
      </c>
      <c r="C52" s="7" t="s">
        <v>28</v>
      </c>
      <c r="D52" s="24" t="s">
        <v>29</v>
      </c>
      <c r="E52" s="25" t="s">
        <v>30</v>
      </c>
      <c r="F52" s="7"/>
      <c r="G52" s="7"/>
      <c r="H52" s="7"/>
      <c r="I52" s="7"/>
      <c r="J52" s="7"/>
      <c r="K52" s="28">
        <v>22</v>
      </c>
      <c r="L52" s="7"/>
      <c r="M52" s="7"/>
      <c r="N52" s="7"/>
    </row>
    <row r="53" spans="1:14">
      <c r="A53" s="7"/>
      <c r="B53" s="108" t="s">
        <v>98</v>
      </c>
      <c r="C53" s="7" t="s">
        <v>28</v>
      </c>
      <c r="D53" s="24" t="s">
        <v>29</v>
      </c>
      <c r="E53" s="25" t="s">
        <v>30</v>
      </c>
      <c r="F53" s="7"/>
      <c r="G53" s="7"/>
      <c r="H53" s="7"/>
      <c r="I53" s="7"/>
      <c r="J53" s="7"/>
      <c r="K53" s="28">
        <v>250</v>
      </c>
      <c r="L53" s="7"/>
      <c r="M53" s="7"/>
      <c r="N53" s="7"/>
    </row>
    <row r="54" spans="1:14">
      <c r="A54" s="7"/>
      <c r="B54" s="108" t="s">
        <v>99</v>
      </c>
      <c r="C54" s="7" t="s">
        <v>28</v>
      </c>
      <c r="D54" s="24" t="s">
        <v>29</v>
      </c>
      <c r="E54" s="25" t="s">
        <v>30</v>
      </c>
      <c r="F54" s="7"/>
      <c r="G54" s="7"/>
      <c r="H54" s="7"/>
      <c r="I54" s="7"/>
      <c r="J54" s="7"/>
      <c r="K54" s="28">
        <v>250</v>
      </c>
      <c r="L54" s="7"/>
      <c r="M54" s="7"/>
      <c r="N54" s="7"/>
    </row>
    <row r="55" spans="1:14">
      <c r="A55" s="7"/>
      <c r="B55" s="108" t="s">
        <v>100</v>
      </c>
      <c r="C55" s="7" t="s">
        <v>28</v>
      </c>
      <c r="D55" s="24" t="s">
        <v>29</v>
      </c>
      <c r="E55" s="25" t="s">
        <v>30</v>
      </c>
      <c r="F55" s="7"/>
      <c r="G55" s="7"/>
      <c r="H55" s="7"/>
      <c r="I55" s="7"/>
      <c r="J55" s="7"/>
      <c r="K55" s="28">
        <v>250</v>
      </c>
      <c r="L55" s="7"/>
      <c r="M55" s="7"/>
      <c r="N55" s="7"/>
    </row>
    <row r="56" spans="1:14">
      <c r="A56" s="7"/>
      <c r="B56" s="108" t="s">
        <v>101</v>
      </c>
      <c r="C56" s="7" t="s">
        <v>28</v>
      </c>
      <c r="D56" s="24" t="s">
        <v>29</v>
      </c>
      <c r="E56" s="25" t="s">
        <v>30</v>
      </c>
      <c r="F56" s="7"/>
      <c r="G56" s="7"/>
      <c r="H56" s="7"/>
      <c r="I56" s="7"/>
      <c r="J56" s="7"/>
      <c r="K56" s="28">
        <v>250</v>
      </c>
      <c r="L56" s="7"/>
      <c r="M56" s="7"/>
      <c r="N56" s="7"/>
    </row>
    <row r="57" spans="1:14">
      <c r="A57" s="7"/>
      <c r="B57" s="108" t="s">
        <v>102</v>
      </c>
      <c r="C57" s="7" t="s">
        <v>28</v>
      </c>
      <c r="D57" s="24" t="s">
        <v>29</v>
      </c>
      <c r="E57" s="25" t="s">
        <v>30</v>
      </c>
      <c r="F57" s="7"/>
      <c r="G57" s="7"/>
      <c r="H57" s="7"/>
      <c r="I57" s="7"/>
      <c r="J57" s="7"/>
      <c r="K57" s="28">
        <v>4</v>
      </c>
      <c r="L57" s="7"/>
      <c r="M57" s="7"/>
      <c r="N57" s="7"/>
    </row>
    <row r="58" spans="1:14">
      <c r="A58" s="7"/>
      <c r="B58" s="108" t="s">
        <v>103</v>
      </c>
      <c r="C58" s="7" t="s">
        <v>28</v>
      </c>
      <c r="D58" s="24" t="s">
        <v>29</v>
      </c>
      <c r="E58" s="25" t="s">
        <v>30</v>
      </c>
      <c r="F58" s="7"/>
      <c r="G58" s="7"/>
      <c r="H58" s="7"/>
      <c r="I58" s="7"/>
      <c r="J58" s="7"/>
      <c r="K58" s="28">
        <v>5</v>
      </c>
      <c r="L58" s="7"/>
      <c r="M58" s="7"/>
      <c r="N58" s="7"/>
    </row>
    <row r="59" spans="1:14">
      <c r="A59" s="7"/>
      <c r="B59" s="108" t="s">
        <v>104</v>
      </c>
      <c r="C59" s="7" t="s">
        <v>28</v>
      </c>
      <c r="D59" s="24" t="s">
        <v>29</v>
      </c>
      <c r="E59" s="25" t="s">
        <v>30</v>
      </c>
      <c r="F59" s="7"/>
      <c r="G59" s="7"/>
      <c r="H59" s="7"/>
      <c r="I59" s="7"/>
      <c r="J59" s="7"/>
      <c r="K59" s="28">
        <v>180</v>
      </c>
      <c r="L59" s="7"/>
      <c r="M59" s="7"/>
      <c r="N59" s="7"/>
    </row>
    <row r="60" spans="1:14">
      <c r="A60" s="7"/>
      <c r="B60" s="108" t="s">
        <v>105</v>
      </c>
      <c r="C60" s="7" t="s">
        <v>28</v>
      </c>
      <c r="D60" s="24" t="s">
        <v>29</v>
      </c>
      <c r="E60" s="25" t="s">
        <v>30</v>
      </c>
      <c r="F60" s="7"/>
      <c r="G60" s="7"/>
      <c r="H60" s="7"/>
      <c r="I60" s="7"/>
      <c r="J60" s="7"/>
      <c r="K60" s="28">
        <v>3500</v>
      </c>
      <c r="L60" s="7"/>
      <c r="M60" s="7"/>
      <c r="N60" s="7"/>
    </row>
    <row r="61" spans="1:14">
      <c r="A61" s="7"/>
      <c r="B61" s="108" t="s">
        <v>106</v>
      </c>
      <c r="C61" s="7" t="s">
        <v>28</v>
      </c>
      <c r="D61" s="24" t="s">
        <v>29</v>
      </c>
      <c r="E61" s="25" t="s">
        <v>30</v>
      </c>
      <c r="F61" s="7"/>
      <c r="G61" s="7"/>
      <c r="H61" s="7"/>
      <c r="I61" s="7"/>
      <c r="J61" s="7"/>
      <c r="K61" s="28">
        <v>150</v>
      </c>
      <c r="L61" s="7"/>
      <c r="M61" s="7"/>
      <c r="N61" s="7"/>
    </row>
    <row r="62" spans="1:14">
      <c r="A62" s="7"/>
      <c r="B62" s="109" t="s">
        <v>107</v>
      </c>
      <c r="C62" s="7" t="s">
        <v>28</v>
      </c>
      <c r="D62" s="24" t="s">
        <v>29</v>
      </c>
      <c r="E62" s="25" t="s">
        <v>30</v>
      </c>
      <c r="F62" s="7"/>
      <c r="G62" s="7"/>
      <c r="H62" s="7"/>
      <c r="I62" s="7"/>
      <c r="J62" s="7"/>
      <c r="K62" s="28">
        <v>2000</v>
      </c>
      <c r="L62" s="7"/>
      <c r="M62" s="7"/>
      <c r="N62" s="7"/>
    </row>
    <row r="63" spans="1:14">
      <c r="A63" s="7"/>
      <c r="B63" s="108" t="s">
        <v>108</v>
      </c>
      <c r="C63" s="7" t="s">
        <v>28</v>
      </c>
      <c r="D63" s="24" t="s">
        <v>29</v>
      </c>
      <c r="E63" s="25" t="s">
        <v>30</v>
      </c>
      <c r="F63" s="7"/>
      <c r="G63" s="7"/>
      <c r="H63" s="7"/>
      <c r="I63" s="7"/>
      <c r="J63" s="7"/>
      <c r="K63" s="28">
        <v>1000</v>
      </c>
      <c r="L63" s="7"/>
      <c r="M63" s="7"/>
      <c r="N63" s="7"/>
    </row>
    <row r="64" spans="1:14">
      <c r="A64" s="7"/>
      <c r="B64" s="107" t="s">
        <v>23</v>
      </c>
      <c r="C64" s="7"/>
      <c r="D64" s="7"/>
      <c r="E64" s="7"/>
      <c r="F64" s="7"/>
      <c r="G64" s="7"/>
      <c r="H64" s="7"/>
      <c r="I64" s="7"/>
      <c r="J64" s="7"/>
      <c r="K64" s="110">
        <f>SUM(K12:K63)</f>
        <v>38365.86</v>
      </c>
      <c r="L64" s="7"/>
      <c r="M64" s="7"/>
      <c r="N64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62"/>
  <sheetViews>
    <sheetView tabSelected="0" workbookViewId="0" zoomScale="90" zoomScaleNormal="90" showGridLines="true" showRowColHeaders="1">
      <selection activeCell="K62" sqref="K62"/>
    </sheetView>
  </sheetViews>
  <sheetFormatPr defaultRowHeight="14.4" defaultColWidth="20.7109375" outlineLevelRow="0" outlineLevelCol="0"/>
  <cols>
    <col min="1" max="1" width="20.85546875" customWidth="true" style="5"/>
    <col min="2" max="2" width="53.855468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109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45" t="s">
        <v>10</v>
      </c>
      <c r="B10" s="347" t="s">
        <v>11</v>
      </c>
      <c r="C10" s="347" t="s">
        <v>12</v>
      </c>
      <c r="D10" s="349" t="s">
        <v>13</v>
      </c>
      <c r="E10" s="347" t="s">
        <v>14</v>
      </c>
      <c r="F10" s="347" t="s">
        <v>15</v>
      </c>
      <c r="G10" s="347"/>
      <c r="H10" s="347"/>
      <c r="I10" s="347"/>
      <c r="J10" s="347" t="s">
        <v>16</v>
      </c>
      <c r="K10" s="347" t="s">
        <v>17</v>
      </c>
      <c r="L10" s="347"/>
      <c r="M10" s="347"/>
      <c r="N10" s="342" t="s">
        <v>18</v>
      </c>
    </row>
    <row r="11" spans="1:14" customHeight="1" ht="33.6" s="3" customFormat="1">
      <c r="A11" s="351"/>
      <c r="B11" s="352"/>
      <c r="C11" s="352"/>
      <c r="D11" s="350"/>
      <c r="E11" s="348"/>
      <c r="F11" s="23" t="s">
        <v>19</v>
      </c>
      <c r="G11" s="23" t="s">
        <v>20</v>
      </c>
      <c r="H11" s="23" t="s">
        <v>21</v>
      </c>
      <c r="I11" s="23" t="s">
        <v>22</v>
      </c>
      <c r="J11" s="348"/>
      <c r="K11" s="39" t="s">
        <v>23</v>
      </c>
      <c r="L11" s="22" t="s">
        <v>24</v>
      </c>
      <c r="M11" s="22" t="s">
        <v>25</v>
      </c>
      <c r="N11" s="343"/>
    </row>
    <row r="12" spans="1:14">
      <c r="A12" s="111" t="s">
        <v>110</v>
      </c>
      <c r="B12" s="112" t="s">
        <v>111</v>
      </c>
      <c r="C12" s="127" t="s">
        <v>112</v>
      </c>
      <c r="D12" s="24" t="s">
        <v>29</v>
      </c>
      <c r="E12" s="25" t="s">
        <v>30</v>
      </c>
      <c r="F12" s="7"/>
      <c r="G12" s="7"/>
      <c r="H12" s="7"/>
      <c r="I12" s="7"/>
      <c r="J12" s="7"/>
      <c r="K12" s="128">
        <v>1322.2</v>
      </c>
      <c r="L12" s="7"/>
      <c r="M12" s="7"/>
      <c r="N12" s="7"/>
    </row>
    <row r="13" spans="1:14">
      <c r="A13" s="113" t="s">
        <v>31</v>
      </c>
      <c r="B13" s="114" t="s">
        <v>113</v>
      </c>
      <c r="C13" s="127" t="s">
        <v>112</v>
      </c>
      <c r="D13" s="24" t="s">
        <v>29</v>
      </c>
      <c r="E13" s="25" t="s">
        <v>30</v>
      </c>
      <c r="F13" s="7"/>
      <c r="G13" s="7"/>
      <c r="H13" s="7"/>
      <c r="I13" s="7"/>
      <c r="J13" s="7"/>
      <c r="K13" s="129">
        <v>888</v>
      </c>
      <c r="L13" s="7"/>
      <c r="M13" s="7"/>
      <c r="N13" s="7"/>
    </row>
    <row r="14" spans="1:14">
      <c r="A14" s="113" t="s">
        <v>114</v>
      </c>
      <c r="B14" s="114" t="s">
        <v>115</v>
      </c>
      <c r="C14" s="127" t="s">
        <v>112</v>
      </c>
      <c r="D14" s="24" t="s">
        <v>29</v>
      </c>
      <c r="E14" s="25" t="s">
        <v>30</v>
      </c>
      <c r="F14" s="7"/>
      <c r="G14" s="7"/>
      <c r="H14" s="7"/>
      <c r="I14" s="7"/>
      <c r="J14" s="7"/>
      <c r="K14" s="130">
        <v>326.56</v>
      </c>
      <c r="L14" s="7"/>
      <c r="M14" s="7"/>
      <c r="N14" s="7"/>
    </row>
    <row r="15" spans="1:14" customHeight="1" ht="18">
      <c r="A15" s="113" t="s">
        <v>35</v>
      </c>
      <c r="B15" s="114" t="s">
        <v>116</v>
      </c>
      <c r="C15" s="127" t="s">
        <v>112</v>
      </c>
      <c r="D15" s="24" t="s">
        <v>29</v>
      </c>
      <c r="E15" s="25" t="s">
        <v>30</v>
      </c>
      <c r="F15" s="7"/>
      <c r="G15" s="7"/>
      <c r="H15" s="7"/>
      <c r="I15" s="7"/>
      <c r="J15" s="7"/>
      <c r="K15" s="130">
        <v>544.96</v>
      </c>
      <c r="L15" s="7"/>
      <c r="M15" s="7"/>
      <c r="N15" s="7"/>
    </row>
    <row r="16" spans="1:14">
      <c r="A16" s="113" t="s">
        <v>117</v>
      </c>
      <c r="B16" s="114" t="s">
        <v>118</v>
      </c>
      <c r="C16" s="127" t="s">
        <v>112</v>
      </c>
      <c r="D16" s="24" t="s">
        <v>29</v>
      </c>
      <c r="E16" s="25" t="s">
        <v>30</v>
      </c>
      <c r="F16" s="7"/>
      <c r="G16" s="7"/>
      <c r="H16" s="7"/>
      <c r="I16" s="7"/>
      <c r="J16" s="7"/>
      <c r="K16" s="130">
        <v>91.12</v>
      </c>
      <c r="L16" s="7"/>
      <c r="M16" s="7"/>
      <c r="N16" s="7"/>
    </row>
    <row r="17" spans="1:14">
      <c r="A17" s="113" t="s">
        <v>119</v>
      </c>
      <c r="B17" s="114" t="s">
        <v>120</v>
      </c>
      <c r="C17" s="127" t="s">
        <v>112</v>
      </c>
      <c r="D17" s="24" t="s">
        <v>29</v>
      </c>
      <c r="E17" s="25" t="s">
        <v>30</v>
      </c>
      <c r="F17" s="7"/>
      <c r="G17" s="7"/>
      <c r="H17" s="7"/>
      <c r="I17" s="7"/>
      <c r="J17" s="7"/>
      <c r="K17" s="130">
        <v>166.4</v>
      </c>
      <c r="L17" s="7"/>
      <c r="M17" s="7"/>
      <c r="N17" s="7"/>
    </row>
    <row r="18" spans="1:14">
      <c r="A18" s="113" t="s">
        <v>37</v>
      </c>
      <c r="B18" s="114" t="s">
        <v>121</v>
      </c>
      <c r="C18" s="127" t="s">
        <v>112</v>
      </c>
      <c r="D18" s="24" t="s">
        <v>29</v>
      </c>
      <c r="E18" s="25" t="s">
        <v>30</v>
      </c>
      <c r="F18" s="7"/>
      <c r="G18" s="7"/>
      <c r="H18" s="7"/>
      <c r="I18" s="7"/>
      <c r="J18" s="7"/>
      <c r="K18" s="130">
        <v>1119.12</v>
      </c>
      <c r="L18" s="7"/>
      <c r="M18" s="7"/>
      <c r="N18" s="7"/>
    </row>
    <row r="19" spans="1:14">
      <c r="A19" s="113" t="s">
        <v>122</v>
      </c>
      <c r="B19" s="114" t="s">
        <v>123</v>
      </c>
      <c r="C19" s="127" t="s">
        <v>112</v>
      </c>
      <c r="D19" s="24" t="s">
        <v>29</v>
      </c>
      <c r="E19" s="25" t="s">
        <v>30</v>
      </c>
      <c r="F19" s="7"/>
      <c r="G19" s="7"/>
      <c r="H19" s="7"/>
      <c r="I19" s="7"/>
      <c r="J19" s="7"/>
      <c r="K19" s="130">
        <v>429.5</v>
      </c>
      <c r="L19" s="7"/>
      <c r="M19" s="7"/>
      <c r="N19" s="7"/>
    </row>
    <row r="20" spans="1:14" customHeight="1" ht="25.5">
      <c r="A20" s="113" t="s">
        <v>124</v>
      </c>
      <c r="B20" s="114" t="s">
        <v>125</v>
      </c>
      <c r="C20" s="127" t="s">
        <v>112</v>
      </c>
      <c r="D20" s="24" t="s">
        <v>29</v>
      </c>
      <c r="E20" s="25" t="s">
        <v>30</v>
      </c>
      <c r="F20" s="7"/>
      <c r="G20" s="7"/>
      <c r="H20" s="7"/>
      <c r="I20" s="7"/>
      <c r="J20" s="7"/>
      <c r="K20" s="130">
        <v>2288</v>
      </c>
      <c r="L20" s="7"/>
      <c r="M20" s="7"/>
      <c r="N20" s="7"/>
    </row>
    <row r="21" spans="1:14" customHeight="1" ht="25.5">
      <c r="A21" s="113" t="s">
        <v>126</v>
      </c>
      <c r="B21" s="115" t="s">
        <v>127</v>
      </c>
      <c r="C21" s="127" t="s">
        <v>112</v>
      </c>
      <c r="D21" s="24" t="s">
        <v>29</v>
      </c>
      <c r="E21" s="25" t="s">
        <v>30</v>
      </c>
      <c r="F21" s="7"/>
      <c r="G21" s="7"/>
      <c r="H21" s="7"/>
      <c r="I21" s="7"/>
      <c r="J21" s="7"/>
      <c r="K21" s="130">
        <v>1152.32</v>
      </c>
      <c r="L21" s="7"/>
      <c r="M21" s="7"/>
      <c r="N21" s="7"/>
    </row>
    <row r="22" spans="1:14">
      <c r="A22" s="113" t="s">
        <v>128</v>
      </c>
      <c r="B22" s="116" t="s">
        <v>129</v>
      </c>
      <c r="C22" s="127" t="s">
        <v>112</v>
      </c>
      <c r="D22" s="24" t="s">
        <v>29</v>
      </c>
      <c r="E22" s="25" t="s">
        <v>30</v>
      </c>
      <c r="F22" s="7"/>
      <c r="G22" s="7"/>
      <c r="H22" s="7"/>
      <c r="I22" s="7"/>
      <c r="J22" s="7"/>
      <c r="K22" s="130">
        <v>225.5</v>
      </c>
      <c r="L22" s="7"/>
      <c r="M22" s="7"/>
      <c r="N22" s="7"/>
    </row>
    <row r="23" spans="1:14">
      <c r="A23" s="113" t="s">
        <v>130</v>
      </c>
      <c r="B23" s="117" t="s">
        <v>131</v>
      </c>
      <c r="C23" s="127" t="s">
        <v>112</v>
      </c>
      <c r="D23" s="24" t="s">
        <v>29</v>
      </c>
      <c r="E23" s="25" t="s">
        <v>30</v>
      </c>
      <c r="F23" s="7"/>
      <c r="G23" s="7"/>
      <c r="H23" s="7"/>
      <c r="I23" s="7"/>
      <c r="J23" s="7"/>
      <c r="K23" s="130">
        <v>225.7</v>
      </c>
      <c r="L23" s="7"/>
      <c r="M23" s="7"/>
      <c r="N23" s="7"/>
    </row>
    <row r="24" spans="1:14">
      <c r="A24" s="113" t="s">
        <v>55</v>
      </c>
      <c r="B24" s="118" t="s">
        <v>56</v>
      </c>
      <c r="C24" s="127" t="s">
        <v>112</v>
      </c>
      <c r="D24" s="24" t="s">
        <v>29</v>
      </c>
      <c r="E24" s="25" t="s">
        <v>30</v>
      </c>
      <c r="F24" s="7"/>
      <c r="G24" s="7"/>
      <c r="H24" s="7"/>
      <c r="I24" s="7"/>
      <c r="J24" s="7"/>
      <c r="K24" s="130">
        <v>196.01</v>
      </c>
      <c r="L24" s="7"/>
      <c r="M24" s="7"/>
      <c r="N24" s="7"/>
    </row>
    <row r="25" spans="1:14">
      <c r="A25" s="113" t="s">
        <v>132</v>
      </c>
      <c r="B25" s="118" t="s">
        <v>57</v>
      </c>
      <c r="C25" s="127" t="s">
        <v>112</v>
      </c>
      <c r="D25" s="24" t="s">
        <v>29</v>
      </c>
      <c r="E25" s="25" t="s">
        <v>30</v>
      </c>
      <c r="F25" s="7"/>
      <c r="G25" s="7"/>
      <c r="H25" s="7"/>
      <c r="I25" s="7"/>
      <c r="J25" s="7"/>
      <c r="K25" s="130">
        <v>2059.2</v>
      </c>
      <c r="L25" s="7"/>
      <c r="M25" s="7"/>
      <c r="N25" s="7"/>
    </row>
    <row r="26" spans="1:14">
      <c r="A26" s="113" t="s">
        <v>133</v>
      </c>
      <c r="B26" s="118" t="s">
        <v>134</v>
      </c>
      <c r="C26" s="127" t="s">
        <v>112</v>
      </c>
      <c r="D26" s="24" t="s">
        <v>29</v>
      </c>
      <c r="E26" s="25" t="s">
        <v>30</v>
      </c>
      <c r="F26" s="7"/>
      <c r="G26" s="7"/>
      <c r="H26" s="7"/>
      <c r="I26" s="7"/>
      <c r="J26" s="7"/>
      <c r="K26" s="130">
        <v>453.96</v>
      </c>
      <c r="L26" s="7"/>
      <c r="M26" s="7"/>
      <c r="N26" s="7"/>
    </row>
    <row r="27" spans="1:14">
      <c r="A27" s="113" t="s">
        <v>135</v>
      </c>
      <c r="B27" s="117" t="s">
        <v>136</v>
      </c>
      <c r="C27" s="127" t="s">
        <v>112</v>
      </c>
      <c r="D27" s="24" t="s">
        <v>29</v>
      </c>
      <c r="E27" s="25" t="s">
        <v>30</v>
      </c>
      <c r="F27" s="7"/>
      <c r="G27" s="7"/>
      <c r="H27" s="7"/>
      <c r="I27" s="7"/>
      <c r="J27" s="7"/>
      <c r="K27" s="130">
        <v>764.4</v>
      </c>
      <c r="L27" s="7"/>
      <c r="M27" s="7"/>
      <c r="N27" s="7"/>
    </row>
    <row r="28" spans="1:14">
      <c r="A28" s="113" t="s">
        <v>137</v>
      </c>
      <c r="B28" s="117" t="s">
        <v>138</v>
      </c>
      <c r="C28" s="127" t="s">
        <v>112</v>
      </c>
      <c r="D28" s="24" t="s">
        <v>29</v>
      </c>
      <c r="E28" s="25" t="s">
        <v>30</v>
      </c>
      <c r="F28" s="7"/>
      <c r="G28" s="7"/>
      <c r="H28" s="7"/>
      <c r="I28" s="7"/>
      <c r="J28" s="7"/>
      <c r="K28" s="130">
        <v>980.72</v>
      </c>
      <c r="L28" s="7"/>
      <c r="M28" s="7"/>
      <c r="N28" s="7"/>
    </row>
    <row r="29" spans="1:14">
      <c r="A29" s="113" t="s">
        <v>139</v>
      </c>
      <c r="B29" s="117" t="s">
        <v>140</v>
      </c>
      <c r="C29" s="127" t="s">
        <v>112</v>
      </c>
      <c r="D29" s="24" t="s">
        <v>29</v>
      </c>
      <c r="E29" s="25" t="s">
        <v>30</v>
      </c>
      <c r="F29" s="7"/>
      <c r="G29" s="7"/>
      <c r="H29" s="7"/>
      <c r="I29" s="7"/>
      <c r="J29" s="7"/>
      <c r="K29" s="130">
        <v>22.82</v>
      </c>
      <c r="L29" s="7"/>
      <c r="M29" s="7"/>
      <c r="N29" s="7"/>
    </row>
    <row r="30" spans="1:14">
      <c r="A30" s="113" t="s">
        <v>58</v>
      </c>
      <c r="B30" s="117" t="s">
        <v>59</v>
      </c>
      <c r="C30" s="127" t="s">
        <v>112</v>
      </c>
      <c r="D30" s="24" t="s">
        <v>29</v>
      </c>
      <c r="E30" s="25" t="s">
        <v>30</v>
      </c>
      <c r="F30" s="7"/>
      <c r="G30" s="7"/>
      <c r="H30" s="7"/>
      <c r="I30" s="7"/>
      <c r="J30" s="7"/>
      <c r="K30" s="130">
        <v>378.56</v>
      </c>
      <c r="L30" s="7"/>
      <c r="M30" s="7"/>
      <c r="N30" s="7"/>
    </row>
    <row r="31" spans="1:14">
      <c r="A31" s="113" t="s">
        <v>141</v>
      </c>
      <c r="B31" s="117" t="s">
        <v>142</v>
      </c>
      <c r="C31" s="127" t="s">
        <v>112</v>
      </c>
      <c r="D31" s="24" t="s">
        <v>29</v>
      </c>
      <c r="E31" s="25" t="s">
        <v>30</v>
      </c>
      <c r="F31" s="7"/>
      <c r="G31" s="7"/>
      <c r="H31" s="7"/>
      <c r="I31" s="7"/>
      <c r="J31" s="7"/>
      <c r="K31" s="130">
        <v>375.08</v>
      </c>
      <c r="L31" s="7"/>
      <c r="M31" s="7"/>
      <c r="N31" s="7"/>
    </row>
    <row r="32" spans="1:14">
      <c r="A32" s="113" t="s">
        <v>143</v>
      </c>
      <c r="B32" s="117" t="s">
        <v>144</v>
      </c>
      <c r="C32" s="127" t="s">
        <v>112</v>
      </c>
      <c r="D32" s="24" t="s">
        <v>29</v>
      </c>
      <c r="E32" s="25" t="s">
        <v>30</v>
      </c>
      <c r="F32" s="7"/>
      <c r="G32" s="7"/>
      <c r="H32" s="7"/>
      <c r="I32" s="7"/>
      <c r="J32" s="7"/>
      <c r="K32" s="130">
        <v>477.14</v>
      </c>
      <c r="L32" s="7"/>
      <c r="M32" s="7"/>
      <c r="N32" s="7"/>
    </row>
    <row r="33" spans="1:14">
      <c r="A33" s="113" t="s">
        <v>60</v>
      </c>
      <c r="B33" s="117" t="s">
        <v>61</v>
      </c>
      <c r="C33" s="127" t="s">
        <v>112</v>
      </c>
      <c r="D33" s="24" t="s">
        <v>29</v>
      </c>
      <c r="E33" s="25" t="s">
        <v>30</v>
      </c>
      <c r="F33" s="7"/>
      <c r="G33" s="7"/>
      <c r="H33" s="7"/>
      <c r="I33" s="7"/>
      <c r="J33" s="7"/>
      <c r="K33" s="130">
        <v>578.24</v>
      </c>
      <c r="L33" s="7"/>
      <c r="M33" s="7"/>
      <c r="N33" s="7"/>
    </row>
    <row r="34" spans="1:14">
      <c r="A34" s="113" t="s">
        <v>62</v>
      </c>
      <c r="B34" s="117" t="s">
        <v>63</v>
      </c>
      <c r="C34" s="127" t="s">
        <v>112</v>
      </c>
      <c r="D34" s="24" t="s">
        <v>29</v>
      </c>
      <c r="E34" s="25" t="s">
        <v>30</v>
      </c>
      <c r="F34" s="7"/>
      <c r="G34" s="7"/>
      <c r="H34" s="7"/>
      <c r="I34" s="7"/>
      <c r="J34" s="7"/>
      <c r="K34" s="130">
        <v>666.52</v>
      </c>
      <c r="L34" s="7"/>
      <c r="M34" s="7"/>
      <c r="N34" s="7"/>
    </row>
    <row r="35" spans="1:14">
      <c r="A35" s="113" t="s">
        <v>64</v>
      </c>
      <c r="B35" s="117" t="s">
        <v>65</v>
      </c>
      <c r="C35" s="127" t="s">
        <v>112</v>
      </c>
      <c r="D35" s="24" t="s">
        <v>29</v>
      </c>
      <c r="E35" s="25" t="s">
        <v>30</v>
      </c>
      <c r="F35" s="7"/>
      <c r="G35" s="7"/>
      <c r="H35" s="7"/>
      <c r="I35" s="7"/>
      <c r="J35" s="7"/>
      <c r="K35" s="130">
        <v>74.7</v>
      </c>
      <c r="L35" s="7"/>
      <c r="M35" s="7"/>
      <c r="N35" s="7"/>
    </row>
    <row r="36" spans="1:14">
      <c r="A36" s="113" t="s">
        <v>145</v>
      </c>
      <c r="B36" s="117" t="s">
        <v>146</v>
      </c>
      <c r="C36" s="127" t="s">
        <v>112</v>
      </c>
      <c r="D36" s="24" t="s">
        <v>29</v>
      </c>
      <c r="E36" s="25" t="s">
        <v>30</v>
      </c>
      <c r="F36" s="7"/>
      <c r="G36" s="7"/>
      <c r="H36" s="7"/>
      <c r="I36" s="7"/>
      <c r="J36" s="7"/>
      <c r="K36" s="130">
        <v>96.5</v>
      </c>
      <c r="L36" s="7"/>
      <c r="M36" s="7"/>
      <c r="N36" s="7"/>
    </row>
    <row r="37" spans="1:14">
      <c r="A37" s="113" t="s">
        <v>66</v>
      </c>
      <c r="B37" s="117" t="s">
        <v>67</v>
      </c>
      <c r="C37" s="127" t="s">
        <v>112</v>
      </c>
      <c r="D37" s="24" t="s">
        <v>29</v>
      </c>
      <c r="E37" s="25" t="s">
        <v>30</v>
      </c>
      <c r="F37" s="7"/>
      <c r="G37" s="7"/>
      <c r="H37" s="7"/>
      <c r="I37" s="7"/>
      <c r="J37" s="7"/>
      <c r="K37" s="130">
        <v>35.28</v>
      </c>
      <c r="L37" s="7"/>
      <c r="M37" s="7"/>
      <c r="N37" s="7"/>
    </row>
    <row r="38" spans="1:14">
      <c r="A38" s="113" t="s">
        <v>68</v>
      </c>
      <c r="B38" s="117" t="s">
        <v>69</v>
      </c>
      <c r="C38" s="127" t="s">
        <v>112</v>
      </c>
      <c r="D38" s="24" t="s">
        <v>29</v>
      </c>
      <c r="E38" s="25" t="s">
        <v>30</v>
      </c>
      <c r="F38" s="7"/>
      <c r="G38" s="7"/>
      <c r="H38" s="7"/>
      <c r="I38" s="7"/>
      <c r="J38" s="7"/>
      <c r="K38" s="130">
        <v>55.12</v>
      </c>
      <c r="L38" s="7"/>
      <c r="M38" s="7"/>
      <c r="N38" s="7"/>
    </row>
    <row r="39" spans="1:14" customHeight="1" ht="25.5">
      <c r="A39" s="113" t="s">
        <v>147</v>
      </c>
      <c r="B39" s="117" t="s">
        <v>148</v>
      </c>
      <c r="C39" s="127" t="s">
        <v>112</v>
      </c>
      <c r="D39" s="24" t="s">
        <v>29</v>
      </c>
      <c r="E39" s="25" t="s">
        <v>30</v>
      </c>
      <c r="F39" s="7"/>
      <c r="G39" s="7"/>
      <c r="H39" s="7"/>
      <c r="I39" s="7"/>
      <c r="J39" s="7"/>
      <c r="K39" s="130">
        <v>207.9</v>
      </c>
      <c r="L39" s="7"/>
      <c r="M39" s="7"/>
      <c r="N39" s="7"/>
    </row>
    <row r="40" spans="1:14">
      <c r="A40" s="113" t="s">
        <v>70</v>
      </c>
      <c r="B40" s="117" t="s">
        <v>71</v>
      </c>
      <c r="C40" s="127" t="s">
        <v>112</v>
      </c>
      <c r="D40" s="24" t="s">
        <v>29</v>
      </c>
      <c r="E40" s="25" t="s">
        <v>30</v>
      </c>
      <c r="F40" s="7"/>
      <c r="G40" s="7"/>
      <c r="H40" s="7"/>
      <c r="I40" s="7"/>
      <c r="J40" s="7"/>
      <c r="K40" s="130">
        <v>150.8</v>
      </c>
      <c r="L40" s="7"/>
      <c r="M40" s="7"/>
      <c r="N40" s="7"/>
    </row>
    <row r="41" spans="1:14">
      <c r="A41" s="113" t="s">
        <v>149</v>
      </c>
      <c r="B41" s="117" t="s">
        <v>150</v>
      </c>
      <c r="C41" s="127" t="s">
        <v>112</v>
      </c>
      <c r="D41" s="24" t="s">
        <v>29</v>
      </c>
      <c r="E41" s="25" t="s">
        <v>30</v>
      </c>
      <c r="F41" s="7"/>
      <c r="G41" s="7"/>
      <c r="H41" s="7"/>
      <c r="I41" s="7"/>
      <c r="J41" s="7"/>
      <c r="K41" s="130">
        <v>364</v>
      </c>
      <c r="L41" s="7"/>
      <c r="M41" s="7"/>
      <c r="N41" s="7"/>
    </row>
    <row r="42" spans="1:14">
      <c r="A42" s="113" t="s">
        <v>76</v>
      </c>
      <c r="B42" s="117" t="s">
        <v>77</v>
      </c>
      <c r="C42" s="127" t="s">
        <v>112</v>
      </c>
      <c r="D42" s="24" t="s">
        <v>29</v>
      </c>
      <c r="E42" s="25" t="s">
        <v>30</v>
      </c>
      <c r="F42" s="7"/>
      <c r="G42" s="7"/>
      <c r="H42" s="7"/>
      <c r="I42" s="7"/>
      <c r="J42" s="7"/>
      <c r="K42" s="130">
        <v>370.6</v>
      </c>
      <c r="L42" s="7"/>
      <c r="M42" s="7"/>
      <c r="N42" s="7"/>
    </row>
    <row r="43" spans="1:14">
      <c r="A43" s="113" t="s">
        <v>78</v>
      </c>
      <c r="B43" s="117" t="s">
        <v>79</v>
      </c>
      <c r="C43" s="127" t="s">
        <v>112</v>
      </c>
      <c r="D43" s="24" t="s">
        <v>29</v>
      </c>
      <c r="E43" s="25" t="s">
        <v>30</v>
      </c>
      <c r="F43" s="7"/>
      <c r="G43" s="7"/>
      <c r="H43" s="7"/>
      <c r="I43" s="7"/>
      <c r="J43" s="7"/>
      <c r="K43" s="130">
        <v>3178.2</v>
      </c>
      <c r="L43" s="7"/>
      <c r="M43" s="7"/>
      <c r="N43" s="7"/>
    </row>
    <row r="44" spans="1:14">
      <c r="A44" s="113" t="s">
        <v>84</v>
      </c>
      <c r="B44" s="117" t="s">
        <v>85</v>
      </c>
      <c r="C44" s="127" t="s">
        <v>112</v>
      </c>
      <c r="D44" s="24" t="s">
        <v>29</v>
      </c>
      <c r="E44" s="25" t="s">
        <v>30</v>
      </c>
      <c r="F44" s="7"/>
      <c r="G44" s="7"/>
      <c r="H44" s="7"/>
      <c r="I44" s="7"/>
      <c r="J44" s="7"/>
      <c r="K44" s="130">
        <v>1035.84</v>
      </c>
      <c r="L44" s="7"/>
      <c r="M44" s="7"/>
      <c r="N44" s="7"/>
    </row>
    <row r="45" spans="1:14">
      <c r="A45" s="119" t="s">
        <v>151</v>
      </c>
      <c r="B45" s="118" t="s">
        <v>152</v>
      </c>
      <c r="C45" s="127" t="s">
        <v>112</v>
      </c>
      <c r="D45" s="24" t="s">
        <v>29</v>
      </c>
      <c r="E45" s="25" t="s">
        <v>30</v>
      </c>
      <c r="F45" s="7"/>
      <c r="G45" s="7"/>
      <c r="H45" s="7"/>
      <c r="I45" s="7"/>
      <c r="J45" s="7"/>
      <c r="K45" s="130">
        <v>278.72</v>
      </c>
      <c r="L45" s="7"/>
      <c r="M45" s="7"/>
      <c r="N45" s="7"/>
    </row>
    <row r="46" spans="1:14">
      <c r="A46" s="120"/>
      <c r="B46" s="121" t="s">
        <v>153</v>
      </c>
      <c r="C46" s="127" t="s">
        <v>112</v>
      </c>
      <c r="D46" s="24" t="s">
        <v>29</v>
      </c>
      <c r="E46" s="25" t="s">
        <v>30</v>
      </c>
      <c r="F46" s="7"/>
      <c r="G46" s="7"/>
      <c r="H46" s="7"/>
      <c r="I46" s="7"/>
      <c r="J46" s="7"/>
      <c r="K46" s="130">
        <v>614</v>
      </c>
      <c r="L46" s="7"/>
      <c r="M46" s="7"/>
      <c r="N46" s="7"/>
    </row>
    <row r="47" spans="1:14">
      <c r="A47" s="120"/>
      <c r="B47" s="121" t="s">
        <v>154</v>
      </c>
      <c r="C47" s="127" t="s">
        <v>112</v>
      </c>
      <c r="D47" s="24" t="s">
        <v>29</v>
      </c>
      <c r="E47" s="25" t="s">
        <v>30</v>
      </c>
      <c r="F47" s="7"/>
      <c r="G47" s="7"/>
      <c r="H47" s="7"/>
      <c r="I47" s="7"/>
      <c r="J47" s="7"/>
      <c r="K47" s="130">
        <v>30.12</v>
      </c>
      <c r="L47" s="7"/>
      <c r="M47" s="7"/>
      <c r="N47" s="7"/>
    </row>
    <row r="48" spans="1:14">
      <c r="A48" s="120"/>
      <c r="B48" s="121" t="s">
        <v>155</v>
      </c>
      <c r="C48" s="127" t="s">
        <v>112</v>
      </c>
      <c r="D48" s="24" t="s">
        <v>29</v>
      </c>
      <c r="E48" s="25" t="s">
        <v>30</v>
      </c>
      <c r="F48" s="7"/>
      <c r="G48" s="7"/>
      <c r="H48" s="7"/>
      <c r="I48" s="7"/>
      <c r="J48" s="7"/>
      <c r="K48" s="130">
        <v>440</v>
      </c>
      <c r="L48" s="7"/>
      <c r="M48" s="7"/>
      <c r="N48" s="7"/>
    </row>
    <row r="49" spans="1:14">
      <c r="A49" s="120"/>
      <c r="B49" s="122" t="s">
        <v>156</v>
      </c>
      <c r="C49" s="127" t="s">
        <v>112</v>
      </c>
      <c r="D49" s="24" t="s">
        <v>29</v>
      </c>
      <c r="E49" s="25" t="s">
        <v>30</v>
      </c>
      <c r="F49" s="7"/>
      <c r="G49" s="7"/>
      <c r="H49" s="7"/>
      <c r="I49" s="7"/>
      <c r="J49" s="7"/>
      <c r="K49" s="130">
        <v>200</v>
      </c>
      <c r="L49" s="7"/>
      <c r="M49" s="7"/>
      <c r="N49" s="7"/>
    </row>
    <row r="50" spans="1:14">
      <c r="A50" s="120"/>
      <c r="B50" s="121" t="s">
        <v>157</v>
      </c>
      <c r="C50" s="127" t="s">
        <v>112</v>
      </c>
      <c r="D50" s="24" t="s">
        <v>29</v>
      </c>
      <c r="E50" s="25" t="s">
        <v>30</v>
      </c>
      <c r="F50" s="7"/>
      <c r="G50" s="7"/>
      <c r="H50" s="7"/>
      <c r="I50" s="7"/>
      <c r="J50" s="7"/>
      <c r="K50" s="130">
        <v>1440</v>
      </c>
      <c r="L50" s="7"/>
      <c r="M50" s="7"/>
      <c r="N50" s="7"/>
    </row>
    <row r="51" spans="1:14">
      <c r="A51" s="120"/>
      <c r="B51" s="121" t="s">
        <v>158</v>
      </c>
      <c r="C51" s="127" t="s">
        <v>112</v>
      </c>
      <c r="D51" s="24" t="s">
        <v>29</v>
      </c>
      <c r="E51" s="25" t="s">
        <v>30</v>
      </c>
      <c r="F51" s="7"/>
      <c r="G51" s="7"/>
      <c r="H51" s="7"/>
      <c r="I51" s="7"/>
      <c r="J51" s="7"/>
      <c r="K51" s="130">
        <v>540</v>
      </c>
      <c r="L51" s="7"/>
      <c r="M51" s="7"/>
      <c r="N51" s="7"/>
    </row>
    <row r="52" spans="1:14">
      <c r="A52" s="120"/>
      <c r="B52" s="122" t="s">
        <v>159</v>
      </c>
      <c r="C52" s="127" t="s">
        <v>112</v>
      </c>
      <c r="D52" s="24" t="s">
        <v>29</v>
      </c>
      <c r="E52" s="25" t="s">
        <v>30</v>
      </c>
      <c r="F52" s="7"/>
      <c r="G52" s="7"/>
      <c r="H52" s="7"/>
      <c r="I52" s="7"/>
      <c r="J52" s="7"/>
      <c r="K52" s="130">
        <v>540</v>
      </c>
      <c r="L52" s="7"/>
      <c r="M52" s="7"/>
      <c r="N52" s="7"/>
    </row>
    <row r="53" spans="1:14">
      <c r="A53" s="120"/>
      <c r="B53" s="122" t="s">
        <v>160</v>
      </c>
      <c r="C53" s="127" t="s">
        <v>112</v>
      </c>
      <c r="D53" s="24" t="s">
        <v>29</v>
      </c>
      <c r="E53" s="25" t="s">
        <v>30</v>
      </c>
      <c r="F53" s="7"/>
      <c r="G53" s="7"/>
      <c r="H53" s="7"/>
      <c r="I53" s="7"/>
      <c r="J53" s="7"/>
      <c r="K53" s="130">
        <v>180</v>
      </c>
      <c r="L53" s="7"/>
      <c r="M53" s="7"/>
      <c r="N53" s="7"/>
    </row>
    <row r="54" spans="1:14">
      <c r="A54" s="120"/>
      <c r="B54" s="121" t="s">
        <v>161</v>
      </c>
      <c r="C54" s="127" t="s">
        <v>112</v>
      </c>
      <c r="D54" s="24" t="s">
        <v>29</v>
      </c>
      <c r="E54" s="25" t="s">
        <v>30</v>
      </c>
      <c r="F54" s="7"/>
      <c r="G54" s="7"/>
      <c r="H54" s="7"/>
      <c r="I54" s="7"/>
      <c r="J54" s="7"/>
      <c r="K54" s="130">
        <v>240</v>
      </c>
      <c r="L54" s="7"/>
      <c r="M54" s="7"/>
      <c r="N54" s="7"/>
    </row>
    <row r="55" spans="1:14">
      <c r="A55" s="120"/>
      <c r="B55" s="121" t="s">
        <v>162</v>
      </c>
      <c r="C55" s="127" t="s">
        <v>112</v>
      </c>
      <c r="D55" s="24" t="s">
        <v>29</v>
      </c>
      <c r="E55" s="25" t="s">
        <v>30</v>
      </c>
      <c r="F55" s="7"/>
      <c r="G55" s="7"/>
      <c r="H55" s="7"/>
      <c r="I55" s="7"/>
      <c r="J55" s="7"/>
      <c r="K55" s="130">
        <v>1500</v>
      </c>
      <c r="L55" s="7"/>
      <c r="M55" s="7"/>
      <c r="N55" s="7"/>
    </row>
    <row r="56" spans="1:14">
      <c r="A56" s="120"/>
      <c r="B56" s="123" t="s">
        <v>163</v>
      </c>
      <c r="C56" s="127" t="s">
        <v>112</v>
      </c>
      <c r="D56" s="24" t="s">
        <v>29</v>
      </c>
      <c r="E56" s="25" t="s">
        <v>30</v>
      </c>
      <c r="F56" s="7"/>
      <c r="G56" s="7"/>
      <c r="H56" s="7"/>
      <c r="I56" s="7"/>
      <c r="J56" s="7"/>
      <c r="K56" s="130">
        <v>3400</v>
      </c>
      <c r="L56" s="7"/>
      <c r="M56" s="7"/>
      <c r="N56" s="7"/>
    </row>
    <row r="57" spans="1:14">
      <c r="A57" s="120"/>
      <c r="B57" s="123" t="s">
        <v>164</v>
      </c>
      <c r="C57" s="127" t="s">
        <v>112</v>
      </c>
      <c r="D57" s="24" t="s">
        <v>29</v>
      </c>
      <c r="E57" s="25" t="s">
        <v>30</v>
      </c>
      <c r="F57" s="7"/>
      <c r="G57" s="7"/>
      <c r="H57" s="7"/>
      <c r="I57" s="7"/>
      <c r="J57" s="7"/>
      <c r="K57" s="130">
        <v>2400</v>
      </c>
      <c r="L57" s="7"/>
      <c r="M57" s="7"/>
      <c r="N57" s="7"/>
    </row>
    <row r="58" spans="1:14">
      <c r="A58" s="124"/>
      <c r="B58" s="123" t="s">
        <v>165</v>
      </c>
      <c r="C58" s="127" t="s">
        <v>112</v>
      </c>
      <c r="D58" s="24" t="s">
        <v>29</v>
      </c>
      <c r="E58" s="25" t="s">
        <v>30</v>
      </c>
      <c r="F58" s="7"/>
      <c r="G58" s="7"/>
      <c r="H58" s="7"/>
      <c r="I58" s="7"/>
      <c r="J58" s="7"/>
      <c r="K58" s="130">
        <v>1200</v>
      </c>
      <c r="L58" s="7"/>
      <c r="M58" s="7"/>
      <c r="N58" s="7"/>
    </row>
    <row r="59" spans="1:14">
      <c r="A59" s="124"/>
      <c r="B59" s="123" t="s">
        <v>166</v>
      </c>
      <c r="C59" s="127" t="s">
        <v>112</v>
      </c>
      <c r="D59" s="24" t="s">
        <v>29</v>
      </c>
      <c r="E59" s="25" t="s">
        <v>30</v>
      </c>
      <c r="F59" s="7"/>
      <c r="G59" s="7"/>
      <c r="H59" s="7"/>
      <c r="I59" s="7"/>
      <c r="J59" s="7"/>
      <c r="K59" s="130">
        <v>3628.4</v>
      </c>
      <c r="L59" s="7"/>
      <c r="M59" s="7"/>
      <c r="N59" s="7"/>
    </row>
    <row r="60" spans="1:14">
      <c r="A60" s="124"/>
      <c r="B60" s="125" t="s">
        <v>167</v>
      </c>
      <c r="C60" s="127" t="s">
        <v>112</v>
      </c>
      <c r="D60" s="24" t="s">
        <v>29</v>
      </c>
      <c r="E60" s="25" t="s">
        <v>30</v>
      </c>
      <c r="F60" s="7"/>
      <c r="G60" s="7"/>
      <c r="H60" s="7"/>
      <c r="I60" s="7"/>
      <c r="J60" s="7"/>
      <c r="K60" s="131">
        <v>689</v>
      </c>
      <c r="L60" s="7"/>
      <c r="M60" s="7"/>
      <c r="N60" s="7"/>
    </row>
    <row r="61" spans="1:14">
      <c r="A61" s="124"/>
      <c r="B61" s="126" t="s">
        <v>168</v>
      </c>
      <c r="C61" s="127" t="s">
        <v>112</v>
      </c>
      <c r="D61" s="24" t="s">
        <v>29</v>
      </c>
      <c r="E61" s="25" t="s">
        <v>30</v>
      </c>
      <c r="F61" s="7"/>
      <c r="G61" s="7"/>
      <c r="H61" s="7"/>
      <c r="I61" s="7"/>
      <c r="J61" s="7"/>
      <c r="K61" s="130">
        <v>2754.8</v>
      </c>
      <c r="L61" s="7"/>
      <c r="M61" s="7"/>
      <c r="N61" s="7"/>
    </row>
    <row r="62" spans="1:14">
      <c r="A62" s="107" t="s">
        <v>23</v>
      </c>
      <c r="B62" s="7"/>
      <c r="C62" s="7"/>
      <c r="D62" s="7"/>
      <c r="E62" s="7"/>
      <c r="F62" s="7"/>
      <c r="G62" s="7"/>
      <c r="H62" s="7"/>
      <c r="I62" s="7"/>
      <c r="J62" s="7"/>
      <c r="K62" s="132">
        <f>SUM(K12:K61)</f>
        <v>41376.01</v>
      </c>
      <c r="L62" s="7"/>
      <c r="M62" s="7"/>
      <c r="N6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81"/>
  <sheetViews>
    <sheetView tabSelected="0" workbookViewId="0" showGridLines="true" showRowColHeaders="1">
      <selection activeCell="K81" sqref="K81"/>
    </sheetView>
  </sheetViews>
  <sheetFormatPr defaultRowHeight="14.4" defaultColWidth="20.7109375" outlineLevelRow="0" outlineLevelCol="0"/>
  <cols>
    <col min="1" max="1" width="24.28515625" customWidth="true" style="5"/>
    <col min="2" max="2" width="57.2851562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169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4" customHeight="1" ht="33.6" s="3" customFormat="1">
      <c r="A11" s="356"/>
      <c r="B11" s="358"/>
      <c r="C11" s="358"/>
      <c r="D11" s="360"/>
      <c r="E11" s="358"/>
      <c r="F11" s="45" t="s">
        <v>19</v>
      </c>
      <c r="G11" s="45" t="s">
        <v>20</v>
      </c>
      <c r="H11" s="45" t="s">
        <v>21</v>
      </c>
      <c r="I11" s="45" t="s">
        <v>22</v>
      </c>
      <c r="J11" s="358"/>
      <c r="K11" s="46" t="s">
        <v>23</v>
      </c>
      <c r="L11" s="46" t="s">
        <v>24</v>
      </c>
      <c r="M11" s="46" t="s">
        <v>25</v>
      </c>
      <c r="N11" s="354"/>
    </row>
    <row r="12" spans="1:14">
      <c r="A12" s="105" t="s">
        <v>26</v>
      </c>
      <c r="B12" s="85" t="s">
        <v>27</v>
      </c>
      <c r="C12" s="156" t="s">
        <v>170</v>
      </c>
      <c r="D12" s="157" t="s">
        <v>29</v>
      </c>
      <c r="E12" s="158" t="s">
        <v>30</v>
      </c>
      <c r="F12" s="156"/>
      <c r="G12" s="156"/>
      <c r="H12" s="156"/>
      <c r="I12" s="156"/>
      <c r="J12" s="156"/>
      <c r="K12" s="159">
        <f>239.25*4</f>
        <v>957</v>
      </c>
      <c r="L12" s="36"/>
      <c r="M12" s="36"/>
      <c r="N12" s="36"/>
    </row>
    <row r="13" spans="1:14">
      <c r="A13" s="105" t="s">
        <v>31</v>
      </c>
      <c r="B13" s="85" t="s">
        <v>32</v>
      </c>
      <c r="C13" s="156" t="s">
        <v>170</v>
      </c>
      <c r="D13" s="157" t="s">
        <v>29</v>
      </c>
      <c r="E13" s="158" t="s">
        <v>30</v>
      </c>
      <c r="F13" s="156"/>
      <c r="G13" s="156"/>
      <c r="H13" s="156"/>
      <c r="I13" s="156"/>
      <c r="J13" s="156"/>
      <c r="K13" s="159">
        <f>199.8*4</f>
        <v>799.2</v>
      </c>
      <c r="L13" s="36"/>
      <c r="M13" s="36"/>
      <c r="N13" s="36"/>
    </row>
    <row r="14" spans="1:14">
      <c r="A14" s="105" t="s">
        <v>33</v>
      </c>
      <c r="B14" s="85" t="s">
        <v>34</v>
      </c>
      <c r="C14" s="156" t="s">
        <v>170</v>
      </c>
      <c r="D14" s="157" t="s">
        <v>29</v>
      </c>
      <c r="E14" s="158" t="s">
        <v>30</v>
      </c>
      <c r="F14" s="156"/>
      <c r="G14" s="156"/>
      <c r="H14" s="156"/>
      <c r="I14" s="156"/>
      <c r="J14" s="156"/>
      <c r="K14" s="159">
        <f>40.98*3</f>
        <v>122.94</v>
      </c>
      <c r="L14" s="36"/>
      <c r="M14" s="36"/>
      <c r="N14" s="36"/>
    </row>
    <row r="15" spans="1:14">
      <c r="A15" s="105" t="s">
        <v>114</v>
      </c>
      <c r="B15" s="85" t="s">
        <v>171</v>
      </c>
      <c r="C15" s="156" t="s">
        <v>170</v>
      </c>
      <c r="D15" s="157" t="s">
        <v>29</v>
      </c>
      <c r="E15" s="158" t="s">
        <v>30</v>
      </c>
      <c r="F15" s="156"/>
      <c r="G15" s="156"/>
      <c r="H15" s="156"/>
      <c r="I15" s="156"/>
      <c r="J15" s="156"/>
      <c r="K15" s="159">
        <v>81.64</v>
      </c>
      <c r="L15" s="36"/>
      <c r="M15" s="36"/>
      <c r="N15" s="36"/>
    </row>
    <row r="16" spans="1:14">
      <c r="A16" s="105" t="s">
        <v>35</v>
      </c>
      <c r="B16" s="85" t="s">
        <v>36</v>
      </c>
      <c r="C16" s="156" t="s">
        <v>170</v>
      </c>
      <c r="D16" s="157" t="s">
        <v>29</v>
      </c>
      <c r="E16" s="158" t="s">
        <v>30</v>
      </c>
      <c r="F16" s="156"/>
      <c r="G16" s="156"/>
      <c r="H16" s="156"/>
      <c r="I16" s="156"/>
      <c r="J16" s="156"/>
      <c r="K16" s="159">
        <v>136.24</v>
      </c>
      <c r="L16" s="36"/>
      <c r="M16" s="36"/>
      <c r="N16" s="36"/>
    </row>
    <row r="17" spans="1:14">
      <c r="A17" s="105" t="s">
        <v>172</v>
      </c>
      <c r="B17" s="85" t="s">
        <v>173</v>
      </c>
      <c r="C17" s="156" t="s">
        <v>170</v>
      </c>
      <c r="D17" s="157" t="s">
        <v>29</v>
      </c>
      <c r="E17" s="158" t="s">
        <v>30</v>
      </c>
      <c r="F17" s="156"/>
      <c r="G17" s="156"/>
      <c r="H17" s="156"/>
      <c r="I17" s="156"/>
      <c r="J17" s="156"/>
      <c r="K17" s="159">
        <f>54.08*2</f>
        <v>108.16</v>
      </c>
      <c r="L17" s="36"/>
      <c r="M17" s="36"/>
      <c r="N17" s="36"/>
    </row>
    <row r="18" spans="1:14">
      <c r="A18" s="105" t="s">
        <v>37</v>
      </c>
      <c r="B18" s="85" t="s">
        <v>38</v>
      </c>
      <c r="C18" s="156" t="s">
        <v>170</v>
      </c>
      <c r="D18" s="157" t="s">
        <v>29</v>
      </c>
      <c r="E18" s="158" t="s">
        <v>30</v>
      </c>
      <c r="F18" s="156"/>
      <c r="G18" s="156"/>
      <c r="H18" s="156"/>
      <c r="I18" s="156"/>
      <c r="J18" s="156"/>
      <c r="K18" s="159">
        <f>139.89*2</f>
        <v>279.78</v>
      </c>
      <c r="L18" s="36"/>
      <c r="M18" s="36"/>
      <c r="N18" s="36"/>
    </row>
    <row r="19" spans="1:14">
      <c r="A19" s="105" t="s">
        <v>174</v>
      </c>
      <c r="B19" s="85" t="s">
        <v>175</v>
      </c>
      <c r="C19" s="156" t="s">
        <v>170</v>
      </c>
      <c r="D19" s="157" t="s">
        <v>29</v>
      </c>
      <c r="E19" s="158" t="s">
        <v>30</v>
      </c>
      <c r="F19" s="156"/>
      <c r="G19" s="156"/>
      <c r="H19" s="156"/>
      <c r="I19" s="156"/>
      <c r="J19" s="156"/>
      <c r="K19" s="159">
        <v>27.64</v>
      </c>
      <c r="L19" s="36"/>
      <c r="M19" s="36"/>
      <c r="N19" s="36"/>
    </row>
    <row r="20" spans="1:14">
      <c r="A20" s="105" t="s">
        <v>176</v>
      </c>
      <c r="B20" s="85" t="s">
        <v>177</v>
      </c>
      <c r="C20" s="156" t="s">
        <v>170</v>
      </c>
      <c r="D20" s="157" t="s">
        <v>29</v>
      </c>
      <c r="E20" s="158" t="s">
        <v>30</v>
      </c>
      <c r="F20" s="156"/>
      <c r="G20" s="156"/>
      <c r="H20" s="156"/>
      <c r="I20" s="156"/>
      <c r="J20" s="156"/>
      <c r="K20" s="159">
        <v>53.14</v>
      </c>
      <c r="L20" s="36"/>
      <c r="M20" s="36"/>
      <c r="N20" s="36"/>
    </row>
    <row r="21" spans="1:14">
      <c r="A21" s="105" t="s">
        <v>126</v>
      </c>
      <c r="B21" s="85" t="s">
        <v>127</v>
      </c>
      <c r="C21" s="156" t="s">
        <v>170</v>
      </c>
      <c r="D21" s="157" t="s">
        <v>29</v>
      </c>
      <c r="E21" s="158" t="s">
        <v>30</v>
      </c>
      <c r="F21" s="156"/>
      <c r="G21" s="156"/>
      <c r="H21" s="156"/>
      <c r="I21" s="156"/>
      <c r="J21" s="156"/>
      <c r="K21" s="159">
        <f>144.04*2</f>
        <v>288.08</v>
      </c>
      <c r="L21" s="36"/>
      <c r="M21" s="36"/>
      <c r="N21" s="36"/>
    </row>
    <row r="22" spans="1:14">
      <c r="A22" s="105" t="s">
        <v>178</v>
      </c>
      <c r="B22" s="85" t="s">
        <v>179</v>
      </c>
      <c r="C22" s="156" t="s">
        <v>170</v>
      </c>
      <c r="D22" s="157" t="s">
        <v>29</v>
      </c>
      <c r="E22" s="158" t="s">
        <v>30</v>
      </c>
      <c r="F22" s="156"/>
      <c r="G22" s="156"/>
      <c r="H22" s="156"/>
      <c r="I22" s="156"/>
      <c r="J22" s="156"/>
      <c r="K22" s="159">
        <v>28.91</v>
      </c>
      <c r="L22" s="36"/>
      <c r="M22" s="36"/>
      <c r="N22" s="36"/>
    </row>
    <row r="23" spans="1:14">
      <c r="A23" s="105" t="s">
        <v>45</v>
      </c>
      <c r="B23" s="85" t="s">
        <v>46</v>
      </c>
      <c r="C23" s="156" t="s">
        <v>170</v>
      </c>
      <c r="D23" s="157" t="s">
        <v>29</v>
      </c>
      <c r="E23" s="158" t="s">
        <v>30</v>
      </c>
      <c r="F23" s="156"/>
      <c r="G23" s="156"/>
      <c r="H23" s="156"/>
      <c r="I23" s="156"/>
      <c r="J23" s="156"/>
      <c r="K23" s="159">
        <v>95.04</v>
      </c>
      <c r="L23" s="36"/>
      <c r="M23" s="36"/>
      <c r="N23" s="36"/>
    </row>
    <row r="24" spans="1:14">
      <c r="A24" s="105" t="s">
        <v>180</v>
      </c>
      <c r="B24" s="85" t="s">
        <v>181</v>
      </c>
      <c r="C24" s="156" t="s">
        <v>170</v>
      </c>
      <c r="D24" s="157" t="s">
        <v>29</v>
      </c>
      <c r="E24" s="158" t="s">
        <v>30</v>
      </c>
      <c r="F24" s="156"/>
      <c r="G24" s="156"/>
      <c r="H24" s="156"/>
      <c r="I24" s="156"/>
      <c r="J24" s="156"/>
      <c r="K24" s="159">
        <f>123.76*2</f>
        <v>247.52</v>
      </c>
      <c r="L24" s="36"/>
      <c r="M24" s="36"/>
      <c r="N24" s="36"/>
    </row>
    <row r="25" spans="1:14">
      <c r="A25" s="105" t="s">
        <v>182</v>
      </c>
      <c r="B25" s="85" t="s">
        <v>183</v>
      </c>
      <c r="C25" s="156" t="s">
        <v>170</v>
      </c>
      <c r="D25" s="157" t="s">
        <v>29</v>
      </c>
      <c r="E25" s="158" t="s">
        <v>30</v>
      </c>
      <c r="F25" s="156"/>
      <c r="G25" s="156"/>
      <c r="H25" s="156"/>
      <c r="I25" s="156"/>
      <c r="J25" s="156"/>
      <c r="K25" s="159">
        <v>242.32</v>
      </c>
      <c r="L25" s="36"/>
      <c r="M25" s="36"/>
      <c r="N25" s="36"/>
    </row>
    <row r="26" spans="1:14">
      <c r="A26" s="105" t="s">
        <v>47</v>
      </c>
      <c r="B26" s="85" t="s">
        <v>48</v>
      </c>
      <c r="C26" s="156" t="s">
        <v>170</v>
      </c>
      <c r="D26" s="157" t="s">
        <v>29</v>
      </c>
      <c r="E26" s="158" t="s">
        <v>30</v>
      </c>
      <c r="F26" s="156"/>
      <c r="G26" s="156"/>
      <c r="H26" s="156"/>
      <c r="I26" s="156"/>
      <c r="J26" s="156"/>
      <c r="K26" s="159">
        <f>22.36*2</f>
        <v>44.72</v>
      </c>
      <c r="L26" s="36"/>
      <c r="M26" s="36"/>
      <c r="N26" s="36"/>
    </row>
    <row r="27" spans="1:14">
      <c r="A27" s="105" t="s">
        <v>130</v>
      </c>
      <c r="B27" s="85" t="s">
        <v>131</v>
      </c>
      <c r="C27" s="156" t="s">
        <v>170</v>
      </c>
      <c r="D27" s="157" t="s">
        <v>29</v>
      </c>
      <c r="E27" s="158" t="s">
        <v>30</v>
      </c>
      <c r="F27" s="156"/>
      <c r="G27" s="156"/>
      <c r="H27" s="156"/>
      <c r="I27" s="156"/>
      <c r="J27" s="156"/>
      <c r="K27" s="159">
        <f>45.14*2</f>
        <v>90.28</v>
      </c>
      <c r="L27" s="36"/>
      <c r="M27" s="36"/>
      <c r="N27" s="36"/>
    </row>
    <row r="28" spans="1:14">
      <c r="A28" s="105" t="s">
        <v>55</v>
      </c>
      <c r="B28" s="85" t="s">
        <v>56</v>
      </c>
      <c r="C28" s="156" t="s">
        <v>170</v>
      </c>
      <c r="D28" s="157" t="s">
        <v>29</v>
      </c>
      <c r="E28" s="158" t="s">
        <v>30</v>
      </c>
      <c r="F28" s="156"/>
      <c r="G28" s="156"/>
      <c r="H28" s="156"/>
      <c r="I28" s="156"/>
      <c r="J28" s="156"/>
      <c r="K28" s="159">
        <f>57.65*4</f>
        <v>230.6</v>
      </c>
      <c r="L28" s="36"/>
      <c r="M28" s="36"/>
      <c r="N28" s="36"/>
    </row>
    <row r="29" spans="1:14">
      <c r="A29" s="105" t="s">
        <v>184</v>
      </c>
      <c r="B29" s="85" t="s">
        <v>185</v>
      </c>
      <c r="C29" s="156" t="s">
        <v>170</v>
      </c>
      <c r="D29" s="157" t="s">
        <v>29</v>
      </c>
      <c r="E29" s="158" t="s">
        <v>30</v>
      </c>
      <c r="F29" s="156"/>
      <c r="G29" s="156"/>
      <c r="H29" s="156"/>
      <c r="I29" s="156"/>
      <c r="J29" s="156"/>
      <c r="K29" s="159">
        <f>154.4*2</f>
        <v>308.8</v>
      </c>
      <c r="L29" s="36"/>
      <c r="M29" s="36"/>
      <c r="N29" s="36"/>
    </row>
    <row r="30" spans="1:14">
      <c r="A30" s="105" t="s">
        <v>186</v>
      </c>
      <c r="B30" s="85" t="s">
        <v>187</v>
      </c>
      <c r="C30" s="156" t="s">
        <v>170</v>
      </c>
      <c r="D30" s="157" t="s">
        <v>29</v>
      </c>
      <c r="E30" s="158" t="s">
        <v>30</v>
      </c>
      <c r="F30" s="156"/>
      <c r="G30" s="156"/>
      <c r="H30" s="156"/>
      <c r="I30" s="156"/>
      <c r="J30" s="156"/>
      <c r="K30" s="159">
        <f>60.98*4</f>
        <v>243.92</v>
      </c>
      <c r="L30" s="36"/>
      <c r="M30" s="36"/>
      <c r="N30" s="36"/>
    </row>
    <row r="31" spans="1:14">
      <c r="A31" s="105" t="s">
        <v>188</v>
      </c>
      <c r="B31" s="85" t="s">
        <v>189</v>
      </c>
      <c r="C31" s="156" t="s">
        <v>170</v>
      </c>
      <c r="D31" s="157" t="s">
        <v>29</v>
      </c>
      <c r="E31" s="158" t="s">
        <v>30</v>
      </c>
      <c r="F31" s="156"/>
      <c r="G31" s="156"/>
      <c r="H31" s="156"/>
      <c r="I31" s="156"/>
      <c r="J31" s="156"/>
      <c r="K31" s="159">
        <v>432.52</v>
      </c>
      <c r="L31" s="36"/>
      <c r="M31" s="36"/>
      <c r="N31" s="36"/>
    </row>
    <row r="32" spans="1:14">
      <c r="A32" s="105" t="s">
        <v>64</v>
      </c>
      <c r="B32" s="85" t="s">
        <v>65</v>
      </c>
      <c r="C32" s="156" t="s">
        <v>170</v>
      </c>
      <c r="D32" s="157" t="s">
        <v>29</v>
      </c>
      <c r="E32" s="158" t="s">
        <v>30</v>
      </c>
      <c r="F32" s="156"/>
      <c r="G32" s="156"/>
      <c r="H32" s="156"/>
      <c r="I32" s="156"/>
      <c r="J32" s="156"/>
      <c r="K32" s="159">
        <f>14.94*4</f>
        <v>59.76</v>
      </c>
      <c r="L32" s="36"/>
      <c r="M32" s="36"/>
      <c r="N32" s="36"/>
    </row>
    <row r="33" spans="1:14">
      <c r="A33" s="105" t="s">
        <v>66</v>
      </c>
      <c r="B33" s="85" t="s">
        <v>67</v>
      </c>
      <c r="C33" s="156" t="s">
        <v>170</v>
      </c>
      <c r="D33" s="157" t="s">
        <v>29</v>
      </c>
      <c r="E33" s="158" t="s">
        <v>30</v>
      </c>
      <c r="F33" s="156"/>
      <c r="G33" s="156"/>
      <c r="H33" s="156"/>
      <c r="I33" s="156"/>
      <c r="J33" s="156"/>
      <c r="K33" s="159">
        <v>8.82</v>
      </c>
      <c r="L33" s="36"/>
      <c r="M33" s="36"/>
      <c r="N33" s="36"/>
    </row>
    <row r="34" spans="1:14">
      <c r="A34" s="105" t="s">
        <v>68</v>
      </c>
      <c r="B34" s="85" t="s">
        <v>69</v>
      </c>
      <c r="C34" s="156" t="s">
        <v>170</v>
      </c>
      <c r="D34" s="157" t="s">
        <v>29</v>
      </c>
      <c r="E34" s="158" t="s">
        <v>30</v>
      </c>
      <c r="F34" s="156"/>
      <c r="G34" s="156"/>
      <c r="H34" s="156"/>
      <c r="I34" s="156"/>
      <c r="J34" s="156"/>
      <c r="K34" s="159">
        <v>13.78</v>
      </c>
      <c r="L34" s="36"/>
      <c r="M34" s="36"/>
      <c r="N34" s="36"/>
    </row>
    <row r="35" spans="1:14">
      <c r="A35" s="105" t="s">
        <v>147</v>
      </c>
      <c r="B35" s="85" t="s">
        <v>148</v>
      </c>
      <c r="C35" s="156" t="s">
        <v>170</v>
      </c>
      <c r="D35" s="157" t="s">
        <v>29</v>
      </c>
      <c r="E35" s="158" t="s">
        <v>30</v>
      </c>
      <c r="F35" s="156"/>
      <c r="G35" s="156"/>
      <c r="H35" s="156"/>
      <c r="I35" s="156"/>
      <c r="J35" s="156"/>
      <c r="K35" s="159">
        <v>20.79</v>
      </c>
      <c r="L35" s="36"/>
      <c r="M35" s="36"/>
      <c r="N35" s="36"/>
    </row>
    <row r="36" spans="1:14">
      <c r="A36" s="105" t="s">
        <v>70</v>
      </c>
      <c r="B36" s="85" t="s">
        <v>71</v>
      </c>
      <c r="C36" s="156" t="s">
        <v>170</v>
      </c>
      <c r="D36" s="157" t="s">
        <v>29</v>
      </c>
      <c r="E36" s="158" t="s">
        <v>30</v>
      </c>
      <c r="F36" s="156"/>
      <c r="G36" s="156"/>
      <c r="H36" s="156"/>
      <c r="I36" s="156"/>
      <c r="J36" s="156"/>
      <c r="K36" s="159">
        <v>150.08</v>
      </c>
      <c r="L36" s="36"/>
      <c r="M36" s="36"/>
      <c r="N36" s="36"/>
    </row>
    <row r="37" spans="1:14">
      <c r="A37" s="105" t="s">
        <v>72</v>
      </c>
      <c r="B37" s="85" t="s">
        <v>73</v>
      </c>
      <c r="C37" s="156" t="s">
        <v>170</v>
      </c>
      <c r="D37" s="157" t="s">
        <v>29</v>
      </c>
      <c r="E37" s="158" t="s">
        <v>30</v>
      </c>
      <c r="F37" s="156"/>
      <c r="G37" s="156"/>
      <c r="H37" s="156"/>
      <c r="I37" s="156"/>
      <c r="J37" s="156"/>
      <c r="K37" s="159">
        <f>39.92*2</f>
        <v>79.84</v>
      </c>
      <c r="L37" s="36"/>
      <c r="M37" s="36"/>
      <c r="N37" s="36"/>
    </row>
    <row r="38" spans="1:14">
      <c r="A38" s="105" t="s">
        <v>190</v>
      </c>
      <c r="B38" s="85" t="s">
        <v>191</v>
      </c>
      <c r="C38" s="156" t="s">
        <v>170</v>
      </c>
      <c r="D38" s="157" t="s">
        <v>29</v>
      </c>
      <c r="E38" s="158" t="s">
        <v>30</v>
      </c>
      <c r="F38" s="156"/>
      <c r="G38" s="156"/>
      <c r="H38" s="156"/>
      <c r="I38" s="156"/>
      <c r="J38" s="156"/>
      <c r="K38" s="159">
        <f>33.37*2</f>
        <v>66.74</v>
      </c>
      <c r="L38" s="36"/>
      <c r="M38" s="36"/>
      <c r="N38" s="36"/>
    </row>
    <row r="39" spans="1:14">
      <c r="A39" s="105" t="s">
        <v>149</v>
      </c>
      <c r="B39" s="85" t="s">
        <v>150</v>
      </c>
      <c r="C39" s="156" t="s">
        <v>170</v>
      </c>
      <c r="D39" s="157" t="s">
        <v>29</v>
      </c>
      <c r="E39" s="158" t="s">
        <v>30</v>
      </c>
      <c r="F39" s="156"/>
      <c r="G39" s="156"/>
      <c r="H39" s="156"/>
      <c r="I39" s="156"/>
      <c r="J39" s="156"/>
      <c r="K39" s="159">
        <v>72.8</v>
      </c>
      <c r="L39" s="36"/>
      <c r="M39" s="36"/>
      <c r="N39" s="36"/>
    </row>
    <row r="40" spans="1:14">
      <c r="A40" s="105" t="s">
        <v>76</v>
      </c>
      <c r="B40" s="85" t="s">
        <v>77</v>
      </c>
      <c r="C40" s="156" t="s">
        <v>170</v>
      </c>
      <c r="D40" s="157" t="s">
        <v>29</v>
      </c>
      <c r="E40" s="158" t="s">
        <v>30</v>
      </c>
      <c r="F40" s="156"/>
      <c r="G40" s="156"/>
      <c r="H40" s="156"/>
      <c r="I40" s="156"/>
      <c r="J40" s="156"/>
      <c r="K40" s="159">
        <f>37.06*4</f>
        <v>148.24</v>
      </c>
      <c r="L40" s="36"/>
      <c r="M40" s="36"/>
      <c r="N40" s="36"/>
    </row>
    <row r="41" spans="1:14">
      <c r="A41" s="105" t="s">
        <v>192</v>
      </c>
      <c r="B41" s="85" t="s">
        <v>193</v>
      </c>
      <c r="C41" s="156" t="s">
        <v>170</v>
      </c>
      <c r="D41" s="157" t="s">
        <v>29</v>
      </c>
      <c r="E41" s="158" t="s">
        <v>30</v>
      </c>
      <c r="F41" s="156"/>
      <c r="G41" s="156"/>
      <c r="H41" s="156"/>
      <c r="I41" s="156"/>
      <c r="J41" s="156"/>
      <c r="K41" s="159">
        <f>59.28*4</f>
        <v>237.12</v>
      </c>
      <c r="L41" s="36"/>
      <c r="M41" s="36"/>
      <c r="N41" s="36"/>
    </row>
    <row r="42" spans="1:14">
      <c r="A42" s="105" t="s">
        <v>194</v>
      </c>
      <c r="B42" s="85" t="s">
        <v>195</v>
      </c>
      <c r="C42" s="156" t="s">
        <v>170</v>
      </c>
      <c r="D42" s="157" t="s">
        <v>29</v>
      </c>
      <c r="E42" s="158" t="s">
        <v>30</v>
      </c>
      <c r="F42" s="156"/>
      <c r="G42" s="156"/>
      <c r="H42" s="156"/>
      <c r="I42" s="156"/>
      <c r="J42" s="156"/>
      <c r="K42" s="159">
        <f>52*4</f>
        <v>208</v>
      </c>
      <c r="L42" s="36"/>
      <c r="M42" s="36"/>
      <c r="N42" s="36"/>
    </row>
    <row r="43" spans="1:14">
      <c r="A43" s="105" t="s">
        <v>78</v>
      </c>
      <c r="B43" s="85" t="s">
        <v>79</v>
      </c>
      <c r="C43" s="156" t="s">
        <v>170</v>
      </c>
      <c r="D43" s="157" t="s">
        <v>29</v>
      </c>
      <c r="E43" s="158" t="s">
        <v>30</v>
      </c>
      <c r="F43" s="156"/>
      <c r="G43" s="156"/>
      <c r="H43" s="156"/>
      <c r="I43" s="156"/>
      <c r="J43" s="156"/>
      <c r="K43" s="159">
        <f>794.55*3</f>
        <v>2383.65</v>
      </c>
      <c r="L43" s="36"/>
      <c r="M43" s="36"/>
      <c r="N43" s="36"/>
    </row>
    <row r="44" spans="1:14">
      <c r="A44" s="105" t="s">
        <v>196</v>
      </c>
      <c r="B44" s="85" t="s">
        <v>197</v>
      </c>
      <c r="C44" s="156" t="s">
        <v>170</v>
      </c>
      <c r="D44" s="157" t="s">
        <v>29</v>
      </c>
      <c r="E44" s="158" t="s">
        <v>30</v>
      </c>
      <c r="F44" s="156"/>
      <c r="G44" s="156"/>
      <c r="H44" s="156"/>
      <c r="I44" s="156"/>
      <c r="J44" s="156"/>
      <c r="K44" s="159">
        <f>169*4</f>
        <v>676</v>
      </c>
      <c r="L44" s="36"/>
      <c r="M44" s="36"/>
      <c r="N44" s="36"/>
    </row>
    <row r="45" spans="1:14">
      <c r="A45" s="105" t="s">
        <v>198</v>
      </c>
      <c r="B45" s="85" t="s">
        <v>199</v>
      </c>
      <c r="C45" s="156" t="s">
        <v>170</v>
      </c>
      <c r="D45" s="157" t="s">
        <v>29</v>
      </c>
      <c r="E45" s="158" t="s">
        <v>30</v>
      </c>
      <c r="F45" s="156"/>
      <c r="G45" s="156"/>
      <c r="H45" s="156"/>
      <c r="I45" s="156"/>
      <c r="J45" s="156"/>
      <c r="K45" s="159">
        <f>249.6*4</f>
        <v>998.4</v>
      </c>
      <c r="L45" s="36"/>
      <c r="M45" s="36"/>
      <c r="N45" s="36"/>
    </row>
    <row r="46" spans="1:14">
      <c r="A46" s="105" t="s">
        <v>200</v>
      </c>
      <c r="B46" s="85" t="s">
        <v>201</v>
      </c>
      <c r="C46" s="156" t="s">
        <v>170</v>
      </c>
      <c r="D46" s="157" t="s">
        <v>29</v>
      </c>
      <c r="E46" s="158" t="s">
        <v>30</v>
      </c>
      <c r="F46" s="156"/>
      <c r="G46" s="156"/>
      <c r="H46" s="156"/>
      <c r="I46" s="156"/>
      <c r="J46" s="156"/>
      <c r="K46" s="159">
        <f>249.6*2</f>
        <v>499.2</v>
      </c>
      <c r="L46" s="36"/>
      <c r="M46" s="36"/>
      <c r="N46" s="36"/>
    </row>
    <row r="47" spans="1:14">
      <c r="A47" s="105" t="s">
        <v>202</v>
      </c>
      <c r="B47" s="85" t="s">
        <v>203</v>
      </c>
      <c r="C47" s="156" t="s">
        <v>170</v>
      </c>
      <c r="D47" s="157" t="s">
        <v>29</v>
      </c>
      <c r="E47" s="158" t="s">
        <v>30</v>
      </c>
      <c r="F47" s="156"/>
      <c r="G47" s="156"/>
      <c r="H47" s="156"/>
      <c r="I47" s="156"/>
      <c r="J47" s="156"/>
      <c r="K47" s="159">
        <f>249.6*2</f>
        <v>499.2</v>
      </c>
      <c r="L47" s="36"/>
      <c r="M47" s="36"/>
      <c r="N47" s="36"/>
    </row>
    <row r="48" spans="1:14">
      <c r="A48" s="105" t="s">
        <v>204</v>
      </c>
      <c r="B48" s="85" t="s">
        <v>205</v>
      </c>
      <c r="C48" s="156" t="s">
        <v>170</v>
      </c>
      <c r="D48" s="157" t="s">
        <v>29</v>
      </c>
      <c r="E48" s="158" t="s">
        <v>30</v>
      </c>
      <c r="F48" s="156"/>
      <c r="G48" s="156"/>
      <c r="H48" s="156"/>
      <c r="I48" s="156"/>
      <c r="J48" s="156"/>
      <c r="K48" s="159">
        <f>249.6*2</f>
        <v>499.2</v>
      </c>
      <c r="L48" s="36"/>
      <c r="M48" s="36"/>
      <c r="N48" s="36"/>
    </row>
    <row r="49" spans="1:14">
      <c r="A49" s="105"/>
      <c r="B49" s="85" t="s">
        <v>206</v>
      </c>
      <c r="C49" s="156" t="s">
        <v>170</v>
      </c>
      <c r="D49" s="157" t="s">
        <v>29</v>
      </c>
      <c r="E49" s="158" t="s">
        <v>30</v>
      </c>
      <c r="F49" s="156"/>
      <c r="G49" s="156"/>
      <c r="H49" s="156"/>
      <c r="I49" s="156"/>
      <c r="J49" s="156"/>
      <c r="K49" s="159">
        <f>2550*3</f>
        <v>7650</v>
      </c>
      <c r="L49" s="36"/>
      <c r="M49" s="36"/>
      <c r="N49" s="36"/>
    </row>
    <row r="50" spans="1:14">
      <c r="A50" s="105"/>
      <c r="B50" s="85" t="s">
        <v>207</v>
      </c>
      <c r="C50" s="156" t="s">
        <v>170</v>
      </c>
      <c r="D50" s="157" t="s">
        <v>29</v>
      </c>
      <c r="E50" s="158" t="s">
        <v>30</v>
      </c>
      <c r="F50" s="156"/>
      <c r="G50" s="156"/>
      <c r="H50" s="156"/>
      <c r="I50" s="156"/>
      <c r="J50" s="156"/>
      <c r="K50" s="159">
        <v>3840</v>
      </c>
      <c r="L50" s="36"/>
      <c r="M50" s="36"/>
      <c r="N50" s="36"/>
    </row>
    <row r="51" spans="1:14">
      <c r="A51" s="105"/>
      <c r="B51" s="85" t="s">
        <v>208</v>
      </c>
      <c r="C51" s="156" t="s">
        <v>170</v>
      </c>
      <c r="D51" s="157" t="s">
        <v>29</v>
      </c>
      <c r="E51" s="158" t="s">
        <v>30</v>
      </c>
      <c r="F51" s="156"/>
      <c r="G51" s="156"/>
      <c r="H51" s="156"/>
      <c r="I51" s="156"/>
      <c r="J51" s="156"/>
      <c r="K51" s="159">
        <v>254</v>
      </c>
      <c r="L51" s="36"/>
      <c r="M51" s="36"/>
      <c r="N51" s="36"/>
    </row>
    <row r="52" spans="1:14">
      <c r="A52" s="105"/>
      <c r="B52" s="85" t="s">
        <v>209</v>
      </c>
      <c r="C52" s="156" t="s">
        <v>170</v>
      </c>
      <c r="D52" s="157" t="s">
        <v>29</v>
      </c>
      <c r="E52" s="158" t="s">
        <v>30</v>
      </c>
      <c r="F52" s="156"/>
      <c r="G52" s="156"/>
      <c r="H52" s="156"/>
      <c r="I52" s="156"/>
      <c r="J52" s="156"/>
      <c r="K52" s="159">
        <v>270</v>
      </c>
      <c r="L52" s="36"/>
      <c r="M52" s="36"/>
      <c r="N52" s="36"/>
    </row>
    <row r="53" spans="1:14">
      <c r="A53" s="105"/>
      <c r="B53" s="85" t="s">
        <v>210</v>
      </c>
      <c r="C53" s="156" t="s">
        <v>170</v>
      </c>
      <c r="D53" s="157" t="s">
        <v>29</v>
      </c>
      <c r="E53" s="158" t="s">
        <v>30</v>
      </c>
      <c r="F53" s="156"/>
      <c r="G53" s="156"/>
      <c r="H53" s="156"/>
      <c r="I53" s="156"/>
      <c r="J53" s="156"/>
      <c r="K53" s="159">
        <v>1565</v>
      </c>
      <c r="L53" s="36"/>
      <c r="M53" s="36"/>
      <c r="N53" s="36"/>
    </row>
    <row r="54" spans="1:14">
      <c r="A54" s="105"/>
      <c r="B54" s="85" t="s">
        <v>211</v>
      </c>
      <c r="C54" s="156" t="s">
        <v>170</v>
      </c>
      <c r="D54" s="157" t="s">
        <v>29</v>
      </c>
      <c r="E54" s="158" t="s">
        <v>30</v>
      </c>
      <c r="F54" s="156"/>
      <c r="G54" s="156"/>
      <c r="H54" s="156"/>
      <c r="I54" s="156"/>
      <c r="J54" s="156"/>
      <c r="K54" s="159">
        <v>1565</v>
      </c>
      <c r="L54" s="36"/>
      <c r="M54" s="36"/>
      <c r="N54" s="36"/>
    </row>
    <row r="55" spans="1:14">
      <c r="A55" s="105"/>
      <c r="B55" s="85" t="s">
        <v>212</v>
      </c>
      <c r="C55" s="156" t="s">
        <v>170</v>
      </c>
      <c r="D55" s="157" t="s">
        <v>29</v>
      </c>
      <c r="E55" s="158" t="s">
        <v>30</v>
      </c>
      <c r="F55" s="156"/>
      <c r="G55" s="156"/>
      <c r="H55" s="156"/>
      <c r="I55" s="156"/>
      <c r="J55" s="156"/>
      <c r="K55" s="159">
        <v>1565</v>
      </c>
      <c r="L55" s="36"/>
      <c r="M55" s="36"/>
      <c r="N55" s="36"/>
    </row>
    <row r="56" spans="1:14">
      <c r="A56" s="105"/>
      <c r="B56" s="85" t="s">
        <v>213</v>
      </c>
      <c r="C56" s="156" t="s">
        <v>170</v>
      </c>
      <c r="D56" s="157" t="s">
        <v>29</v>
      </c>
      <c r="E56" s="158" t="s">
        <v>30</v>
      </c>
      <c r="F56" s="156"/>
      <c r="G56" s="156"/>
      <c r="H56" s="156"/>
      <c r="I56" s="156"/>
      <c r="J56" s="156"/>
      <c r="K56" s="159">
        <v>3212</v>
      </c>
      <c r="L56" s="36"/>
      <c r="M56" s="36"/>
      <c r="N56" s="36"/>
    </row>
    <row r="57" spans="1:14">
      <c r="A57" s="105"/>
      <c r="B57" s="85" t="s">
        <v>214</v>
      </c>
      <c r="C57" s="156" t="s">
        <v>170</v>
      </c>
      <c r="D57" s="157" t="s">
        <v>29</v>
      </c>
      <c r="E57" s="158" t="s">
        <v>30</v>
      </c>
      <c r="F57" s="156"/>
      <c r="G57" s="156"/>
      <c r="H57" s="156"/>
      <c r="I57" s="156"/>
      <c r="J57" s="156"/>
      <c r="K57" s="159">
        <v>1464</v>
      </c>
      <c r="L57" s="36"/>
      <c r="M57" s="36"/>
      <c r="N57" s="36"/>
    </row>
    <row r="58" spans="1:14">
      <c r="A58" s="105"/>
      <c r="B58" s="85" t="s">
        <v>215</v>
      </c>
      <c r="C58" s="156" t="s">
        <v>170</v>
      </c>
      <c r="D58" s="157" t="s">
        <v>29</v>
      </c>
      <c r="E58" s="158" t="s">
        <v>30</v>
      </c>
      <c r="F58" s="156"/>
      <c r="G58" s="156"/>
      <c r="H58" s="156"/>
      <c r="I58" s="156"/>
      <c r="J58" s="156"/>
      <c r="K58" s="159">
        <v>1464</v>
      </c>
      <c r="L58" s="36"/>
      <c r="M58" s="36"/>
      <c r="N58" s="36"/>
    </row>
    <row r="59" spans="1:14">
      <c r="A59" s="105"/>
      <c r="B59" s="85" t="s">
        <v>216</v>
      </c>
      <c r="C59" s="156" t="s">
        <v>170</v>
      </c>
      <c r="D59" s="157" t="s">
        <v>29</v>
      </c>
      <c r="E59" s="158" t="s">
        <v>30</v>
      </c>
      <c r="F59" s="156"/>
      <c r="G59" s="156"/>
      <c r="H59" s="156"/>
      <c r="I59" s="156"/>
      <c r="J59" s="156"/>
      <c r="K59" s="159">
        <v>2095</v>
      </c>
      <c r="L59" s="36"/>
      <c r="M59" s="36"/>
      <c r="N59" s="36"/>
    </row>
    <row r="60" spans="1:14">
      <c r="A60" s="105"/>
      <c r="B60" s="85" t="s">
        <v>217</v>
      </c>
      <c r="C60" s="156" t="s">
        <v>170</v>
      </c>
      <c r="D60" s="157" t="s">
        <v>29</v>
      </c>
      <c r="E60" s="158" t="s">
        <v>30</v>
      </c>
      <c r="F60" s="156"/>
      <c r="G60" s="156"/>
      <c r="H60" s="156"/>
      <c r="I60" s="156"/>
      <c r="J60" s="156"/>
      <c r="K60" s="159">
        <v>1464</v>
      </c>
      <c r="L60" s="36"/>
      <c r="M60" s="36"/>
      <c r="N60" s="36"/>
    </row>
    <row r="61" spans="1:14">
      <c r="A61" s="105"/>
      <c r="B61" s="85" t="s">
        <v>218</v>
      </c>
      <c r="C61" s="156" t="s">
        <v>170</v>
      </c>
      <c r="D61" s="157" t="s">
        <v>29</v>
      </c>
      <c r="E61" s="158" t="s">
        <v>30</v>
      </c>
      <c r="F61" s="156"/>
      <c r="G61" s="156"/>
      <c r="H61" s="156"/>
      <c r="I61" s="156"/>
      <c r="J61" s="156"/>
      <c r="K61" s="159">
        <v>3285</v>
      </c>
      <c r="L61" s="36"/>
      <c r="M61" s="36"/>
      <c r="N61" s="36"/>
    </row>
    <row r="62" spans="1:14">
      <c r="A62" s="105"/>
      <c r="B62" s="85" t="s">
        <v>219</v>
      </c>
      <c r="C62" s="156" t="s">
        <v>170</v>
      </c>
      <c r="D62" s="157" t="s">
        <v>29</v>
      </c>
      <c r="E62" s="158" t="s">
        <v>30</v>
      </c>
      <c r="F62" s="156"/>
      <c r="G62" s="156"/>
      <c r="H62" s="156"/>
      <c r="I62" s="156"/>
      <c r="J62" s="156"/>
      <c r="K62" s="159">
        <v>2775</v>
      </c>
      <c r="L62" s="36"/>
      <c r="M62" s="36"/>
      <c r="N62" s="36"/>
    </row>
    <row r="63" spans="1:14">
      <c r="A63" s="105"/>
      <c r="B63" s="85" t="s">
        <v>220</v>
      </c>
      <c r="C63" s="156" t="s">
        <v>170</v>
      </c>
      <c r="D63" s="157" t="s">
        <v>29</v>
      </c>
      <c r="E63" s="158" t="s">
        <v>30</v>
      </c>
      <c r="F63" s="156"/>
      <c r="G63" s="156"/>
      <c r="H63" s="156"/>
      <c r="I63" s="156"/>
      <c r="J63" s="156"/>
      <c r="K63" s="159">
        <v>150</v>
      </c>
      <c r="L63" s="36"/>
      <c r="M63" s="36"/>
      <c r="N63" s="36"/>
    </row>
    <row r="64" spans="1:14">
      <c r="A64" s="105"/>
      <c r="B64" s="85" t="s">
        <v>221</v>
      </c>
      <c r="C64" s="156" t="s">
        <v>170</v>
      </c>
      <c r="D64" s="157" t="s">
        <v>29</v>
      </c>
      <c r="E64" s="158" t="s">
        <v>30</v>
      </c>
      <c r="F64" s="156"/>
      <c r="G64" s="156"/>
      <c r="H64" s="156"/>
      <c r="I64" s="156"/>
      <c r="J64" s="156"/>
      <c r="K64" s="159">
        <v>250</v>
      </c>
      <c r="L64" s="36"/>
      <c r="M64" s="36"/>
      <c r="N64" s="36"/>
    </row>
    <row r="65" spans="1:14">
      <c r="A65" s="105"/>
      <c r="B65" s="85" t="s">
        <v>222</v>
      </c>
      <c r="C65" s="156" t="s">
        <v>170</v>
      </c>
      <c r="D65" s="157" t="s">
        <v>29</v>
      </c>
      <c r="E65" s="158" t="s">
        <v>30</v>
      </c>
      <c r="F65" s="156"/>
      <c r="G65" s="156"/>
      <c r="H65" s="156"/>
      <c r="I65" s="156"/>
      <c r="J65" s="156"/>
      <c r="K65" s="159">
        <v>237.5</v>
      </c>
      <c r="L65" s="36"/>
      <c r="M65" s="36"/>
      <c r="N65" s="36"/>
    </row>
    <row r="66" spans="1:14">
      <c r="A66" s="105"/>
      <c r="B66" s="85" t="s">
        <v>223</v>
      </c>
      <c r="C66" s="156" t="s">
        <v>170</v>
      </c>
      <c r="D66" s="157" t="s">
        <v>29</v>
      </c>
      <c r="E66" s="158" t="s">
        <v>30</v>
      </c>
      <c r="F66" s="156"/>
      <c r="G66" s="156"/>
      <c r="H66" s="156"/>
      <c r="I66" s="156"/>
      <c r="J66" s="156"/>
      <c r="K66" s="159">
        <v>380</v>
      </c>
      <c r="L66" s="36"/>
      <c r="M66" s="36"/>
      <c r="N66" s="36"/>
    </row>
    <row r="67" spans="1:14">
      <c r="A67" s="105"/>
      <c r="B67" s="85" t="s">
        <v>224</v>
      </c>
      <c r="C67" s="156" t="s">
        <v>170</v>
      </c>
      <c r="D67" s="157" t="s">
        <v>29</v>
      </c>
      <c r="E67" s="158" t="s">
        <v>30</v>
      </c>
      <c r="F67" s="156"/>
      <c r="G67" s="156"/>
      <c r="H67" s="156"/>
      <c r="I67" s="156"/>
      <c r="J67" s="156"/>
      <c r="K67" s="159">
        <v>700</v>
      </c>
      <c r="L67" s="36"/>
      <c r="M67" s="36"/>
      <c r="N67" s="36"/>
    </row>
    <row r="68" spans="1:14">
      <c r="A68" s="105"/>
      <c r="B68" s="85" t="s">
        <v>225</v>
      </c>
      <c r="C68" s="156" t="s">
        <v>170</v>
      </c>
      <c r="D68" s="157" t="s">
        <v>29</v>
      </c>
      <c r="E68" s="158" t="s">
        <v>30</v>
      </c>
      <c r="F68" s="156"/>
      <c r="G68" s="156"/>
      <c r="H68" s="156"/>
      <c r="I68" s="156"/>
      <c r="J68" s="156"/>
      <c r="K68" s="159">
        <v>576</v>
      </c>
      <c r="L68" s="36"/>
      <c r="M68" s="36"/>
      <c r="N68" s="36"/>
    </row>
    <row r="69" spans="1:14">
      <c r="A69" s="105"/>
      <c r="B69" s="85" t="s">
        <v>226</v>
      </c>
      <c r="C69" s="156" t="s">
        <v>170</v>
      </c>
      <c r="D69" s="157" t="s">
        <v>29</v>
      </c>
      <c r="E69" s="158" t="s">
        <v>30</v>
      </c>
      <c r="F69" s="156"/>
      <c r="G69" s="156"/>
      <c r="H69" s="156"/>
      <c r="I69" s="156"/>
      <c r="J69" s="156"/>
      <c r="K69" s="159">
        <v>2400</v>
      </c>
      <c r="L69" s="36"/>
      <c r="M69" s="36"/>
      <c r="N69" s="36"/>
    </row>
    <row r="70" spans="1:14">
      <c r="A70" s="105"/>
      <c r="B70" s="85" t="s">
        <v>227</v>
      </c>
      <c r="C70" s="156" t="s">
        <v>170</v>
      </c>
      <c r="D70" s="157" t="s">
        <v>29</v>
      </c>
      <c r="E70" s="158" t="s">
        <v>30</v>
      </c>
      <c r="F70" s="156"/>
      <c r="G70" s="156"/>
      <c r="H70" s="156"/>
      <c r="I70" s="156"/>
      <c r="J70" s="156"/>
      <c r="K70" s="159">
        <v>2700</v>
      </c>
      <c r="L70" s="36"/>
      <c r="M70" s="36"/>
      <c r="N70" s="36"/>
    </row>
    <row r="71" spans="1:14">
      <c r="A71" s="105"/>
      <c r="B71" s="85" t="s">
        <v>228</v>
      </c>
      <c r="C71" s="156" t="s">
        <v>170</v>
      </c>
      <c r="D71" s="157" t="s">
        <v>29</v>
      </c>
      <c r="E71" s="158" t="s">
        <v>30</v>
      </c>
      <c r="F71" s="156"/>
      <c r="G71" s="156"/>
      <c r="H71" s="156"/>
      <c r="I71" s="156"/>
      <c r="J71" s="156"/>
      <c r="K71" s="159">
        <v>320</v>
      </c>
      <c r="L71" s="36"/>
      <c r="M71" s="36"/>
      <c r="N71" s="36"/>
    </row>
    <row r="72" spans="1:14">
      <c r="A72" s="105"/>
      <c r="B72" s="160" t="s">
        <v>229</v>
      </c>
      <c r="C72" s="156" t="s">
        <v>170</v>
      </c>
      <c r="D72" s="157" t="s">
        <v>29</v>
      </c>
      <c r="E72" s="158" t="s">
        <v>30</v>
      </c>
      <c r="F72" s="156"/>
      <c r="G72" s="156"/>
      <c r="H72" s="156"/>
      <c r="I72" s="156"/>
      <c r="J72" s="156"/>
      <c r="K72" s="159">
        <v>950</v>
      </c>
      <c r="L72" s="36"/>
      <c r="M72" s="36"/>
      <c r="N72" s="36"/>
    </row>
    <row r="73" spans="1:14">
      <c r="A73" s="105"/>
      <c r="B73" s="160" t="s">
        <v>230</v>
      </c>
      <c r="C73" s="156" t="s">
        <v>170</v>
      </c>
      <c r="D73" s="157" t="s">
        <v>29</v>
      </c>
      <c r="E73" s="158" t="s">
        <v>30</v>
      </c>
      <c r="F73" s="156"/>
      <c r="G73" s="156"/>
      <c r="H73" s="156"/>
      <c r="I73" s="156"/>
      <c r="J73" s="156"/>
      <c r="K73" s="159">
        <v>2570</v>
      </c>
      <c r="L73" s="36"/>
      <c r="M73" s="36"/>
      <c r="N73" s="36"/>
    </row>
    <row r="74" spans="1:14">
      <c r="A74" s="105"/>
      <c r="B74" s="160" t="s">
        <v>231</v>
      </c>
      <c r="C74" s="156" t="s">
        <v>170</v>
      </c>
      <c r="D74" s="157" t="s">
        <v>29</v>
      </c>
      <c r="E74" s="158" t="s">
        <v>30</v>
      </c>
      <c r="F74" s="156"/>
      <c r="G74" s="156"/>
      <c r="H74" s="156"/>
      <c r="I74" s="156"/>
      <c r="J74" s="156"/>
      <c r="K74" s="159">
        <v>600</v>
      </c>
      <c r="L74" s="36"/>
      <c r="M74" s="36"/>
      <c r="N74" s="36"/>
    </row>
    <row r="75" spans="1:14">
      <c r="A75" s="105"/>
      <c r="B75" s="160" t="s">
        <v>232</v>
      </c>
      <c r="C75" s="156" t="s">
        <v>170</v>
      </c>
      <c r="D75" s="157" t="s">
        <v>29</v>
      </c>
      <c r="E75" s="158" t="s">
        <v>30</v>
      </c>
      <c r="F75" s="156"/>
      <c r="G75" s="156"/>
      <c r="H75" s="156"/>
      <c r="I75" s="156"/>
      <c r="J75" s="156"/>
      <c r="K75" s="159">
        <v>990</v>
      </c>
      <c r="L75" s="36"/>
      <c r="M75" s="36"/>
      <c r="N75" s="36"/>
    </row>
    <row r="76" spans="1:14">
      <c r="A76" s="91"/>
      <c r="B76" s="85" t="s">
        <v>233</v>
      </c>
      <c r="C76" s="156" t="s">
        <v>170</v>
      </c>
      <c r="D76" s="157" t="s">
        <v>29</v>
      </c>
      <c r="E76" s="158" t="s">
        <v>30</v>
      </c>
      <c r="F76" s="156"/>
      <c r="G76" s="156"/>
      <c r="H76" s="156"/>
      <c r="I76" s="156"/>
      <c r="J76" s="156"/>
      <c r="K76" s="159">
        <v>2650</v>
      </c>
      <c r="L76" s="36"/>
      <c r="M76" s="36"/>
      <c r="N76" s="36"/>
    </row>
    <row r="77" spans="1:14">
      <c r="A77" s="106"/>
      <c r="B77" s="85" t="s">
        <v>234</v>
      </c>
      <c r="C77" s="156" t="s">
        <v>170</v>
      </c>
      <c r="D77" s="157" t="s">
        <v>29</v>
      </c>
      <c r="E77" s="158" t="s">
        <v>30</v>
      </c>
      <c r="F77" s="156"/>
      <c r="G77" s="156"/>
      <c r="H77" s="156"/>
      <c r="I77" s="156"/>
      <c r="J77" s="156"/>
      <c r="K77" s="159">
        <v>800</v>
      </c>
      <c r="L77" s="36"/>
      <c r="M77" s="36"/>
      <c r="N77" s="36"/>
    </row>
    <row r="78" spans="1:14">
      <c r="A78" s="105"/>
      <c r="B78" s="85" t="s">
        <v>235</v>
      </c>
      <c r="C78" s="156" t="s">
        <v>170</v>
      </c>
      <c r="D78" s="157" t="s">
        <v>29</v>
      </c>
      <c r="E78" s="158" t="s">
        <v>30</v>
      </c>
      <c r="F78" s="156"/>
      <c r="G78" s="156"/>
      <c r="H78" s="156"/>
      <c r="I78" s="156"/>
      <c r="J78" s="156"/>
      <c r="K78" s="159">
        <v>8000</v>
      </c>
      <c r="L78" s="36"/>
      <c r="M78" s="36"/>
      <c r="N78" s="36"/>
    </row>
    <row r="79" spans="1:14">
      <c r="A79" s="105"/>
      <c r="B79" s="85" t="s">
        <v>236</v>
      </c>
      <c r="C79" s="156" t="s">
        <v>170</v>
      </c>
      <c r="D79" s="157" t="s">
        <v>29</v>
      </c>
      <c r="E79" s="158" t="s">
        <v>30</v>
      </c>
      <c r="F79" s="156"/>
      <c r="G79" s="156"/>
      <c r="H79" s="156"/>
      <c r="I79" s="156"/>
      <c r="J79" s="156"/>
      <c r="K79" s="159">
        <f>30*20</f>
        <v>600</v>
      </c>
      <c r="L79" s="36"/>
      <c r="M79" s="36"/>
      <c r="N79" s="36"/>
    </row>
    <row r="80" spans="1:14">
      <c r="A80" s="105"/>
      <c r="B80" s="161" t="s">
        <v>237</v>
      </c>
      <c r="C80" s="162" t="s">
        <v>170</v>
      </c>
      <c r="D80" s="163" t="s">
        <v>29</v>
      </c>
      <c r="E80" s="164" t="s">
        <v>30</v>
      </c>
      <c r="F80" s="162"/>
      <c r="G80" s="162"/>
      <c r="H80" s="162"/>
      <c r="I80" s="162"/>
      <c r="J80" s="162"/>
      <c r="K80" s="165">
        <v>21000</v>
      </c>
      <c r="L80" s="166"/>
      <c r="M80" s="166"/>
      <c r="N80" s="166"/>
    </row>
    <row r="81" spans="1:14" customHeight="1" ht="16.5" s="155" customFormat="1">
      <c r="A81" s="167"/>
      <c r="B81" s="168" t="s">
        <v>23</v>
      </c>
      <c r="C81" s="168"/>
      <c r="D81" s="168"/>
      <c r="E81" s="168"/>
      <c r="F81" s="168"/>
      <c r="G81" s="168"/>
      <c r="H81" s="168"/>
      <c r="I81" s="168"/>
      <c r="J81" s="168"/>
      <c r="K81" s="169">
        <f>SUM(K12:K80)</f>
        <v>89781.57</v>
      </c>
      <c r="L81" s="168"/>
      <c r="M81" s="168"/>
      <c r="N81" s="1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92"/>
  <sheetViews>
    <sheetView tabSelected="0" workbookViewId="0" zoomScale="85" zoomScaleNormal="85" showGridLines="true" showRowColHeaders="1">
      <selection activeCell="K88" sqref="K88"/>
    </sheetView>
  </sheetViews>
  <sheetFormatPr defaultRowHeight="14.4" defaultColWidth="20.7109375" outlineLevelRow="0" outlineLevelCol="0"/>
  <cols>
    <col min="1" max="1" width="26.42578125" customWidth="true" style="5"/>
    <col min="2" max="2" width="52.570312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238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55" t="s">
        <v>10</v>
      </c>
      <c r="B10" s="347" t="s">
        <v>11</v>
      </c>
      <c r="C10" s="347" t="s">
        <v>12</v>
      </c>
      <c r="D10" s="349" t="s">
        <v>13</v>
      </c>
      <c r="E10" s="347" t="s">
        <v>14</v>
      </c>
      <c r="F10" s="347" t="s">
        <v>15</v>
      </c>
      <c r="G10" s="347"/>
      <c r="H10" s="347"/>
      <c r="I10" s="347"/>
      <c r="J10" s="347" t="s">
        <v>16</v>
      </c>
      <c r="K10" s="347" t="s">
        <v>17</v>
      </c>
      <c r="L10" s="347"/>
      <c r="M10" s="347"/>
      <c r="N10" s="342" t="s">
        <v>18</v>
      </c>
    </row>
    <row r="11" spans="1:14" customHeight="1" ht="33.6" s="3" customFormat="1">
      <c r="A11" s="361"/>
      <c r="B11" s="352"/>
      <c r="C11" s="352"/>
      <c r="D11" s="362"/>
      <c r="E11" s="352"/>
      <c r="F11" s="38" t="s">
        <v>19</v>
      </c>
      <c r="G11" s="38" t="s">
        <v>20</v>
      </c>
      <c r="H11" s="38" t="s">
        <v>21</v>
      </c>
      <c r="I11" s="38" t="s">
        <v>22</v>
      </c>
      <c r="J11" s="352"/>
      <c r="K11" s="39" t="s">
        <v>23</v>
      </c>
      <c r="L11" s="39" t="s">
        <v>24</v>
      </c>
      <c r="M11" s="39" t="s">
        <v>25</v>
      </c>
      <c r="N11" s="343"/>
    </row>
    <row r="12" spans="1:14">
      <c r="A12" s="133" t="s">
        <v>110</v>
      </c>
      <c r="B12" s="134" t="s">
        <v>111</v>
      </c>
      <c r="C12" s="127" t="s">
        <v>238</v>
      </c>
      <c r="D12" s="135" t="s">
        <v>29</v>
      </c>
      <c r="E12" s="136" t="s">
        <v>30</v>
      </c>
      <c r="F12" s="127"/>
      <c r="G12" s="127"/>
      <c r="H12" s="127"/>
      <c r="I12" s="127"/>
      <c r="J12" s="127"/>
      <c r="K12" s="137">
        <v>1322.2</v>
      </c>
      <c r="L12" s="37"/>
      <c r="M12" s="37"/>
      <c r="N12" s="7"/>
    </row>
    <row r="13" spans="1:14">
      <c r="A13" s="102" t="s">
        <v>31</v>
      </c>
      <c r="B13" s="138" t="s">
        <v>113</v>
      </c>
      <c r="C13" s="127" t="s">
        <v>238</v>
      </c>
      <c r="D13" s="135" t="s">
        <v>29</v>
      </c>
      <c r="E13" s="136" t="s">
        <v>30</v>
      </c>
      <c r="F13" s="124"/>
      <c r="G13" s="124"/>
      <c r="H13" s="124"/>
      <c r="I13" s="124"/>
      <c r="J13" s="124"/>
      <c r="K13" s="139">
        <v>621.6</v>
      </c>
      <c r="L13" s="7"/>
      <c r="M13" s="7"/>
      <c r="N13" s="7"/>
    </row>
    <row r="14" spans="1:14">
      <c r="A14" s="102" t="s">
        <v>239</v>
      </c>
      <c r="B14" s="138" t="s">
        <v>240</v>
      </c>
      <c r="C14" s="127" t="s">
        <v>238</v>
      </c>
      <c r="D14" s="135" t="s">
        <v>29</v>
      </c>
      <c r="E14" s="136" t="s">
        <v>30</v>
      </c>
      <c r="F14" s="124"/>
      <c r="G14" s="124"/>
      <c r="H14" s="124"/>
      <c r="I14" s="124"/>
      <c r="J14" s="124"/>
      <c r="K14" s="139">
        <v>266.4</v>
      </c>
      <c r="L14" s="7"/>
      <c r="M14" s="7"/>
      <c r="N14" s="7"/>
    </row>
    <row r="15" spans="1:14" customHeight="1" ht="25.5">
      <c r="A15" s="29" t="s">
        <v>33</v>
      </c>
      <c r="B15" s="140" t="s">
        <v>34</v>
      </c>
      <c r="C15" s="127" t="s">
        <v>238</v>
      </c>
      <c r="D15" s="135" t="s">
        <v>29</v>
      </c>
      <c r="E15" s="136" t="s">
        <v>30</v>
      </c>
      <c r="F15" s="124"/>
      <c r="G15" s="124"/>
      <c r="H15" s="124"/>
      <c r="I15" s="124"/>
      <c r="J15" s="124"/>
      <c r="K15" s="139">
        <v>163.92</v>
      </c>
      <c r="L15" s="7"/>
      <c r="M15" s="7"/>
      <c r="N15" s="7"/>
    </row>
    <row r="16" spans="1:14" customHeight="1" ht="25.5">
      <c r="A16" s="29" t="s">
        <v>241</v>
      </c>
      <c r="B16" s="140" t="s">
        <v>242</v>
      </c>
      <c r="C16" s="127" t="s">
        <v>238</v>
      </c>
      <c r="D16" s="135" t="s">
        <v>29</v>
      </c>
      <c r="E16" s="136" t="s">
        <v>30</v>
      </c>
      <c r="F16" s="124"/>
      <c r="G16" s="124"/>
      <c r="H16" s="124"/>
      <c r="I16" s="124"/>
      <c r="J16" s="124"/>
      <c r="K16" s="139">
        <v>146.72</v>
      </c>
      <c r="L16" s="7"/>
      <c r="M16" s="7"/>
      <c r="N16" s="7"/>
    </row>
    <row r="17" spans="1:14">
      <c r="A17" s="102" t="s">
        <v>114</v>
      </c>
      <c r="B17" s="138" t="s">
        <v>115</v>
      </c>
      <c r="C17" s="127" t="s">
        <v>238</v>
      </c>
      <c r="D17" s="135" t="s">
        <v>29</v>
      </c>
      <c r="E17" s="136" t="s">
        <v>30</v>
      </c>
      <c r="F17" s="124"/>
      <c r="G17" s="124"/>
      <c r="H17" s="124"/>
      <c r="I17" s="124"/>
      <c r="J17" s="124"/>
      <c r="K17" s="141">
        <v>489.84</v>
      </c>
      <c r="L17" s="7"/>
      <c r="M17" s="7"/>
      <c r="N17" s="7"/>
    </row>
    <row r="18" spans="1:14">
      <c r="A18" s="102" t="s">
        <v>35</v>
      </c>
      <c r="B18" s="138" t="s">
        <v>36</v>
      </c>
      <c r="C18" s="127" t="s">
        <v>238</v>
      </c>
      <c r="D18" s="135" t="s">
        <v>29</v>
      </c>
      <c r="E18" s="136" t="s">
        <v>30</v>
      </c>
      <c r="F18" s="124"/>
      <c r="G18" s="124"/>
      <c r="H18" s="124"/>
      <c r="I18" s="124"/>
      <c r="J18" s="124"/>
      <c r="K18" s="141">
        <v>136.24</v>
      </c>
      <c r="L18" s="7"/>
      <c r="M18" s="7"/>
      <c r="N18" s="7"/>
    </row>
    <row r="19" spans="1:14">
      <c r="A19" s="102" t="s">
        <v>37</v>
      </c>
      <c r="B19" s="138" t="s">
        <v>121</v>
      </c>
      <c r="C19" s="127" t="s">
        <v>238</v>
      </c>
      <c r="D19" s="135" t="s">
        <v>29</v>
      </c>
      <c r="E19" s="136" t="s">
        <v>30</v>
      </c>
      <c r="F19" s="124"/>
      <c r="G19" s="124"/>
      <c r="H19" s="124"/>
      <c r="I19" s="124"/>
      <c r="J19" s="124"/>
      <c r="K19" s="141">
        <v>1958.46</v>
      </c>
      <c r="L19" s="7"/>
      <c r="M19" s="7"/>
      <c r="N19" s="7"/>
    </row>
    <row r="20" spans="1:14">
      <c r="A20" s="102" t="s">
        <v>174</v>
      </c>
      <c r="B20" s="138" t="s">
        <v>175</v>
      </c>
      <c r="C20" s="127" t="s">
        <v>238</v>
      </c>
      <c r="D20" s="135" t="s">
        <v>29</v>
      </c>
      <c r="E20" s="136" t="s">
        <v>30</v>
      </c>
      <c r="F20" s="124"/>
      <c r="G20" s="124"/>
      <c r="H20" s="124"/>
      <c r="I20" s="124"/>
      <c r="J20" s="124"/>
      <c r="K20" s="141">
        <v>55.28</v>
      </c>
      <c r="L20" s="7"/>
      <c r="M20" s="7"/>
      <c r="N20" s="7"/>
    </row>
    <row r="21" spans="1:14">
      <c r="A21" s="102" t="s">
        <v>39</v>
      </c>
      <c r="B21" s="138" t="s">
        <v>40</v>
      </c>
      <c r="C21" s="127" t="s">
        <v>238</v>
      </c>
      <c r="D21" s="135" t="s">
        <v>29</v>
      </c>
      <c r="E21" s="136" t="s">
        <v>30</v>
      </c>
      <c r="F21" s="124"/>
      <c r="G21" s="124"/>
      <c r="H21" s="124"/>
      <c r="I21" s="124"/>
      <c r="J21" s="124"/>
      <c r="K21" s="141">
        <v>1441.44</v>
      </c>
      <c r="L21" s="7"/>
      <c r="M21" s="7"/>
      <c r="N21" s="7"/>
    </row>
    <row r="22" spans="1:14">
      <c r="A22" s="102" t="s">
        <v>122</v>
      </c>
      <c r="B22" s="138" t="s">
        <v>123</v>
      </c>
      <c r="C22" s="127" t="s">
        <v>238</v>
      </c>
      <c r="D22" s="135" t="s">
        <v>29</v>
      </c>
      <c r="E22" s="136" t="s">
        <v>30</v>
      </c>
      <c r="F22" s="124"/>
      <c r="G22" s="124"/>
      <c r="H22" s="124"/>
      <c r="I22" s="124"/>
      <c r="J22" s="124"/>
      <c r="K22" s="141">
        <v>85.9</v>
      </c>
      <c r="L22" s="7"/>
      <c r="M22" s="7"/>
      <c r="N22" s="7"/>
    </row>
    <row r="23" spans="1:14">
      <c r="A23" s="102" t="s">
        <v>243</v>
      </c>
      <c r="B23" s="138" t="s">
        <v>244</v>
      </c>
      <c r="C23" s="127" t="s">
        <v>238</v>
      </c>
      <c r="D23" s="135" t="s">
        <v>29</v>
      </c>
      <c r="E23" s="136" t="s">
        <v>30</v>
      </c>
      <c r="F23" s="124"/>
      <c r="G23" s="124"/>
      <c r="H23" s="124"/>
      <c r="I23" s="124"/>
      <c r="J23" s="124"/>
      <c r="K23" s="141">
        <v>245.02</v>
      </c>
      <c r="L23" s="7"/>
      <c r="M23" s="7"/>
      <c r="N23" s="7"/>
    </row>
    <row r="24" spans="1:14">
      <c r="A24" s="102" t="s">
        <v>176</v>
      </c>
      <c r="B24" s="138" t="s">
        <v>177</v>
      </c>
      <c r="C24" s="127" t="s">
        <v>238</v>
      </c>
      <c r="D24" s="135" t="s">
        <v>29</v>
      </c>
      <c r="E24" s="136" t="s">
        <v>30</v>
      </c>
      <c r="F24" s="124"/>
      <c r="G24" s="124"/>
      <c r="H24" s="124"/>
      <c r="I24" s="124"/>
      <c r="J24" s="124"/>
      <c r="K24" s="141">
        <v>106.28</v>
      </c>
      <c r="L24" s="7"/>
      <c r="M24" s="7"/>
      <c r="N24" s="7"/>
    </row>
    <row r="25" spans="1:14">
      <c r="A25" s="102" t="s">
        <v>245</v>
      </c>
      <c r="B25" s="142" t="s">
        <v>246</v>
      </c>
      <c r="C25" s="127" t="s">
        <v>238</v>
      </c>
      <c r="D25" s="135" t="s">
        <v>29</v>
      </c>
      <c r="E25" s="136" t="s">
        <v>30</v>
      </c>
      <c r="F25" s="124"/>
      <c r="G25" s="124"/>
      <c r="H25" s="124"/>
      <c r="I25" s="124"/>
      <c r="J25" s="124"/>
      <c r="K25" s="141">
        <v>31.91</v>
      </c>
      <c r="L25" s="7"/>
      <c r="M25" s="7"/>
      <c r="N25" s="7"/>
    </row>
    <row r="26" spans="1:14">
      <c r="A26" s="102" t="s">
        <v>178</v>
      </c>
      <c r="B26" s="138" t="s">
        <v>179</v>
      </c>
      <c r="C26" s="127" t="s">
        <v>238</v>
      </c>
      <c r="D26" s="135" t="s">
        <v>29</v>
      </c>
      <c r="E26" s="136" t="s">
        <v>30</v>
      </c>
      <c r="F26" s="124"/>
      <c r="G26" s="124"/>
      <c r="H26" s="124"/>
      <c r="I26" s="124"/>
      <c r="J26" s="124"/>
      <c r="K26" s="141">
        <v>86.73</v>
      </c>
      <c r="L26" s="7"/>
      <c r="M26" s="7"/>
      <c r="N26" s="7"/>
    </row>
    <row r="27" spans="1:14">
      <c r="A27" s="102" t="s">
        <v>247</v>
      </c>
      <c r="B27" s="138" t="s">
        <v>248</v>
      </c>
      <c r="C27" s="127" t="s">
        <v>238</v>
      </c>
      <c r="D27" s="135" t="s">
        <v>29</v>
      </c>
      <c r="E27" s="136" t="s">
        <v>30</v>
      </c>
      <c r="F27" s="124"/>
      <c r="G27" s="124"/>
      <c r="H27" s="124"/>
      <c r="I27" s="124"/>
      <c r="J27" s="124"/>
      <c r="K27" s="141">
        <v>238.54</v>
      </c>
      <c r="L27" s="7"/>
      <c r="M27" s="7"/>
      <c r="N27" s="7"/>
    </row>
    <row r="28" spans="1:14">
      <c r="A28" s="102" t="s">
        <v>249</v>
      </c>
      <c r="B28" s="138" t="s">
        <v>250</v>
      </c>
      <c r="C28" s="127" t="s">
        <v>238</v>
      </c>
      <c r="D28" s="135" t="s">
        <v>29</v>
      </c>
      <c r="E28" s="136" t="s">
        <v>30</v>
      </c>
      <c r="F28" s="124"/>
      <c r="G28" s="124"/>
      <c r="H28" s="124"/>
      <c r="I28" s="124"/>
      <c r="J28" s="124"/>
      <c r="K28" s="141">
        <v>149.76</v>
      </c>
      <c r="L28" s="7"/>
      <c r="M28" s="7"/>
      <c r="N28" s="7"/>
    </row>
    <row r="29" spans="1:14">
      <c r="A29" s="102" t="s">
        <v>43</v>
      </c>
      <c r="B29" s="143" t="s">
        <v>44</v>
      </c>
      <c r="C29" s="127" t="s">
        <v>238</v>
      </c>
      <c r="D29" s="135" t="s">
        <v>29</v>
      </c>
      <c r="E29" s="136" t="s">
        <v>30</v>
      </c>
      <c r="F29" s="124"/>
      <c r="G29" s="124"/>
      <c r="H29" s="124"/>
      <c r="I29" s="124"/>
      <c r="J29" s="124"/>
      <c r="K29" s="141">
        <v>70.72</v>
      </c>
      <c r="L29" s="7"/>
      <c r="M29" s="7"/>
      <c r="N29" s="7"/>
    </row>
    <row r="30" spans="1:14">
      <c r="A30" s="102" t="s">
        <v>45</v>
      </c>
      <c r="B30" s="144" t="s">
        <v>46</v>
      </c>
      <c r="C30" s="127" t="s">
        <v>238</v>
      </c>
      <c r="D30" s="135" t="s">
        <v>29</v>
      </c>
      <c r="E30" s="136" t="s">
        <v>30</v>
      </c>
      <c r="F30" s="124"/>
      <c r="G30" s="124"/>
      <c r="H30" s="124"/>
      <c r="I30" s="124"/>
      <c r="J30" s="124"/>
      <c r="K30" s="141">
        <v>237.6</v>
      </c>
      <c r="L30" s="7"/>
      <c r="M30" s="7"/>
      <c r="N30" s="7"/>
    </row>
    <row r="31" spans="1:14">
      <c r="A31" s="102" t="s">
        <v>47</v>
      </c>
      <c r="B31" s="143" t="s">
        <v>48</v>
      </c>
      <c r="C31" s="127" t="s">
        <v>238</v>
      </c>
      <c r="D31" s="135" t="s">
        <v>29</v>
      </c>
      <c r="E31" s="136" t="s">
        <v>30</v>
      </c>
      <c r="F31" s="124"/>
      <c r="G31" s="124"/>
      <c r="H31" s="124"/>
      <c r="I31" s="124"/>
      <c r="J31" s="124"/>
      <c r="K31" s="141">
        <v>134.16</v>
      </c>
      <c r="L31" s="7"/>
      <c r="M31" s="7"/>
      <c r="N31" s="7"/>
    </row>
    <row r="32" spans="1:14">
      <c r="A32" s="102" t="s">
        <v>130</v>
      </c>
      <c r="B32" s="143" t="s">
        <v>131</v>
      </c>
      <c r="C32" s="127" t="s">
        <v>238</v>
      </c>
      <c r="D32" s="135" t="s">
        <v>29</v>
      </c>
      <c r="E32" s="136" t="s">
        <v>30</v>
      </c>
      <c r="F32" s="124"/>
      <c r="G32" s="124"/>
      <c r="H32" s="124"/>
      <c r="I32" s="124"/>
      <c r="J32" s="124"/>
      <c r="K32" s="141">
        <v>180.56</v>
      </c>
      <c r="L32" s="7"/>
      <c r="M32" s="7"/>
      <c r="N32" s="7"/>
    </row>
    <row r="33" spans="1:14">
      <c r="A33" s="102" t="s">
        <v>49</v>
      </c>
      <c r="B33" s="143" t="s">
        <v>50</v>
      </c>
      <c r="C33" s="127" t="s">
        <v>238</v>
      </c>
      <c r="D33" s="135" t="s">
        <v>29</v>
      </c>
      <c r="E33" s="136" t="s">
        <v>30</v>
      </c>
      <c r="F33" s="124"/>
      <c r="G33" s="124"/>
      <c r="H33" s="124"/>
      <c r="I33" s="124"/>
      <c r="J33" s="124"/>
      <c r="K33" s="141">
        <v>33.28</v>
      </c>
      <c r="L33" s="7"/>
      <c r="M33" s="7"/>
      <c r="N33" s="7"/>
    </row>
    <row r="34" spans="1:14">
      <c r="A34" s="102" t="s">
        <v>51</v>
      </c>
      <c r="B34" s="143" t="s">
        <v>52</v>
      </c>
      <c r="C34" s="127" t="s">
        <v>238</v>
      </c>
      <c r="D34" s="135" t="s">
        <v>29</v>
      </c>
      <c r="E34" s="136" t="s">
        <v>30</v>
      </c>
      <c r="F34" s="124"/>
      <c r="G34" s="124"/>
      <c r="H34" s="124"/>
      <c r="I34" s="124"/>
      <c r="J34" s="124"/>
      <c r="K34" s="141">
        <v>1064.96</v>
      </c>
      <c r="L34" s="7"/>
      <c r="M34" s="7"/>
      <c r="N34" s="7"/>
    </row>
    <row r="35" spans="1:14">
      <c r="A35" s="102" t="s">
        <v>55</v>
      </c>
      <c r="B35" s="145" t="s">
        <v>56</v>
      </c>
      <c r="C35" s="127" t="s">
        <v>238</v>
      </c>
      <c r="D35" s="135" t="s">
        <v>29</v>
      </c>
      <c r="E35" s="136" t="s">
        <v>30</v>
      </c>
      <c r="F35" s="124"/>
      <c r="G35" s="124"/>
      <c r="H35" s="124"/>
      <c r="I35" s="124"/>
      <c r="J35" s="124"/>
      <c r="K35" s="141">
        <v>691.8</v>
      </c>
      <c r="L35" s="7"/>
      <c r="M35" s="7"/>
      <c r="N35" s="7"/>
    </row>
    <row r="36" spans="1:14">
      <c r="A36" s="102" t="s">
        <v>184</v>
      </c>
      <c r="B36" s="145" t="s">
        <v>185</v>
      </c>
      <c r="C36" s="127" t="s">
        <v>238</v>
      </c>
      <c r="D36" s="135" t="s">
        <v>29</v>
      </c>
      <c r="E36" s="136" t="s">
        <v>30</v>
      </c>
      <c r="F36" s="124"/>
      <c r="G36" s="124"/>
      <c r="H36" s="124"/>
      <c r="I36" s="124"/>
      <c r="J36" s="124"/>
      <c r="K36" s="141">
        <v>308.8</v>
      </c>
      <c r="L36" s="7"/>
      <c r="M36" s="7"/>
      <c r="N36" s="7"/>
    </row>
    <row r="37" spans="1:14">
      <c r="A37" s="102" t="s">
        <v>188</v>
      </c>
      <c r="B37" s="143" t="s">
        <v>189</v>
      </c>
      <c r="C37" s="127" t="s">
        <v>238</v>
      </c>
      <c r="D37" s="135" t="s">
        <v>29</v>
      </c>
      <c r="E37" s="136" t="s">
        <v>30</v>
      </c>
      <c r="F37" s="124"/>
      <c r="G37" s="124"/>
      <c r="H37" s="124"/>
      <c r="I37" s="124"/>
      <c r="J37" s="124"/>
      <c r="K37" s="141">
        <v>432.52</v>
      </c>
      <c r="L37" s="7"/>
      <c r="M37" s="7"/>
      <c r="N37" s="7"/>
    </row>
    <row r="38" spans="1:14">
      <c r="A38" s="102" t="s">
        <v>139</v>
      </c>
      <c r="B38" s="143" t="s">
        <v>140</v>
      </c>
      <c r="C38" s="127" t="s">
        <v>238</v>
      </c>
      <c r="D38" s="135" t="s">
        <v>29</v>
      </c>
      <c r="E38" s="136" t="s">
        <v>30</v>
      </c>
      <c r="F38" s="124"/>
      <c r="G38" s="124"/>
      <c r="H38" s="124"/>
      <c r="I38" s="124"/>
      <c r="J38" s="124"/>
      <c r="K38" s="141">
        <v>22.82</v>
      </c>
      <c r="L38" s="7"/>
      <c r="M38" s="7"/>
      <c r="N38" s="7"/>
    </row>
    <row r="39" spans="1:14">
      <c r="A39" s="102" t="s">
        <v>58</v>
      </c>
      <c r="B39" s="143" t="s">
        <v>59</v>
      </c>
      <c r="C39" s="127" t="s">
        <v>238</v>
      </c>
      <c r="D39" s="135" t="s">
        <v>29</v>
      </c>
      <c r="E39" s="136" t="s">
        <v>30</v>
      </c>
      <c r="F39" s="124"/>
      <c r="G39" s="124"/>
      <c r="H39" s="124"/>
      <c r="I39" s="124"/>
      <c r="J39" s="124"/>
      <c r="K39" s="141">
        <v>946.4</v>
      </c>
      <c r="L39" s="7"/>
      <c r="M39" s="7"/>
      <c r="N39" s="7"/>
    </row>
    <row r="40" spans="1:14">
      <c r="A40" s="102" t="s">
        <v>251</v>
      </c>
      <c r="B40" s="143" t="s">
        <v>252</v>
      </c>
      <c r="C40" s="127" t="s">
        <v>238</v>
      </c>
      <c r="D40" s="135" t="s">
        <v>29</v>
      </c>
      <c r="E40" s="136" t="s">
        <v>30</v>
      </c>
      <c r="F40" s="124"/>
      <c r="G40" s="124"/>
      <c r="H40" s="124"/>
      <c r="I40" s="124"/>
      <c r="J40" s="124"/>
      <c r="K40" s="141">
        <v>111.3</v>
      </c>
      <c r="L40" s="7"/>
      <c r="M40" s="7"/>
      <c r="N40" s="7"/>
    </row>
    <row r="41" spans="1:14">
      <c r="A41" s="102" t="s">
        <v>253</v>
      </c>
      <c r="B41" s="143" t="s">
        <v>254</v>
      </c>
      <c r="C41" s="127" t="s">
        <v>238</v>
      </c>
      <c r="D41" s="135" t="s">
        <v>29</v>
      </c>
      <c r="E41" s="136" t="s">
        <v>30</v>
      </c>
      <c r="F41" s="124"/>
      <c r="G41" s="124"/>
      <c r="H41" s="124"/>
      <c r="I41" s="124"/>
      <c r="J41" s="124"/>
      <c r="K41" s="141">
        <v>142.3</v>
      </c>
      <c r="L41" s="7"/>
      <c r="M41" s="7"/>
      <c r="N41" s="7"/>
    </row>
    <row r="42" spans="1:14">
      <c r="A42" s="102" t="s">
        <v>255</v>
      </c>
      <c r="B42" s="143" t="s">
        <v>256</v>
      </c>
      <c r="C42" s="127" t="s">
        <v>238</v>
      </c>
      <c r="D42" s="135" t="s">
        <v>29</v>
      </c>
      <c r="E42" s="136" t="s">
        <v>30</v>
      </c>
      <c r="F42" s="124"/>
      <c r="G42" s="124"/>
      <c r="H42" s="124"/>
      <c r="I42" s="124"/>
      <c r="J42" s="124"/>
      <c r="K42" s="141">
        <v>146.64</v>
      </c>
      <c r="L42" s="7"/>
      <c r="M42" s="7"/>
      <c r="N42" s="7"/>
    </row>
    <row r="43" spans="1:14">
      <c r="A43" s="102" t="s">
        <v>64</v>
      </c>
      <c r="B43" s="143" t="s">
        <v>65</v>
      </c>
      <c r="C43" s="127" t="s">
        <v>238</v>
      </c>
      <c r="D43" s="135" t="s">
        <v>29</v>
      </c>
      <c r="E43" s="136" t="s">
        <v>30</v>
      </c>
      <c r="F43" s="124"/>
      <c r="G43" s="124"/>
      <c r="H43" s="124"/>
      <c r="I43" s="124"/>
      <c r="J43" s="124"/>
      <c r="K43" s="141">
        <v>44.82</v>
      </c>
      <c r="L43" s="7"/>
      <c r="M43" s="7"/>
      <c r="N43" s="7"/>
    </row>
    <row r="44" spans="1:14">
      <c r="A44" s="102" t="s">
        <v>257</v>
      </c>
      <c r="B44" s="143" t="s">
        <v>258</v>
      </c>
      <c r="C44" s="127" t="s">
        <v>238</v>
      </c>
      <c r="D44" s="135" t="s">
        <v>29</v>
      </c>
      <c r="E44" s="136" t="s">
        <v>30</v>
      </c>
      <c r="F44" s="124"/>
      <c r="G44" s="124"/>
      <c r="H44" s="124"/>
      <c r="I44" s="124"/>
      <c r="J44" s="124"/>
      <c r="K44" s="141">
        <v>29.88</v>
      </c>
      <c r="L44" s="7"/>
      <c r="M44" s="7"/>
      <c r="N44" s="7"/>
    </row>
    <row r="45" spans="1:14">
      <c r="A45" s="102" t="s">
        <v>145</v>
      </c>
      <c r="B45" s="143" t="s">
        <v>146</v>
      </c>
      <c r="C45" s="127" t="s">
        <v>238</v>
      </c>
      <c r="D45" s="135" t="s">
        <v>29</v>
      </c>
      <c r="E45" s="136" t="s">
        <v>30</v>
      </c>
      <c r="F45" s="124"/>
      <c r="G45" s="124"/>
      <c r="H45" s="124"/>
      <c r="I45" s="124"/>
      <c r="J45" s="124"/>
      <c r="K45" s="141">
        <v>96.5</v>
      </c>
      <c r="L45" s="7"/>
      <c r="M45" s="7"/>
      <c r="N45" s="7"/>
    </row>
    <row r="46" spans="1:14">
      <c r="A46" s="102" t="s">
        <v>66</v>
      </c>
      <c r="B46" s="143" t="s">
        <v>67</v>
      </c>
      <c r="C46" s="127" t="s">
        <v>238</v>
      </c>
      <c r="D46" s="135" t="s">
        <v>29</v>
      </c>
      <c r="E46" s="136" t="s">
        <v>30</v>
      </c>
      <c r="F46" s="124"/>
      <c r="G46" s="124"/>
      <c r="H46" s="124"/>
      <c r="I46" s="124"/>
      <c r="J46" s="124"/>
      <c r="K46" s="141">
        <v>88.2</v>
      </c>
      <c r="L46" s="7"/>
      <c r="M46" s="7"/>
      <c r="N46" s="7"/>
    </row>
    <row r="47" spans="1:14">
      <c r="A47" s="102" t="s">
        <v>68</v>
      </c>
      <c r="B47" s="143" t="s">
        <v>69</v>
      </c>
      <c r="C47" s="127" t="s">
        <v>238</v>
      </c>
      <c r="D47" s="135" t="s">
        <v>29</v>
      </c>
      <c r="E47" s="136" t="s">
        <v>30</v>
      </c>
      <c r="F47" s="124"/>
      <c r="G47" s="124"/>
      <c r="H47" s="124"/>
      <c r="I47" s="124"/>
      <c r="J47" s="124"/>
      <c r="K47" s="141">
        <v>110.24</v>
      </c>
      <c r="L47" s="7"/>
      <c r="M47" s="7"/>
      <c r="N47" s="7"/>
    </row>
    <row r="48" spans="1:14" customHeight="1" ht="25.5">
      <c r="A48" s="102" t="s">
        <v>147</v>
      </c>
      <c r="B48" s="143" t="s">
        <v>148</v>
      </c>
      <c r="C48" s="127" t="s">
        <v>238</v>
      </c>
      <c r="D48" s="135" t="s">
        <v>29</v>
      </c>
      <c r="E48" s="136" t="s">
        <v>30</v>
      </c>
      <c r="F48" s="124"/>
      <c r="G48" s="124"/>
      <c r="H48" s="124"/>
      <c r="I48" s="124"/>
      <c r="J48" s="124"/>
      <c r="K48" s="141">
        <v>311.85</v>
      </c>
      <c r="L48" s="7"/>
      <c r="M48" s="7"/>
      <c r="N48" s="7"/>
    </row>
    <row r="49" spans="1:14">
      <c r="A49" s="102" t="s">
        <v>259</v>
      </c>
      <c r="B49" s="143" t="s">
        <v>260</v>
      </c>
      <c r="C49" s="127" t="s">
        <v>238</v>
      </c>
      <c r="D49" s="135" t="s">
        <v>29</v>
      </c>
      <c r="E49" s="136" t="s">
        <v>30</v>
      </c>
      <c r="F49" s="124"/>
      <c r="G49" s="124"/>
      <c r="H49" s="124"/>
      <c r="I49" s="124"/>
      <c r="J49" s="124"/>
      <c r="K49" s="141">
        <v>212.87</v>
      </c>
      <c r="L49" s="7"/>
      <c r="M49" s="7"/>
      <c r="N49" s="7"/>
    </row>
    <row r="50" spans="1:14">
      <c r="A50" s="102" t="s">
        <v>70</v>
      </c>
      <c r="B50" s="143" t="s">
        <v>71</v>
      </c>
      <c r="C50" s="127" t="s">
        <v>238</v>
      </c>
      <c r="D50" s="135" t="s">
        <v>29</v>
      </c>
      <c r="E50" s="136" t="s">
        <v>30</v>
      </c>
      <c r="F50" s="124"/>
      <c r="G50" s="124"/>
      <c r="H50" s="124"/>
      <c r="I50" s="124"/>
      <c r="J50" s="124"/>
      <c r="K50" s="141">
        <v>301.6</v>
      </c>
      <c r="L50" s="7"/>
      <c r="M50" s="7"/>
      <c r="N50" s="7"/>
    </row>
    <row r="51" spans="1:14">
      <c r="A51" s="102" t="s">
        <v>261</v>
      </c>
      <c r="B51" s="143" t="s">
        <v>262</v>
      </c>
      <c r="C51" s="127" t="s">
        <v>238</v>
      </c>
      <c r="D51" s="135" t="s">
        <v>29</v>
      </c>
      <c r="E51" s="136" t="s">
        <v>30</v>
      </c>
      <c r="F51" s="124"/>
      <c r="G51" s="124"/>
      <c r="H51" s="124"/>
      <c r="I51" s="124"/>
      <c r="J51" s="124"/>
      <c r="K51" s="141">
        <v>274.23</v>
      </c>
      <c r="L51" s="7"/>
      <c r="M51" s="7"/>
      <c r="N51" s="7"/>
    </row>
    <row r="52" spans="1:14">
      <c r="A52" s="102" t="s">
        <v>263</v>
      </c>
      <c r="B52" s="143" t="s">
        <v>264</v>
      </c>
      <c r="C52" s="127" t="s">
        <v>238</v>
      </c>
      <c r="D52" s="135" t="s">
        <v>29</v>
      </c>
      <c r="E52" s="136" t="s">
        <v>30</v>
      </c>
      <c r="F52" s="124"/>
      <c r="G52" s="124"/>
      <c r="H52" s="124"/>
      <c r="I52" s="124"/>
      <c r="J52" s="124"/>
      <c r="K52" s="141">
        <v>405.6</v>
      </c>
      <c r="L52" s="7"/>
      <c r="M52" s="7"/>
      <c r="N52" s="7"/>
    </row>
    <row r="53" spans="1:14">
      <c r="A53" s="102" t="s">
        <v>72</v>
      </c>
      <c r="B53" s="143" t="s">
        <v>73</v>
      </c>
      <c r="C53" s="127" t="s">
        <v>238</v>
      </c>
      <c r="D53" s="135" t="s">
        <v>29</v>
      </c>
      <c r="E53" s="136" t="s">
        <v>30</v>
      </c>
      <c r="F53" s="124"/>
      <c r="G53" s="124"/>
      <c r="H53" s="124"/>
      <c r="I53" s="124"/>
      <c r="J53" s="124"/>
      <c r="K53" s="141">
        <v>159.68</v>
      </c>
      <c r="L53" s="7"/>
      <c r="M53" s="7"/>
      <c r="N53" s="7"/>
    </row>
    <row r="54" spans="1:14">
      <c r="A54" s="102" t="s">
        <v>190</v>
      </c>
      <c r="B54" s="143" t="s">
        <v>191</v>
      </c>
      <c r="C54" s="127" t="s">
        <v>238</v>
      </c>
      <c r="D54" s="135" t="s">
        <v>29</v>
      </c>
      <c r="E54" s="136" t="s">
        <v>30</v>
      </c>
      <c r="F54" s="124"/>
      <c r="G54" s="124"/>
      <c r="H54" s="124"/>
      <c r="I54" s="124"/>
      <c r="J54" s="124"/>
      <c r="K54" s="141">
        <v>133.48</v>
      </c>
      <c r="L54" s="7"/>
      <c r="M54" s="7"/>
      <c r="N54" s="7"/>
    </row>
    <row r="55" spans="1:14">
      <c r="A55" s="102" t="s">
        <v>74</v>
      </c>
      <c r="B55" s="143" t="s">
        <v>75</v>
      </c>
      <c r="C55" s="127" t="s">
        <v>238</v>
      </c>
      <c r="D55" s="135" t="s">
        <v>29</v>
      </c>
      <c r="E55" s="136" t="s">
        <v>30</v>
      </c>
      <c r="F55" s="124"/>
      <c r="G55" s="124"/>
      <c r="H55" s="124"/>
      <c r="I55" s="124"/>
      <c r="J55" s="124"/>
      <c r="K55" s="141">
        <v>582.4</v>
      </c>
      <c r="L55" s="7"/>
      <c r="M55" s="7"/>
      <c r="N55" s="7"/>
    </row>
    <row r="56" spans="1:14">
      <c r="A56" s="102" t="s">
        <v>265</v>
      </c>
      <c r="B56" s="143" t="s">
        <v>266</v>
      </c>
      <c r="C56" s="127" t="s">
        <v>238</v>
      </c>
      <c r="D56" s="135" t="s">
        <v>29</v>
      </c>
      <c r="E56" s="136" t="s">
        <v>30</v>
      </c>
      <c r="F56" s="124"/>
      <c r="G56" s="124"/>
      <c r="H56" s="124"/>
      <c r="I56" s="124"/>
      <c r="J56" s="124"/>
      <c r="K56" s="141">
        <v>83.61</v>
      </c>
      <c r="L56" s="7"/>
      <c r="M56" s="7"/>
      <c r="N56" s="7"/>
    </row>
    <row r="57" spans="1:14">
      <c r="A57" s="102" t="s">
        <v>149</v>
      </c>
      <c r="B57" s="143" t="s">
        <v>150</v>
      </c>
      <c r="C57" s="127" t="s">
        <v>238</v>
      </c>
      <c r="D57" s="135" t="s">
        <v>29</v>
      </c>
      <c r="E57" s="136" t="s">
        <v>30</v>
      </c>
      <c r="F57" s="124"/>
      <c r="G57" s="124"/>
      <c r="H57" s="124"/>
      <c r="I57" s="124"/>
      <c r="J57" s="124"/>
      <c r="K57" s="141">
        <v>72.8</v>
      </c>
      <c r="L57" s="7"/>
      <c r="M57" s="7"/>
      <c r="N57" s="7"/>
    </row>
    <row r="58" spans="1:14">
      <c r="A58" s="102" t="s">
        <v>76</v>
      </c>
      <c r="B58" s="143" t="s">
        <v>77</v>
      </c>
      <c r="C58" s="127" t="s">
        <v>238</v>
      </c>
      <c r="D58" s="135" t="s">
        <v>29</v>
      </c>
      <c r="E58" s="136" t="s">
        <v>30</v>
      </c>
      <c r="F58" s="124"/>
      <c r="G58" s="124"/>
      <c r="H58" s="124"/>
      <c r="I58" s="124"/>
      <c r="J58" s="124"/>
      <c r="K58" s="141">
        <v>148.24</v>
      </c>
      <c r="L58" s="7"/>
      <c r="M58" s="7"/>
      <c r="N58" s="7"/>
    </row>
    <row r="59" spans="1:14">
      <c r="A59" s="102" t="s">
        <v>192</v>
      </c>
      <c r="B59" s="143" t="s">
        <v>193</v>
      </c>
      <c r="C59" s="127" t="s">
        <v>238</v>
      </c>
      <c r="D59" s="135" t="s">
        <v>29</v>
      </c>
      <c r="E59" s="136" t="s">
        <v>30</v>
      </c>
      <c r="F59" s="124"/>
      <c r="G59" s="124"/>
      <c r="H59" s="124"/>
      <c r="I59" s="124"/>
      <c r="J59" s="124"/>
      <c r="K59" s="141">
        <v>237.12</v>
      </c>
      <c r="L59" s="7"/>
      <c r="M59" s="7"/>
      <c r="N59" s="7"/>
    </row>
    <row r="60" spans="1:14">
      <c r="A60" s="102" t="s">
        <v>267</v>
      </c>
      <c r="B60" s="143" t="s">
        <v>268</v>
      </c>
      <c r="C60" s="127" t="s">
        <v>238</v>
      </c>
      <c r="D60" s="135" t="s">
        <v>29</v>
      </c>
      <c r="E60" s="136" t="s">
        <v>30</v>
      </c>
      <c r="F60" s="124"/>
      <c r="G60" s="124"/>
      <c r="H60" s="124"/>
      <c r="I60" s="124"/>
      <c r="J60" s="124"/>
      <c r="K60" s="141">
        <v>96.32</v>
      </c>
      <c r="L60" s="7"/>
      <c r="M60" s="7"/>
      <c r="N60" s="7"/>
    </row>
    <row r="61" spans="1:14">
      <c r="A61" s="102" t="s">
        <v>269</v>
      </c>
      <c r="B61" s="143" t="s">
        <v>270</v>
      </c>
      <c r="C61" s="127" t="s">
        <v>238</v>
      </c>
      <c r="D61" s="135" t="s">
        <v>29</v>
      </c>
      <c r="E61" s="136" t="s">
        <v>30</v>
      </c>
      <c r="F61" s="124"/>
      <c r="G61" s="124"/>
      <c r="H61" s="124"/>
      <c r="I61" s="124"/>
      <c r="J61" s="124"/>
      <c r="K61" s="141">
        <v>1987.8</v>
      </c>
      <c r="L61" s="7"/>
      <c r="M61" s="7"/>
      <c r="N61" s="7"/>
    </row>
    <row r="62" spans="1:14">
      <c r="A62" s="102" t="s">
        <v>78</v>
      </c>
      <c r="B62" s="143" t="s">
        <v>79</v>
      </c>
      <c r="C62" s="127" t="s">
        <v>238</v>
      </c>
      <c r="D62" s="135" t="s">
        <v>29</v>
      </c>
      <c r="E62" s="136" t="s">
        <v>30</v>
      </c>
      <c r="F62" s="124"/>
      <c r="G62" s="124"/>
      <c r="H62" s="124"/>
      <c r="I62" s="124"/>
      <c r="J62" s="124"/>
      <c r="K62" s="141">
        <v>3783.6</v>
      </c>
      <c r="L62" s="7"/>
      <c r="M62" s="7"/>
      <c r="N62" s="7"/>
    </row>
    <row r="63" spans="1:14">
      <c r="A63" s="102" t="s">
        <v>271</v>
      </c>
      <c r="B63" s="143" t="s">
        <v>272</v>
      </c>
      <c r="C63" s="127" t="s">
        <v>238</v>
      </c>
      <c r="D63" s="135" t="s">
        <v>29</v>
      </c>
      <c r="E63" s="136" t="s">
        <v>30</v>
      </c>
      <c r="F63" s="124"/>
      <c r="G63" s="124"/>
      <c r="H63" s="124"/>
      <c r="I63" s="124"/>
      <c r="J63" s="124"/>
      <c r="K63" s="141">
        <v>137.74</v>
      </c>
      <c r="L63" s="7"/>
      <c r="M63" s="7"/>
      <c r="N63" s="7"/>
    </row>
    <row r="64" spans="1:14">
      <c r="A64" s="102" t="s">
        <v>80</v>
      </c>
      <c r="B64" s="143" t="s">
        <v>81</v>
      </c>
      <c r="C64" s="127" t="s">
        <v>238</v>
      </c>
      <c r="D64" s="135" t="s">
        <v>29</v>
      </c>
      <c r="E64" s="136" t="s">
        <v>30</v>
      </c>
      <c r="F64" s="124"/>
      <c r="G64" s="124"/>
      <c r="H64" s="124"/>
      <c r="I64" s="124"/>
      <c r="J64" s="124"/>
      <c r="K64" s="141">
        <v>249.6</v>
      </c>
      <c r="L64" s="7"/>
      <c r="M64" s="7"/>
      <c r="N64" s="7"/>
    </row>
    <row r="65" spans="1:14">
      <c r="A65" s="102" t="s">
        <v>82</v>
      </c>
      <c r="B65" s="143" t="s">
        <v>83</v>
      </c>
      <c r="C65" s="127" t="s">
        <v>238</v>
      </c>
      <c r="D65" s="135" t="s">
        <v>29</v>
      </c>
      <c r="E65" s="136" t="s">
        <v>30</v>
      </c>
      <c r="F65" s="124"/>
      <c r="G65" s="124"/>
      <c r="H65" s="124"/>
      <c r="I65" s="124"/>
      <c r="J65" s="124"/>
      <c r="K65" s="141">
        <v>416</v>
      </c>
      <c r="L65" s="7"/>
      <c r="M65" s="7"/>
      <c r="N65" s="7"/>
    </row>
    <row r="66" spans="1:14">
      <c r="A66" s="102" t="s">
        <v>84</v>
      </c>
      <c r="B66" s="143" t="s">
        <v>85</v>
      </c>
      <c r="C66" s="127" t="s">
        <v>238</v>
      </c>
      <c r="D66" s="135" t="s">
        <v>29</v>
      </c>
      <c r="E66" s="136" t="s">
        <v>30</v>
      </c>
      <c r="F66" s="124"/>
      <c r="G66" s="124"/>
      <c r="H66" s="124"/>
      <c r="I66" s="124"/>
      <c r="J66" s="124"/>
      <c r="K66" s="141">
        <v>1035.84</v>
      </c>
      <c r="L66" s="7"/>
      <c r="M66" s="7"/>
      <c r="N66" s="7"/>
    </row>
    <row r="67" spans="1:14">
      <c r="A67" s="102" t="s">
        <v>273</v>
      </c>
      <c r="B67" s="143" t="s">
        <v>274</v>
      </c>
      <c r="C67" s="127" t="s">
        <v>238</v>
      </c>
      <c r="D67" s="135" t="s">
        <v>29</v>
      </c>
      <c r="E67" s="136" t="s">
        <v>30</v>
      </c>
      <c r="F67" s="124"/>
      <c r="G67" s="124"/>
      <c r="H67" s="124"/>
      <c r="I67" s="124"/>
      <c r="J67" s="124"/>
      <c r="K67" s="141">
        <v>80.85</v>
      </c>
      <c r="L67" s="7"/>
      <c r="M67" s="7"/>
      <c r="N67" s="7"/>
    </row>
    <row r="68" spans="1:14">
      <c r="A68" s="146"/>
      <c r="B68" s="145" t="s">
        <v>275</v>
      </c>
      <c r="C68" s="127" t="s">
        <v>238</v>
      </c>
      <c r="D68" s="135" t="s">
        <v>29</v>
      </c>
      <c r="E68" s="136" t="s">
        <v>30</v>
      </c>
      <c r="F68" s="124"/>
      <c r="G68" s="124"/>
      <c r="H68" s="124"/>
      <c r="I68" s="124"/>
      <c r="J68" s="124"/>
      <c r="K68" s="141">
        <v>7650</v>
      </c>
      <c r="L68" s="7"/>
      <c r="M68" s="7"/>
      <c r="N68" s="7"/>
    </row>
    <row r="69" spans="1:14">
      <c r="A69" s="147"/>
      <c r="B69" s="148" t="s">
        <v>276</v>
      </c>
      <c r="C69" s="127" t="s">
        <v>238</v>
      </c>
      <c r="D69" s="135" t="s">
        <v>29</v>
      </c>
      <c r="E69" s="136" t="s">
        <v>30</v>
      </c>
      <c r="F69" s="124"/>
      <c r="G69" s="124"/>
      <c r="H69" s="124"/>
      <c r="I69" s="124"/>
      <c r="J69" s="124"/>
      <c r="K69" s="141">
        <v>3980</v>
      </c>
      <c r="L69" s="7"/>
      <c r="M69" s="7"/>
      <c r="N69" s="7"/>
    </row>
    <row r="70" spans="1:14">
      <c r="A70" s="147"/>
      <c r="B70" s="148" t="s">
        <v>277</v>
      </c>
      <c r="C70" s="127" t="s">
        <v>238</v>
      </c>
      <c r="D70" s="135" t="s">
        <v>29</v>
      </c>
      <c r="E70" s="136" t="s">
        <v>30</v>
      </c>
      <c r="F70" s="124"/>
      <c r="G70" s="124"/>
      <c r="H70" s="124"/>
      <c r="I70" s="124"/>
      <c r="J70" s="124"/>
      <c r="K70" s="141">
        <v>1592</v>
      </c>
      <c r="L70" s="7"/>
      <c r="M70" s="7"/>
      <c r="N70" s="7"/>
    </row>
    <row r="71" spans="1:14">
      <c r="A71" s="147"/>
      <c r="B71" s="148" t="s">
        <v>278</v>
      </c>
      <c r="C71" s="127" t="s">
        <v>238</v>
      </c>
      <c r="D71" s="135" t="s">
        <v>29</v>
      </c>
      <c r="E71" s="136" t="s">
        <v>30</v>
      </c>
      <c r="F71" s="124"/>
      <c r="G71" s="124"/>
      <c r="H71" s="124"/>
      <c r="I71" s="124"/>
      <c r="J71" s="124"/>
      <c r="K71" s="141">
        <v>1592</v>
      </c>
      <c r="L71" s="7"/>
      <c r="M71" s="7"/>
      <c r="N71" s="7"/>
    </row>
    <row r="72" spans="1:14">
      <c r="A72" s="147"/>
      <c r="B72" s="148" t="s">
        <v>279</v>
      </c>
      <c r="C72" s="127" t="s">
        <v>238</v>
      </c>
      <c r="D72" s="135" t="s">
        <v>29</v>
      </c>
      <c r="E72" s="136" t="s">
        <v>30</v>
      </c>
      <c r="F72" s="124"/>
      <c r="G72" s="124"/>
      <c r="H72" s="124"/>
      <c r="I72" s="124"/>
      <c r="J72" s="124"/>
      <c r="K72" s="141">
        <v>1592</v>
      </c>
      <c r="L72" s="7"/>
      <c r="M72" s="7"/>
      <c r="N72" s="7"/>
    </row>
    <row r="73" spans="1:14">
      <c r="A73" s="147"/>
      <c r="B73" s="148" t="s">
        <v>280</v>
      </c>
      <c r="C73" s="127" t="s">
        <v>238</v>
      </c>
      <c r="D73" s="135" t="s">
        <v>29</v>
      </c>
      <c r="E73" s="136" t="s">
        <v>30</v>
      </c>
      <c r="F73" s="124"/>
      <c r="G73" s="124"/>
      <c r="H73" s="124"/>
      <c r="I73" s="124"/>
      <c r="J73" s="124"/>
      <c r="K73" s="141">
        <v>190</v>
      </c>
      <c r="L73" s="7"/>
      <c r="M73" s="7"/>
      <c r="N73" s="7"/>
    </row>
    <row r="74" spans="1:14">
      <c r="A74" s="147"/>
      <c r="B74" s="148" t="s">
        <v>281</v>
      </c>
      <c r="C74" s="127" t="s">
        <v>238</v>
      </c>
      <c r="D74" s="135" t="s">
        <v>29</v>
      </c>
      <c r="E74" s="136" t="s">
        <v>30</v>
      </c>
      <c r="F74" s="124"/>
      <c r="G74" s="124"/>
      <c r="H74" s="124"/>
      <c r="I74" s="124"/>
      <c r="J74" s="124"/>
      <c r="K74" s="141">
        <v>125</v>
      </c>
      <c r="L74" s="7"/>
      <c r="M74" s="7"/>
      <c r="N74" s="7"/>
    </row>
    <row r="75" spans="1:14">
      <c r="A75" s="147"/>
      <c r="B75" s="148" t="s">
        <v>282</v>
      </c>
      <c r="C75" s="127" t="s">
        <v>238</v>
      </c>
      <c r="D75" s="135" t="s">
        <v>29</v>
      </c>
      <c r="E75" s="136" t="s">
        <v>30</v>
      </c>
      <c r="F75" s="124"/>
      <c r="G75" s="124"/>
      <c r="H75" s="124"/>
      <c r="I75" s="124"/>
      <c r="J75" s="124"/>
      <c r="K75" s="141">
        <v>315</v>
      </c>
      <c r="L75" s="7"/>
      <c r="M75" s="7"/>
      <c r="N75" s="7"/>
    </row>
    <row r="76" spans="1:14">
      <c r="A76" s="147"/>
      <c r="B76" s="148" t="s">
        <v>283</v>
      </c>
      <c r="C76" s="127" t="s">
        <v>238</v>
      </c>
      <c r="D76" s="135" t="s">
        <v>29</v>
      </c>
      <c r="E76" s="136" t="s">
        <v>30</v>
      </c>
      <c r="F76" s="124"/>
      <c r="G76" s="124"/>
      <c r="H76" s="124"/>
      <c r="I76" s="124"/>
      <c r="J76" s="124"/>
      <c r="K76" s="141">
        <v>180</v>
      </c>
      <c r="L76" s="7"/>
      <c r="M76" s="7"/>
      <c r="N76" s="7"/>
    </row>
    <row r="77" spans="1:14">
      <c r="A77" s="147"/>
      <c r="B77" s="148" t="s">
        <v>284</v>
      </c>
      <c r="C77" s="127" t="s">
        <v>238</v>
      </c>
      <c r="D77" s="135" t="s">
        <v>29</v>
      </c>
      <c r="E77" s="136" t="s">
        <v>30</v>
      </c>
      <c r="F77" s="124"/>
      <c r="G77" s="124"/>
      <c r="H77" s="124"/>
      <c r="I77" s="124"/>
      <c r="J77" s="124"/>
      <c r="K77" s="141">
        <v>500</v>
      </c>
      <c r="L77" s="7"/>
      <c r="M77" s="7"/>
      <c r="N77" s="7"/>
    </row>
    <row r="78" spans="1:14">
      <c r="A78" s="120"/>
      <c r="B78" s="148" t="s">
        <v>285</v>
      </c>
      <c r="C78" s="127" t="s">
        <v>238</v>
      </c>
      <c r="D78" s="135" t="s">
        <v>29</v>
      </c>
      <c r="E78" s="136" t="s">
        <v>30</v>
      </c>
      <c r="F78" s="124"/>
      <c r="G78" s="124"/>
      <c r="H78" s="124"/>
      <c r="I78" s="124"/>
      <c r="J78" s="124"/>
      <c r="K78" s="141">
        <v>130</v>
      </c>
      <c r="L78" s="7"/>
      <c r="M78" s="7"/>
      <c r="N78" s="7"/>
    </row>
    <row r="79" spans="1:14">
      <c r="A79" s="120"/>
      <c r="B79" s="148" t="s">
        <v>286</v>
      </c>
      <c r="C79" s="127" t="s">
        <v>238</v>
      </c>
      <c r="D79" s="135" t="s">
        <v>29</v>
      </c>
      <c r="E79" s="136" t="s">
        <v>30</v>
      </c>
      <c r="F79" s="124"/>
      <c r="G79" s="124"/>
      <c r="H79" s="124"/>
      <c r="I79" s="124"/>
      <c r="J79" s="124"/>
      <c r="K79" s="141">
        <v>400</v>
      </c>
      <c r="L79" s="7"/>
      <c r="M79" s="7"/>
      <c r="N79" s="7"/>
    </row>
    <row r="80" spans="1:14">
      <c r="A80" s="120"/>
      <c r="B80" s="148" t="s">
        <v>287</v>
      </c>
      <c r="C80" s="127" t="s">
        <v>238</v>
      </c>
      <c r="D80" s="135" t="s">
        <v>29</v>
      </c>
      <c r="E80" s="136" t="s">
        <v>30</v>
      </c>
      <c r="F80" s="124"/>
      <c r="G80" s="124"/>
      <c r="H80" s="124"/>
      <c r="I80" s="124"/>
      <c r="J80" s="124"/>
      <c r="K80" s="141">
        <v>160</v>
      </c>
      <c r="L80" s="7"/>
      <c r="M80" s="7"/>
      <c r="N80" s="7"/>
    </row>
    <row r="81" spans="1:14">
      <c r="A81" s="120"/>
      <c r="B81" s="148" t="s">
        <v>288</v>
      </c>
      <c r="C81" s="127" t="s">
        <v>238</v>
      </c>
      <c r="D81" s="135" t="s">
        <v>29</v>
      </c>
      <c r="E81" s="136" t="s">
        <v>30</v>
      </c>
      <c r="F81" s="124"/>
      <c r="G81" s="124"/>
      <c r="H81" s="124"/>
      <c r="I81" s="124"/>
      <c r="J81" s="124"/>
      <c r="K81" s="141">
        <v>1050</v>
      </c>
      <c r="L81" s="7"/>
      <c r="M81" s="7"/>
      <c r="N81" s="7"/>
    </row>
    <row r="82" spans="1:14">
      <c r="A82" s="120"/>
      <c r="B82" s="148" t="s">
        <v>289</v>
      </c>
      <c r="C82" s="127" t="s">
        <v>238</v>
      </c>
      <c r="D82" s="135" t="s">
        <v>29</v>
      </c>
      <c r="E82" s="136" t="s">
        <v>30</v>
      </c>
      <c r="F82" s="124"/>
      <c r="G82" s="124"/>
      <c r="H82" s="124"/>
      <c r="I82" s="124"/>
      <c r="J82" s="124"/>
      <c r="K82" s="141">
        <v>140</v>
      </c>
      <c r="L82" s="7"/>
      <c r="M82" s="7"/>
      <c r="N82" s="7"/>
    </row>
    <row r="83" spans="1:14">
      <c r="A83" s="149"/>
      <c r="B83" s="148" t="s">
        <v>290</v>
      </c>
      <c r="C83" s="127" t="s">
        <v>238</v>
      </c>
      <c r="D83" s="135" t="s">
        <v>29</v>
      </c>
      <c r="E83" s="136" t="s">
        <v>30</v>
      </c>
      <c r="F83" s="124"/>
      <c r="G83" s="124"/>
      <c r="H83" s="124"/>
      <c r="I83" s="124"/>
      <c r="J83" s="124"/>
      <c r="K83" s="150">
        <v>720</v>
      </c>
      <c r="L83" s="7"/>
      <c r="M83" s="7"/>
      <c r="N83" s="7"/>
    </row>
    <row r="84" spans="1:14">
      <c r="A84" s="120"/>
      <c r="B84" s="151" t="s">
        <v>291</v>
      </c>
      <c r="C84" s="127" t="s">
        <v>238</v>
      </c>
      <c r="D84" s="135" t="s">
        <v>29</v>
      </c>
      <c r="E84" s="136" t="s">
        <v>30</v>
      </c>
      <c r="F84" s="124"/>
      <c r="G84" s="124"/>
      <c r="H84" s="124"/>
      <c r="I84" s="124"/>
      <c r="J84" s="124"/>
      <c r="K84" s="141">
        <v>354</v>
      </c>
      <c r="L84" s="7"/>
      <c r="M84" s="7"/>
      <c r="N84" s="7"/>
    </row>
    <row r="85" spans="1:14">
      <c r="A85" s="149"/>
      <c r="B85" s="148" t="s">
        <v>292</v>
      </c>
      <c r="C85" s="127" t="s">
        <v>238</v>
      </c>
      <c r="D85" s="135" t="s">
        <v>29</v>
      </c>
      <c r="E85" s="136" t="s">
        <v>30</v>
      </c>
      <c r="F85" s="124"/>
      <c r="G85" s="124"/>
      <c r="H85" s="124"/>
      <c r="I85" s="124"/>
      <c r="J85" s="124"/>
      <c r="K85" s="150">
        <v>140</v>
      </c>
      <c r="L85" s="7"/>
      <c r="M85" s="7"/>
      <c r="N85" s="7"/>
    </row>
    <row r="86" spans="1:14">
      <c r="A86" s="120"/>
      <c r="B86" s="152" t="s">
        <v>293</v>
      </c>
      <c r="C86" s="127" t="s">
        <v>238</v>
      </c>
      <c r="D86" s="135" t="s">
        <v>29</v>
      </c>
      <c r="E86" s="136" t="s">
        <v>30</v>
      </c>
      <c r="F86" s="124"/>
      <c r="G86" s="124"/>
      <c r="H86" s="124"/>
      <c r="I86" s="124"/>
      <c r="J86" s="124"/>
      <c r="K86" s="141">
        <v>1440</v>
      </c>
      <c r="L86" s="7"/>
      <c r="M86" s="7"/>
      <c r="N86" s="7"/>
    </row>
    <row r="87" spans="1:14" customHeight="1" ht="25.5">
      <c r="A87" s="120"/>
      <c r="B87" s="153" t="s">
        <v>294</v>
      </c>
      <c r="C87" s="127" t="s">
        <v>238</v>
      </c>
      <c r="D87" s="135" t="s">
        <v>29</v>
      </c>
      <c r="E87" s="136" t="s">
        <v>30</v>
      </c>
      <c r="F87" s="124"/>
      <c r="G87" s="124"/>
      <c r="H87" s="124"/>
      <c r="I87" s="124"/>
      <c r="J87" s="124"/>
      <c r="K87" s="141">
        <v>4540.097</v>
      </c>
      <c r="L87" s="7"/>
      <c r="M87" s="7"/>
      <c r="N87" s="7"/>
    </row>
    <row r="88" spans="1:14" s="155" customFormat="1">
      <c r="A88" s="35" t="s">
        <v>23</v>
      </c>
      <c r="B88" s="107"/>
      <c r="C88" s="107"/>
      <c r="D88" s="107"/>
      <c r="E88" s="107"/>
      <c r="F88" s="107"/>
      <c r="G88" s="107"/>
      <c r="H88" s="107"/>
      <c r="I88" s="107"/>
      <c r="J88" s="107"/>
      <c r="K88" s="154">
        <f>SUM(K12:K87)</f>
        <v>49941.067</v>
      </c>
      <c r="L88" s="107"/>
      <c r="M88" s="107"/>
      <c r="N88" s="107"/>
    </row>
    <row r="89" spans="1: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7"/>
  <sheetViews>
    <sheetView tabSelected="0" workbookViewId="0" zoomScale="91" zoomScaleNormal="91" showGridLines="true" showRowColHeaders="1">
      <selection activeCell="K37" sqref="K37"/>
    </sheetView>
  </sheetViews>
  <sheetFormatPr defaultRowHeight="14.4" defaultColWidth="20.7109375" outlineLevelRow="0" outlineLevelCol="0"/>
  <cols>
    <col min="1" max="1" width="20.85546875" customWidth="true" style="5"/>
    <col min="2" max="2" width="53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295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45" t="s">
        <v>10</v>
      </c>
      <c r="B10" s="347" t="s">
        <v>11</v>
      </c>
      <c r="C10" s="347" t="s">
        <v>12</v>
      </c>
      <c r="D10" s="349" t="s">
        <v>13</v>
      </c>
      <c r="E10" s="347" t="s">
        <v>14</v>
      </c>
      <c r="F10" s="347" t="s">
        <v>15</v>
      </c>
      <c r="G10" s="347"/>
      <c r="H10" s="347"/>
      <c r="I10" s="347"/>
      <c r="J10" s="347" t="s">
        <v>16</v>
      </c>
      <c r="K10" s="347" t="s">
        <v>17</v>
      </c>
      <c r="L10" s="347"/>
      <c r="M10" s="347"/>
      <c r="N10" s="342" t="s">
        <v>18</v>
      </c>
    </row>
    <row r="11" spans="1:14" customHeight="1" ht="33.6" s="3" customFormat="1">
      <c r="A11" s="351"/>
      <c r="B11" s="352"/>
      <c r="C11" s="352"/>
      <c r="D11" s="362"/>
      <c r="E11" s="352"/>
      <c r="F11" s="38" t="s">
        <v>19</v>
      </c>
      <c r="G11" s="38" t="s">
        <v>20</v>
      </c>
      <c r="H11" s="38" t="s">
        <v>21</v>
      </c>
      <c r="I11" s="38" t="s">
        <v>22</v>
      </c>
      <c r="J11" s="352"/>
      <c r="K11" s="39" t="s">
        <v>23</v>
      </c>
      <c r="L11" s="39" t="s">
        <v>24</v>
      </c>
      <c r="M11" s="39" t="s">
        <v>25</v>
      </c>
      <c r="N11" s="343"/>
    </row>
    <row r="12" spans="1:14">
      <c r="A12" s="170" t="s">
        <v>110</v>
      </c>
      <c r="B12" s="112" t="s">
        <v>111</v>
      </c>
      <c r="C12" s="127" t="s">
        <v>296</v>
      </c>
      <c r="D12" s="135" t="s">
        <v>29</v>
      </c>
      <c r="E12" s="136" t="s">
        <v>30</v>
      </c>
      <c r="F12" s="127"/>
      <c r="G12" s="127"/>
      <c r="H12" s="127"/>
      <c r="I12" s="127"/>
      <c r="J12" s="127"/>
      <c r="K12" s="128">
        <v>2644.4</v>
      </c>
      <c r="L12" s="37"/>
      <c r="M12" s="37"/>
      <c r="N12" s="7"/>
    </row>
    <row r="13" spans="1:14">
      <c r="A13" s="171" t="s">
        <v>31</v>
      </c>
      <c r="B13" s="114" t="s">
        <v>113</v>
      </c>
      <c r="C13" s="127" t="s">
        <v>296</v>
      </c>
      <c r="D13" s="135" t="s">
        <v>29</v>
      </c>
      <c r="E13" s="136" t="s">
        <v>30</v>
      </c>
      <c r="F13" s="124"/>
      <c r="G13" s="124"/>
      <c r="H13" s="124"/>
      <c r="I13" s="124"/>
      <c r="J13" s="124"/>
      <c r="K13" s="129">
        <v>888</v>
      </c>
      <c r="L13" s="7"/>
      <c r="M13" s="7"/>
      <c r="N13" s="7"/>
    </row>
    <row r="14" spans="1:14">
      <c r="A14" s="171" t="s">
        <v>114</v>
      </c>
      <c r="B14" s="114" t="s">
        <v>115</v>
      </c>
      <c r="C14" s="127" t="s">
        <v>296</v>
      </c>
      <c r="D14" s="135" t="s">
        <v>29</v>
      </c>
      <c r="E14" s="136" t="s">
        <v>30</v>
      </c>
      <c r="F14" s="124"/>
      <c r="G14" s="124"/>
      <c r="H14" s="124"/>
      <c r="I14" s="124"/>
      <c r="J14" s="124"/>
      <c r="K14" s="130">
        <v>163.28</v>
      </c>
      <c r="L14" s="7"/>
      <c r="M14" s="7"/>
      <c r="N14" s="7"/>
    </row>
    <row r="15" spans="1:14">
      <c r="A15" s="171" t="s">
        <v>35</v>
      </c>
      <c r="B15" s="114" t="s">
        <v>116</v>
      </c>
      <c r="C15" s="127" t="s">
        <v>296</v>
      </c>
      <c r="D15" s="135" t="s">
        <v>29</v>
      </c>
      <c r="E15" s="136" t="s">
        <v>30</v>
      </c>
      <c r="F15" s="124"/>
      <c r="G15" s="124"/>
      <c r="H15" s="124"/>
      <c r="I15" s="124"/>
      <c r="J15" s="124"/>
      <c r="K15" s="130">
        <v>544.96</v>
      </c>
      <c r="L15" s="7"/>
      <c r="M15" s="7"/>
      <c r="N15" s="7"/>
    </row>
    <row r="16" spans="1:14">
      <c r="A16" s="171" t="s">
        <v>37</v>
      </c>
      <c r="B16" s="114" t="s">
        <v>121</v>
      </c>
      <c r="C16" s="127" t="s">
        <v>296</v>
      </c>
      <c r="D16" s="135" t="s">
        <v>29</v>
      </c>
      <c r="E16" s="136" t="s">
        <v>30</v>
      </c>
      <c r="F16" s="124"/>
      <c r="G16" s="124"/>
      <c r="H16" s="124"/>
      <c r="I16" s="124"/>
      <c r="J16" s="124"/>
      <c r="K16" s="130">
        <v>1119.12</v>
      </c>
      <c r="L16" s="7"/>
      <c r="M16" s="7"/>
      <c r="N16" s="7"/>
    </row>
    <row r="17" spans="1:14">
      <c r="A17" s="171" t="s">
        <v>122</v>
      </c>
      <c r="B17" s="114" t="s">
        <v>123</v>
      </c>
      <c r="C17" s="127" t="s">
        <v>296</v>
      </c>
      <c r="D17" s="135" t="s">
        <v>29</v>
      </c>
      <c r="E17" s="136" t="s">
        <v>30</v>
      </c>
      <c r="F17" s="124"/>
      <c r="G17" s="124"/>
      <c r="H17" s="124"/>
      <c r="I17" s="124"/>
      <c r="J17" s="124"/>
      <c r="K17" s="130">
        <v>300.65</v>
      </c>
      <c r="L17" s="7"/>
      <c r="M17" s="7"/>
      <c r="N17" s="7"/>
    </row>
    <row r="18" spans="1:14" customHeight="1" ht="25.5">
      <c r="A18" s="171" t="s">
        <v>124</v>
      </c>
      <c r="B18" s="114" t="s">
        <v>125</v>
      </c>
      <c r="C18" s="127" t="s">
        <v>296</v>
      </c>
      <c r="D18" s="135" t="s">
        <v>29</v>
      </c>
      <c r="E18" s="136" t="s">
        <v>30</v>
      </c>
      <c r="F18" s="124"/>
      <c r="G18" s="124"/>
      <c r="H18" s="124"/>
      <c r="I18" s="124"/>
      <c r="J18" s="124"/>
      <c r="K18" s="130">
        <v>2288</v>
      </c>
      <c r="L18" s="7"/>
      <c r="M18" s="7"/>
      <c r="N18" s="7"/>
    </row>
    <row r="19" spans="1:14" customHeight="1" ht="25.5">
      <c r="A19" s="171" t="s">
        <v>126</v>
      </c>
      <c r="B19" s="172" t="s">
        <v>127</v>
      </c>
      <c r="C19" s="127" t="s">
        <v>296</v>
      </c>
      <c r="D19" s="135" t="s">
        <v>29</v>
      </c>
      <c r="E19" s="136" t="s">
        <v>30</v>
      </c>
      <c r="F19" s="124"/>
      <c r="G19" s="124"/>
      <c r="H19" s="124"/>
      <c r="I19" s="124"/>
      <c r="J19" s="124"/>
      <c r="K19" s="130">
        <v>1152.32</v>
      </c>
      <c r="L19" s="7"/>
      <c r="M19" s="7"/>
      <c r="N19" s="7"/>
    </row>
    <row r="20" spans="1:14">
      <c r="A20" s="171" t="s">
        <v>128</v>
      </c>
      <c r="B20" s="173" t="s">
        <v>129</v>
      </c>
      <c r="C20" s="127" t="s">
        <v>296</v>
      </c>
      <c r="D20" s="135" t="s">
        <v>29</v>
      </c>
      <c r="E20" s="136" t="s">
        <v>30</v>
      </c>
      <c r="F20" s="124"/>
      <c r="G20" s="124"/>
      <c r="H20" s="124"/>
      <c r="I20" s="124"/>
      <c r="J20" s="124"/>
      <c r="K20" s="130">
        <v>180.4</v>
      </c>
      <c r="L20" s="7"/>
      <c r="M20" s="7"/>
      <c r="N20" s="7"/>
    </row>
    <row r="21" spans="1:14">
      <c r="A21" s="171" t="s">
        <v>130</v>
      </c>
      <c r="B21" s="174" t="s">
        <v>131</v>
      </c>
      <c r="C21" s="127" t="s">
        <v>296</v>
      </c>
      <c r="D21" s="135" t="s">
        <v>29</v>
      </c>
      <c r="E21" s="136" t="s">
        <v>30</v>
      </c>
      <c r="F21" s="124"/>
      <c r="G21" s="124"/>
      <c r="H21" s="124"/>
      <c r="I21" s="124"/>
      <c r="J21" s="124"/>
      <c r="K21" s="130">
        <v>90.28</v>
      </c>
      <c r="L21" s="7"/>
      <c r="M21" s="7"/>
      <c r="N21" s="7"/>
    </row>
    <row r="22" spans="1:14">
      <c r="A22" s="171" t="s">
        <v>55</v>
      </c>
      <c r="B22" s="175" t="s">
        <v>56</v>
      </c>
      <c r="C22" s="127" t="s">
        <v>296</v>
      </c>
      <c r="D22" s="135" t="s">
        <v>29</v>
      </c>
      <c r="E22" s="136" t="s">
        <v>30</v>
      </c>
      <c r="F22" s="124"/>
      <c r="G22" s="124"/>
      <c r="H22" s="124"/>
      <c r="I22" s="124"/>
      <c r="J22" s="124"/>
      <c r="K22" s="130">
        <v>92.24</v>
      </c>
      <c r="L22" s="7"/>
      <c r="M22" s="7"/>
      <c r="N22" s="7"/>
    </row>
    <row r="23" spans="1:14">
      <c r="A23" s="171" t="s">
        <v>137</v>
      </c>
      <c r="B23" s="174" t="s">
        <v>138</v>
      </c>
      <c r="C23" s="127" t="s">
        <v>296</v>
      </c>
      <c r="D23" s="135" t="s">
        <v>29</v>
      </c>
      <c r="E23" s="136" t="s">
        <v>30</v>
      </c>
      <c r="F23" s="124"/>
      <c r="G23" s="124"/>
      <c r="H23" s="124"/>
      <c r="I23" s="124"/>
      <c r="J23" s="124"/>
      <c r="K23" s="104">
        <v>980.72</v>
      </c>
      <c r="L23" s="7"/>
      <c r="M23" s="7"/>
      <c r="N23" s="7"/>
    </row>
    <row r="24" spans="1:14">
      <c r="A24" s="171" t="s">
        <v>58</v>
      </c>
      <c r="B24" s="174" t="s">
        <v>59</v>
      </c>
      <c r="C24" s="127" t="s">
        <v>296</v>
      </c>
      <c r="D24" s="135" t="s">
        <v>29</v>
      </c>
      <c r="E24" s="136" t="s">
        <v>30</v>
      </c>
      <c r="F24" s="124"/>
      <c r="G24" s="124"/>
      <c r="H24" s="124"/>
      <c r="I24" s="124"/>
      <c r="J24" s="124"/>
      <c r="K24" s="130">
        <v>757.12</v>
      </c>
      <c r="L24" s="7"/>
      <c r="M24" s="7"/>
      <c r="N24" s="7"/>
    </row>
    <row r="25" spans="1:14">
      <c r="A25" s="171" t="s">
        <v>62</v>
      </c>
      <c r="B25" s="174" t="s">
        <v>63</v>
      </c>
      <c r="C25" s="127" t="s">
        <v>296</v>
      </c>
      <c r="D25" s="135" t="s">
        <v>29</v>
      </c>
      <c r="E25" s="136" t="s">
        <v>30</v>
      </c>
      <c r="F25" s="124"/>
      <c r="G25" s="124"/>
      <c r="H25" s="124"/>
      <c r="I25" s="124"/>
      <c r="J25" s="124"/>
      <c r="K25" s="130">
        <v>333.26</v>
      </c>
      <c r="L25" s="7"/>
      <c r="M25" s="7"/>
      <c r="N25" s="7"/>
    </row>
    <row r="26" spans="1:14">
      <c r="A26" s="171" t="s">
        <v>64</v>
      </c>
      <c r="B26" s="174" t="s">
        <v>65</v>
      </c>
      <c r="C26" s="127" t="s">
        <v>296</v>
      </c>
      <c r="D26" s="135" t="s">
        <v>29</v>
      </c>
      <c r="E26" s="136" t="s">
        <v>30</v>
      </c>
      <c r="F26" s="124"/>
      <c r="G26" s="124"/>
      <c r="H26" s="124"/>
      <c r="I26" s="124"/>
      <c r="J26" s="124"/>
      <c r="K26" s="130">
        <v>74.7</v>
      </c>
      <c r="L26" s="7"/>
      <c r="M26" s="7"/>
      <c r="N26" s="7"/>
    </row>
    <row r="27" spans="1:14">
      <c r="A27" s="171" t="s">
        <v>66</v>
      </c>
      <c r="B27" s="174" t="s">
        <v>67</v>
      </c>
      <c r="C27" s="127" t="s">
        <v>296</v>
      </c>
      <c r="D27" s="135" t="s">
        <v>29</v>
      </c>
      <c r="E27" s="136" t="s">
        <v>30</v>
      </c>
      <c r="F27" s="124"/>
      <c r="G27" s="124"/>
      <c r="H27" s="124"/>
      <c r="I27" s="124"/>
      <c r="J27" s="124"/>
      <c r="K27" s="130">
        <v>17.64</v>
      </c>
      <c r="L27" s="7"/>
      <c r="M27" s="7"/>
      <c r="N27" s="7"/>
    </row>
    <row r="28" spans="1:14">
      <c r="A28" s="171" t="s">
        <v>68</v>
      </c>
      <c r="B28" s="174" t="s">
        <v>69</v>
      </c>
      <c r="C28" s="127" t="s">
        <v>296</v>
      </c>
      <c r="D28" s="135" t="s">
        <v>29</v>
      </c>
      <c r="E28" s="136" t="s">
        <v>30</v>
      </c>
      <c r="F28" s="124"/>
      <c r="G28" s="124"/>
      <c r="H28" s="124"/>
      <c r="I28" s="124"/>
      <c r="J28" s="124"/>
      <c r="K28" s="130">
        <v>55.12</v>
      </c>
      <c r="L28" s="7"/>
      <c r="M28" s="7"/>
      <c r="N28" s="7"/>
    </row>
    <row r="29" spans="1:14" customHeight="1" ht="25.5">
      <c r="A29" s="171" t="s">
        <v>147</v>
      </c>
      <c r="B29" s="174" t="s">
        <v>148</v>
      </c>
      <c r="C29" s="127" t="s">
        <v>296</v>
      </c>
      <c r="D29" s="135" t="s">
        <v>29</v>
      </c>
      <c r="E29" s="136" t="s">
        <v>30</v>
      </c>
      <c r="F29" s="124"/>
      <c r="G29" s="124"/>
      <c r="H29" s="124"/>
      <c r="I29" s="124"/>
      <c r="J29" s="124"/>
      <c r="K29" s="130">
        <v>41.58</v>
      </c>
      <c r="L29" s="7"/>
      <c r="M29" s="7"/>
      <c r="N29" s="7"/>
    </row>
    <row r="30" spans="1:14">
      <c r="A30" s="171" t="s">
        <v>78</v>
      </c>
      <c r="B30" s="174" t="s">
        <v>79</v>
      </c>
      <c r="C30" s="127" t="s">
        <v>296</v>
      </c>
      <c r="D30" s="135" t="s">
        <v>29</v>
      </c>
      <c r="E30" s="136" t="s">
        <v>30</v>
      </c>
      <c r="F30" s="124"/>
      <c r="G30" s="124"/>
      <c r="H30" s="124"/>
      <c r="I30" s="124"/>
      <c r="J30" s="124"/>
      <c r="K30" s="130">
        <v>3178.2</v>
      </c>
      <c r="L30" s="7"/>
      <c r="M30" s="7"/>
      <c r="N30" s="7"/>
    </row>
    <row r="31" spans="1:14">
      <c r="A31" s="171" t="s">
        <v>84</v>
      </c>
      <c r="B31" s="174" t="s">
        <v>85</v>
      </c>
      <c r="C31" s="127" t="s">
        <v>296</v>
      </c>
      <c r="D31" s="135" t="s">
        <v>29</v>
      </c>
      <c r="E31" s="136" t="s">
        <v>30</v>
      </c>
      <c r="F31" s="124"/>
      <c r="G31" s="124"/>
      <c r="H31" s="124"/>
      <c r="I31" s="124"/>
      <c r="J31" s="124"/>
      <c r="K31" s="130">
        <v>345.28</v>
      </c>
      <c r="L31" s="7"/>
      <c r="M31" s="7"/>
      <c r="N31" s="7"/>
    </row>
    <row r="32" spans="1:14">
      <c r="A32" s="176"/>
      <c r="B32" s="177" t="s">
        <v>155</v>
      </c>
      <c r="C32" s="127" t="s">
        <v>296</v>
      </c>
      <c r="D32" s="135" t="s">
        <v>29</v>
      </c>
      <c r="E32" s="136" t="s">
        <v>30</v>
      </c>
      <c r="F32" s="124"/>
      <c r="G32" s="124"/>
      <c r="H32" s="124"/>
      <c r="I32" s="124"/>
      <c r="J32" s="124"/>
      <c r="K32" s="130">
        <v>440</v>
      </c>
      <c r="L32" s="7"/>
      <c r="M32" s="7"/>
      <c r="N32" s="7"/>
    </row>
    <row r="33" spans="1:14">
      <c r="A33" s="176"/>
      <c r="B33" s="178" t="s">
        <v>156</v>
      </c>
      <c r="C33" s="127" t="s">
        <v>296</v>
      </c>
      <c r="D33" s="135" t="s">
        <v>29</v>
      </c>
      <c r="E33" s="136" t="s">
        <v>30</v>
      </c>
      <c r="F33" s="124"/>
      <c r="G33" s="124"/>
      <c r="H33" s="124"/>
      <c r="I33" s="124"/>
      <c r="J33" s="124"/>
      <c r="K33" s="130">
        <v>200</v>
      </c>
      <c r="L33" s="7"/>
      <c r="M33" s="7"/>
      <c r="N33" s="7"/>
    </row>
    <row r="34" spans="1:14">
      <c r="A34" s="176"/>
      <c r="B34" s="178" t="s">
        <v>164</v>
      </c>
      <c r="C34" s="127" t="s">
        <v>296</v>
      </c>
      <c r="D34" s="135" t="s">
        <v>29</v>
      </c>
      <c r="E34" s="136" t="s">
        <v>30</v>
      </c>
      <c r="F34" s="124"/>
      <c r="G34" s="124"/>
      <c r="H34" s="124"/>
      <c r="I34" s="124"/>
      <c r="J34" s="124"/>
      <c r="K34" s="130">
        <v>7000</v>
      </c>
      <c r="L34" s="7"/>
      <c r="M34" s="7"/>
      <c r="N34" s="7"/>
    </row>
    <row r="35" spans="1:14">
      <c r="A35" s="179"/>
      <c r="B35" s="180" t="s">
        <v>167</v>
      </c>
      <c r="C35" s="127" t="s">
        <v>296</v>
      </c>
      <c r="D35" s="135" t="s">
        <v>29</v>
      </c>
      <c r="E35" s="136" t="s">
        <v>30</v>
      </c>
      <c r="F35" s="124"/>
      <c r="G35" s="124"/>
      <c r="H35" s="124"/>
      <c r="I35" s="124"/>
      <c r="J35" s="124"/>
      <c r="K35" s="131">
        <v>3000</v>
      </c>
      <c r="L35" s="7"/>
      <c r="M35" s="7"/>
      <c r="N35" s="7"/>
    </row>
    <row r="36" spans="1:14">
      <c r="A36" s="176"/>
      <c r="B36" s="177" t="s">
        <v>168</v>
      </c>
      <c r="C36" s="127" t="s">
        <v>296</v>
      </c>
      <c r="D36" s="135" t="s">
        <v>29</v>
      </c>
      <c r="E36" s="136" t="s">
        <v>30</v>
      </c>
      <c r="F36" s="124"/>
      <c r="G36" s="124"/>
      <c r="H36" s="124"/>
      <c r="I36" s="124"/>
      <c r="J36" s="124"/>
      <c r="K36" s="130">
        <v>7000</v>
      </c>
      <c r="L36" s="7"/>
      <c r="M36" s="7"/>
      <c r="N36" s="7"/>
    </row>
    <row r="37" spans="1:14" s="155" customFormat="1">
      <c r="A37" s="107" t="s">
        <v>23</v>
      </c>
      <c r="B37" s="107"/>
      <c r="C37" s="127" t="s">
        <v>296</v>
      </c>
      <c r="D37" s="135" t="s">
        <v>29</v>
      </c>
      <c r="E37" s="136" t="s">
        <v>30</v>
      </c>
      <c r="F37" s="107"/>
      <c r="G37" s="107"/>
      <c r="H37" s="107"/>
      <c r="I37" s="107"/>
      <c r="J37" s="107"/>
      <c r="K37" s="132">
        <f>SUM(K12:K36)</f>
        <v>32887.27</v>
      </c>
      <c r="L37" s="107"/>
      <c r="M37" s="107"/>
      <c r="N37" s="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63"/>
  <sheetViews>
    <sheetView tabSelected="0" workbookViewId="0" showGridLines="true" showRowColHeaders="1">
      <selection activeCell="K63" sqref="K63"/>
    </sheetView>
  </sheetViews>
  <sheetFormatPr defaultRowHeight="14.4" defaultColWidth="20.7109375" outlineLevelRow="0" outlineLevelCol="0"/>
  <cols>
    <col min="1" max="1" width="20.85546875" customWidth="true" style="5"/>
    <col min="2" max="2" width="55.4257812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297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4" customHeight="1" ht="33.6" s="3" customFormat="1">
      <c r="A11" s="356"/>
      <c r="B11" s="358"/>
      <c r="C11" s="358"/>
      <c r="D11" s="360"/>
      <c r="E11" s="358"/>
      <c r="F11" s="45" t="s">
        <v>19</v>
      </c>
      <c r="G11" s="45" t="s">
        <v>20</v>
      </c>
      <c r="H11" s="45" t="s">
        <v>21</v>
      </c>
      <c r="I11" s="45" t="s">
        <v>22</v>
      </c>
      <c r="J11" s="358"/>
      <c r="K11" s="46" t="s">
        <v>23</v>
      </c>
      <c r="L11" s="46" t="s">
        <v>24</v>
      </c>
      <c r="M11" s="46" t="s">
        <v>25</v>
      </c>
      <c r="N11" s="354"/>
    </row>
    <row r="12" spans="1:14">
      <c r="A12" s="47" t="s">
        <v>298</v>
      </c>
      <c r="B12" s="47" t="s">
        <v>299</v>
      </c>
      <c r="C12" s="156" t="s">
        <v>300</v>
      </c>
      <c r="D12" s="48" t="s">
        <v>29</v>
      </c>
      <c r="E12" s="49" t="s">
        <v>30</v>
      </c>
      <c r="F12" s="36"/>
      <c r="G12" s="36"/>
      <c r="H12" s="36"/>
      <c r="I12" s="36"/>
      <c r="J12" s="36"/>
      <c r="K12" s="50">
        <v>1307.4</v>
      </c>
      <c r="L12" s="36"/>
      <c r="M12" s="36"/>
      <c r="N12" s="36"/>
    </row>
    <row r="13" spans="1:14">
      <c r="A13" s="47" t="s">
        <v>110</v>
      </c>
      <c r="B13" s="51" t="s">
        <v>301</v>
      </c>
      <c r="C13" s="156" t="s">
        <v>300</v>
      </c>
      <c r="D13" s="48" t="s">
        <v>29</v>
      </c>
      <c r="E13" s="49" t="s">
        <v>30</v>
      </c>
      <c r="F13" s="36"/>
      <c r="G13" s="36"/>
      <c r="H13" s="36"/>
      <c r="I13" s="36"/>
      <c r="J13" s="36"/>
      <c r="K13" s="50">
        <v>1551.68</v>
      </c>
      <c r="L13" s="36"/>
      <c r="M13" s="36"/>
      <c r="N13" s="36"/>
    </row>
    <row r="14" spans="1:14">
      <c r="A14" s="52" t="s">
        <v>31</v>
      </c>
      <c r="B14" s="53" t="s">
        <v>32</v>
      </c>
      <c r="C14" s="156" t="s">
        <v>300</v>
      </c>
      <c r="D14" s="48" t="s">
        <v>29</v>
      </c>
      <c r="E14" s="49" t="s">
        <v>30</v>
      </c>
      <c r="F14" s="36"/>
      <c r="G14" s="36"/>
      <c r="H14" s="36"/>
      <c r="I14" s="36"/>
      <c r="J14" s="36"/>
      <c r="K14" s="50">
        <v>888</v>
      </c>
      <c r="L14" s="36"/>
      <c r="M14" s="36"/>
      <c r="N14" s="36"/>
    </row>
    <row r="15" spans="1:14">
      <c r="A15" s="52" t="s">
        <v>33</v>
      </c>
      <c r="B15" s="53" t="s">
        <v>34</v>
      </c>
      <c r="C15" s="156" t="s">
        <v>300</v>
      </c>
      <c r="D15" s="48" t="s">
        <v>29</v>
      </c>
      <c r="E15" s="49" t="s">
        <v>30</v>
      </c>
      <c r="F15" s="36"/>
      <c r="G15" s="36"/>
      <c r="H15" s="36"/>
      <c r="I15" s="36"/>
      <c r="J15" s="36"/>
      <c r="K15" s="50">
        <v>61.47</v>
      </c>
      <c r="L15" s="36"/>
      <c r="M15" s="36"/>
      <c r="N15" s="36"/>
    </row>
    <row r="16" spans="1:14">
      <c r="A16" s="52" t="s">
        <v>241</v>
      </c>
      <c r="B16" s="53" t="s">
        <v>242</v>
      </c>
      <c r="C16" s="156" t="s">
        <v>300</v>
      </c>
      <c r="D16" s="48" t="s">
        <v>29</v>
      </c>
      <c r="E16" s="49" t="s">
        <v>30</v>
      </c>
      <c r="F16" s="36"/>
      <c r="G16" s="36"/>
      <c r="H16" s="36"/>
      <c r="I16" s="36"/>
      <c r="J16" s="36"/>
      <c r="K16" s="50">
        <v>55.02</v>
      </c>
      <c r="L16" s="36"/>
      <c r="M16" s="36"/>
      <c r="N16" s="36"/>
    </row>
    <row r="17" spans="1:14">
      <c r="A17" s="52" t="s">
        <v>122</v>
      </c>
      <c r="B17" s="53" t="s">
        <v>302</v>
      </c>
      <c r="C17" s="156" t="s">
        <v>300</v>
      </c>
      <c r="D17" s="48" t="s">
        <v>29</v>
      </c>
      <c r="E17" s="49" t="s">
        <v>30</v>
      </c>
      <c r="F17" s="36"/>
      <c r="G17" s="36"/>
      <c r="H17" s="36"/>
      <c r="I17" s="36"/>
      <c r="J17" s="36"/>
      <c r="K17" s="50">
        <v>85.9</v>
      </c>
      <c r="L17" s="36"/>
      <c r="M17" s="36"/>
      <c r="N17" s="36"/>
    </row>
    <row r="18" spans="1:14">
      <c r="A18" s="52" t="s">
        <v>126</v>
      </c>
      <c r="B18" s="53" t="s">
        <v>127</v>
      </c>
      <c r="C18" s="156" t="s">
        <v>300</v>
      </c>
      <c r="D18" s="48" t="s">
        <v>29</v>
      </c>
      <c r="E18" s="49" t="s">
        <v>30</v>
      </c>
      <c r="F18" s="36"/>
      <c r="G18" s="36"/>
      <c r="H18" s="36"/>
      <c r="I18" s="36"/>
      <c r="J18" s="36"/>
      <c r="K18" s="50">
        <v>576.16</v>
      </c>
      <c r="L18" s="36"/>
      <c r="M18" s="36"/>
      <c r="N18" s="36"/>
    </row>
    <row r="19" spans="1:14">
      <c r="A19" s="52" t="s">
        <v>303</v>
      </c>
      <c r="B19" s="53" t="s">
        <v>304</v>
      </c>
      <c r="C19" s="156" t="s">
        <v>300</v>
      </c>
      <c r="D19" s="48" t="s">
        <v>29</v>
      </c>
      <c r="E19" s="49" t="s">
        <v>30</v>
      </c>
      <c r="F19" s="36"/>
      <c r="G19" s="36"/>
      <c r="H19" s="36"/>
      <c r="I19" s="36"/>
      <c r="J19" s="36"/>
      <c r="K19" s="50">
        <v>19.45</v>
      </c>
      <c r="L19" s="36"/>
      <c r="M19" s="36"/>
      <c r="N19" s="36"/>
    </row>
    <row r="20" spans="1:14">
      <c r="A20" s="52" t="s">
        <v>180</v>
      </c>
      <c r="B20" s="53" t="s">
        <v>181</v>
      </c>
      <c r="C20" s="156" t="s">
        <v>300</v>
      </c>
      <c r="D20" s="48" t="s">
        <v>29</v>
      </c>
      <c r="E20" s="49" t="s">
        <v>30</v>
      </c>
      <c r="F20" s="36"/>
      <c r="G20" s="36"/>
      <c r="H20" s="36"/>
      <c r="I20" s="36"/>
      <c r="J20" s="36"/>
      <c r="K20" s="50">
        <v>61.88</v>
      </c>
      <c r="L20" s="36"/>
      <c r="M20" s="36"/>
      <c r="N20" s="36"/>
    </row>
    <row r="21" spans="1:14">
      <c r="A21" s="52" t="s">
        <v>305</v>
      </c>
      <c r="B21" s="53" t="s">
        <v>306</v>
      </c>
      <c r="C21" s="156" t="s">
        <v>300</v>
      </c>
      <c r="D21" s="48" t="s">
        <v>29</v>
      </c>
      <c r="E21" s="49" t="s">
        <v>30</v>
      </c>
      <c r="F21" s="36"/>
      <c r="G21" s="36"/>
      <c r="H21" s="36"/>
      <c r="I21" s="36"/>
      <c r="J21" s="36"/>
      <c r="K21" s="50">
        <v>45.14</v>
      </c>
      <c r="L21" s="36"/>
      <c r="M21" s="36"/>
      <c r="N21" s="36"/>
    </row>
    <row r="22" spans="1:14">
      <c r="A22" s="52" t="s">
        <v>307</v>
      </c>
      <c r="B22" s="53" t="s">
        <v>308</v>
      </c>
      <c r="C22" s="156" t="s">
        <v>300</v>
      </c>
      <c r="D22" s="48" t="s">
        <v>29</v>
      </c>
      <c r="E22" s="49" t="s">
        <v>30</v>
      </c>
      <c r="F22" s="36"/>
      <c r="G22" s="36"/>
      <c r="H22" s="36"/>
      <c r="I22" s="36"/>
      <c r="J22" s="36"/>
      <c r="K22" s="50">
        <v>66.86</v>
      </c>
      <c r="L22" s="36"/>
      <c r="M22" s="36"/>
      <c r="N22" s="36"/>
    </row>
    <row r="23" spans="1:14">
      <c r="A23" s="52" t="s">
        <v>309</v>
      </c>
      <c r="B23" s="53" t="s">
        <v>310</v>
      </c>
      <c r="C23" s="156" t="s">
        <v>300</v>
      </c>
      <c r="D23" s="48" t="s">
        <v>29</v>
      </c>
      <c r="E23" s="49" t="s">
        <v>30</v>
      </c>
      <c r="F23" s="36"/>
      <c r="G23" s="36"/>
      <c r="H23" s="36"/>
      <c r="I23" s="36"/>
      <c r="J23" s="36"/>
      <c r="K23" s="50">
        <v>286.5</v>
      </c>
      <c r="L23" s="36"/>
      <c r="M23" s="36"/>
      <c r="N23" s="36"/>
    </row>
    <row r="24" spans="1:14">
      <c r="A24" s="54" t="s">
        <v>60</v>
      </c>
      <c r="B24" s="53" t="s">
        <v>61</v>
      </c>
      <c r="C24" s="156" t="s">
        <v>300</v>
      </c>
      <c r="D24" s="48" t="s">
        <v>29</v>
      </c>
      <c r="E24" s="49" t="s">
        <v>30</v>
      </c>
      <c r="F24" s="36"/>
      <c r="G24" s="36"/>
      <c r="H24" s="36"/>
      <c r="I24" s="36"/>
      <c r="J24" s="36"/>
      <c r="K24" s="50">
        <v>289.12</v>
      </c>
      <c r="L24" s="36"/>
      <c r="M24" s="36"/>
      <c r="N24" s="36"/>
    </row>
    <row r="25" spans="1:14">
      <c r="A25" s="55" t="s">
        <v>64</v>
      </c>
      <c r="B25" s="53" t="s">
        <v>65</v>
      </c>
      <c r="C25" s="156" t="s">
        <v>300</v>
      </c>
      <c r="D25" s="48" t="s">
        <v>29</v>
      </c>
      <c r="E25" s="49" t="s">
        <v>30</v>
      </c>
      <c r="F25" s="36"/>
      <c r="G25" s="36"/>
      <c r="H25" s="36"/>
      <c r="I25" s="36"/>
      <c r="J25" s="36"/>
      <c r="K25" s="56">
        <v>29.88</v>
      </c>
      <c r="L25" s="36"/>
      <c r="M25" s="36"/>
      <c r="N25" s="36"/>
    </row>
    <row r="26" spans="1:14">
      <c r="A26" s="55" t="s">
        <v>257</v>
      </c>
      <c r="B26" s="53" t="s">
        <v>258</v>
      </c>
      <c r="C26" s="156" t="s">
        <v>300</v>
      </c>
      <c r="D26" s="48" t="s">
        <v>29</v>
      </c>
      <c r="E26" s="49" t="s">
        <v>30</v>
      </c>
      <c r="F26" s="36"/>
      <c r="G26" s="36"/>
      <c r="H26" s="36"/>
      <c r="I26" s="36"/>
      <c r="J26" s="36"/>
      <c r="K26" s="56">
        <v>7.47</v>
      </c>
      <c r="L26" s="36"/>
      <c r="M26" s="36"/>
      <c r="N26" s="36"/>
    </row>
    <row r="27" spans="1:14">
      <c r="A27" s="55" t="s">
        <v>311</v>
      </c>
      <c r="B27" s="53" t="s">
        <v>312</v>
      </c>
      <c r="C27" s="156" t="s">
        <v>300</v>
      </c>
      <c r="D27" s="48" t="s">
        <v>29</v>
      </c>
      <c r="E27" s="49" t="s">
        <v>30</v>
      </c>
      <c r="F27" s="36"/>
      <c r="G27" s="36"/>
      <c r="H27" s="36"/>
      <c r="I27" s="36"/>
      <c r="J27" s="36"/>
      <c r="K27" s="56">
        <v>7.47</v>
      </c>
      <c r="L27" s="36"/>
      <c r="M27" s="36"/>
      <c r="N27" s="36"/>
    </row>
    <row r="28" spans="1:14">
      <c r="A28" s="52" t="s">
        <v>78</v>
      </c>
      <c r="B28" s="53" t="s">
        <v>79</v>
      </c>
      <c r="C28" s="156" t="s">
        <v>300</v>
      </c>
      <c r="D28" s="48" t="s">
        <v>29</v>
      </c>
      <c r="E28" s="49" t="s">
        <v>30</v>
      </c>
      <c r="F28" s="36"/>
      <c r="G28" s="36"/>
      <c r="H28" s="36"/>
      <c r="I28" s="36"/>
      <c r="J28" s="36"/>
      <c r="K28" s="50">
        <v>2542.56</v>
      </c>
      <c r="L28" s="36"/>
      <c r="M28" s="36"/>
      <c r="N28" s="36"/>
    </row>
    <row r="29" spans="1:14">
      <c r="A29" s="52" t="s">
        <v>271</v>
      </c>
      <c r="B29" s="53" t="s">
        <v>272</v>
      </c>
      <c r="C29" s="156" t="s">
        <v>300</v>
      </c>
      <c r="D29" s="48" t="s">
        <v>29</v>
      </c>
      <c r="E29" s="49" t="s">
        <v>30</v>
      </c>
      <c r="F29" s="36"/>
      <c r="G29" s="36"/>
      <c r="H29" s="36"/>
      <c r="I29" s="36"/>
      <c r="J29" s="36"/>
      <c r="K29" s="50">
        <v>1652.88</v>
      </c>
      <c r="L29" s="36"/>
      <c r="M29" s="36"/>
      <c r="N29" s="36"/>
    </row>
    <row r="30" spans="1:14">
      <c r="A30" s="52" t="s">
        <v>84</v>
      </c>
      <c r="B30" s="53" t="s">
        <v>85</v>
      </c>
      <c r="C30" s="156" t="s">
        <v>300</v>
      </c>
      <c r="D30" s="48" t="s">
        <v>29</v>
      </c>
      <c r="E30" s="49" t="s">
        <v>30</v>
      </c>
      <c r="F30" s="36"/>
      <c r="G30" s="36"/>
      <c r="H30" s="36"/>
      <c r="I30" s="36"/>
      <c r="J30" s="36"/>
      <c r="K30" s="50">
        <v>1035.84</v>
      </c>
      <c r="L30" s="36"/>
      <c r="M30" s="36"/>
      <c r="N30" s="36"/>
    </row>
    <row r="31" spans="1:14">
      <c r="A31" s="52"/>
      <c r="B31" s="57" t="s">
        <v>89</v>
      </c>
      <c r="C31" s="156" t="s">
        <v>300</v>
      </c>
      <c r="D31" s="48" t="s">
        <v>29</v>
      </c>
      <c r="E31" s="49" t="s">
        <v>30</v>
      </c>
      <c r="F31" s="36"/>
      <c r="G31" s="36"/>
      <c r="H31" s="36"/>
      <c r="I31" s="36"/>
      <c r="J31" s="36"/>
      <c r="K31" s="50">
        <v>2000</v>
      </c>
      <c r="L31" s="36"/>
      <c r="M31" s="36"/>
      <c r="N31" s="36"/>
    </row>
    <row r="32" spans="1:14">
      <c r="A32" s="52"/>
      <c r="B32" s="40" t="s">
        <v>313</v>
      </c>
      <c r="C32" s="156" t="s">
        <v>300</v>
      </c>
      <c r="D32" s="48" t="s">
        <v>29</v>
      </c>
      <c r="E32" s="49" t="s">
        <v>30</v>
      </c>
      <c r="F32" s="36"/>
      <c r="G32" s="36"/>
      <c r="H32" s="36"/>
      <c r="I32" s="36"/>
      <c r="J32" s="36"/>
      <c r="K32" s="50">
        <v>300</v>
      </c>
      <c r="L32" s="36"/>
      <c r="M32" s="36"/>
      <c r="N32" s="36"/>
    </row>
    <row r="33" spans="1:14">
      <c r="A33" s="52"/>
      <c r="B33" s="41" t="s">
        <v>314</v>
      </c>
      <c r="C33" s="156" t="s">
        <v>300</v>
      </c>
      <c r="D33" s="48" t="s">
        <v>29</v>
      </c>
      <c r="E33" s="49" t="s">
        <v>30</v>
      </c>
      <c r="F33" s="36"/>
      <c r="G33" s="36"/>
      <c r="H33" s="36"/>
      <c r="I33" s="36"/>
      <c r="J33" s="36"/>
      <c r="K33" s="50">
        <v>640</v>
      </c>
      <c r="L33" s="36"/>
      <c r="M33" s="36"/>
      <c r="N33" s="36"/>
    </row>
    <row r="34" spans="1:14">
      <c r="A34" s="52"/>
      <c r="B34" s="42" t="s">
        <v>315</v>
      </c>
      <c r="C34" s="156" t="s">
        <v>300</v>
      </c>
      <c r="D34" s="48" t="s">
        <v>29</v>
      </c>
      <c r="E34" s="49" t="s">
        <v>30</v>
      </c>
      <c r="F34" s="36"/>
      <c r="G34" s="36"/>
      <c r="H34" s="36"/>
      <c r="I34" s="36"/>
      <c r="J34" s="36"/>
      <c r="K34" s="50">
        <v>1740</v>
      </c>
      <c r="L34" s="36"/>
      <c r="M34" s="36"/>
      <c r="N34" s="36"/>
    </row>
    <row r="35" spans="1:14">
      <c r="A35" s="47"/>
      <c r="B35" s="42" t="s">
        <v>316</v>
      </c>
      <c r="C35" s="156" t="s">
        <v>300</v>
      </c>
      <c r="D35" s="48" t="s">
        <v>29</v>
      </c>
      <c r="E35" s="49" t="s">
        <v>30</v>
      </c>
      <c r="F35" s="36"/>
      <c r="G35" s="36"/>
      <c r="H35" s="36"/>
      <c r="I35" s="36"/>
      <c r="J35" s="36"/>
      <c r="K35" s="50">
        <v>3510</v>
      </c>
      <c r="L35" s="36"/>
      <c r="M35" s="36"/>
      <c r="N35" s="36"/>
    </row>
    <row r="36" spans="1:14">
      <c r="A36" s="57"/>
      <c r="B36" s="42" t="s">
        <v>317</v>
      </c>
      <c r="C36" s="156" t="s">
        <v>300</v>
      </c>
      <c r="D36" s="48" t="s">
        <v>29</v>
      </c>
      <c r="E36" s="49" t="s">
        <v>30</v>
      </c>
      <c r="F36" s="36"/>
      <c r="G36" s="36"/>
      <c r="H36" s="36"/>
      <c r="I36" s="36"/>
      <c r="J36" s="36"/>
      <c r="K36" s="50">
        <v>1800</v>
      </c>
      <c r="L36" s="36"/>
      <c r="M36" s="36"/>
      <c r="N36" s="36"/>
    </row>
    <row r="37" spans="1:14">
      <c r="A37" s="57"/>
      <c r="B37" s="43" t="s">
        <v>318</v>
      </c>
      <c r="C37" s="156" t="s">
        <v>300</v>
      </c>
      <c r="D37" s="48" t="s">
        <v>29</v>
      </c>
      <c r="E37" s="49" t="s">
        <v>30</v>
      </c>
      <c r="F37" s="36"/>
      <c r="G37" s="36"/>
      <c r="H37" s="36"/>
      <c r="I37" s="36"/>
      <c r="J37" s="36"/>
      <c r="K37" s="50">
        <v>5700</v>
      </c>
      <c r="L37" s="36"/>
      <c r="M37" s="36"/>
      <c r="N37" s="36"/>
    </row>
    <row r="38" spans="1:14">
      <c r="A38" s="57"/>
      <c r="B38" s="43" t="s">
        <v>319</v>
      </c>
      <c r="C38" s="156" t="s">
        <v>300</v>
      </c>
      <c r="D38" s="48" t="s">
        <v>29</v>
      </c>
      <c r="E38" s="49" t="s">
        <v>30</v>
      </c>
      <c r="F38" s="36"/>
      <c r="G38" s="36"/>
      <c r="H38" s="36"/>
      <c r="I38" s="36"/>
      <c r="J38" s="36"/>
      <c r="K38" s="50">
        <v>2000</v>
      </c>
      <c r="L38" s="36"/>
      <c r="M38" s="36"/>
      <c r="N38" s="36"/>
    </row>
    <row r="39" spans="1:14">
      <c r="A39" s="57"/>
      <c r="B39" s="43" t="s">
        <v>320</v>
      </c>
      <c r="C39" s="156" t="s">
        <v>300</v>
      </c>
      <c r="D39" s="48" t="s">
        <v>29</v>
      </c>
      <c r="E39" s="49" t="s">
        <v>30</v>
      </c>
      <c r="F39" s="36"/>
      <c r="G39" s="36"/>
      <c r="H39" s="36"/>
      <c r="I39" s="36"/>
      <c r="J39" s="36"/>
      <c r="K39" s="50">
        <v>2100</v>
      </c>
      <c r="L39" s="36"/>
      <c r="M39" s="36"/>
      <c r="N39" s="36"/>
    </row>
    <row r="40" spans="1:14">
      <c r="A40" s="57"/>
      <c r="B40" s="43" t="s">
        <v>321</v>
      </c>
      <c r="C40" s="156" t="s">
        <v>300</v>
      </c>
      <c r="D40" s="48" t="s">
        <v>29</v>
      </c>
      <c r="E40" s="49" t="s">
        <v>30</v>
      </c>
      <c r="F40" s="36"/>
      <c r="G40" s="36"/>
      <c r="H40" s="36"/>
      <c r="I40" s="36"/>
      <c r="J40" s="36"/>
      <c r="K40" s="50">
        <v>1800</v>
      </c>
      <c r="L40" s="36"/>
      <c r="M40" s="36"/>
      <c r="N40" s="36"/>
    </row>
    <row r="41" spans="1:14">
      <c r="A41" s="57"/>
      <c r="B41" s="43" t="s">
        <v>322</v>
      </c>
      <c r="C41" s="156" t="s">
        <v>300</v>
      </c>
      <c r="D41" s="48" t="s">
        <v>29</v>
      </c>
      <c r="E41" s="49" t="s">
        <v>30</v>
      </c>
      <c r="F41" s="36"/>
      <c r="G41" s="36"/>
      <c r="H41" s="36"/>
      <c r="I41" s="36"/>
      <c r="J41" s="36"/>
      <c r="K41" s="50">
        <v>1800</v>
      </c>
      <c r="L41" s="36"/>
      <c r="M41" s="36"/>
      <c r="N41" s="36"/>
    </row>
    <row r="42" spans="1:14">
      <c r="A42" s="57"/>
      <c r="B42" s="42" t="s">
        <v>323</v>
      </c>
      <c r="C42" s="156" t="s">
        <v>300</v>
      </c>
      <c r="D42" s="48" t="s">
        <v>29</v>
      </c>
      <c r="E42" s="49" t="s">
        <v>30</v>
      </c>
      <c r="F42" s="36"/>
      <c r="G42" s="36"/>
      <c r="H42" s="36"/>
      <c r="I42" s="36"/>
      <c r="J42" s="36"/>
      <c r="K42" s="50">
        <v>2975</v>
      </c>
      <c r="L42" s="36"/>
      <c r="M42" s="36"/>
      <c r="N42" s="36"/>
    </row>
    <row r="43" spans="1:14">
      <c r="A43" s="57"/>
      <c r="B43" s="30" t="s">
        <v>324</v>
      </c>
      <c r="C43" s="156" t="s">
        <v>300</v>
      </c>
      <c r="D43" s="48" t="s">
        <v>29</v>
      </c>
      <c r="E43" s="49" t="s">
        <v>30</v>
      </c>
      <c r="F43" s="36"/>
      <c r="G43" s="36"/>
      <c r="H43" s="36"/>
      <c r="I43" s="36"/>
      <c r="J43" s="36"/>
      <c r="K43" s="50">
        <v>2840</v>
      </c>
      <c r="L43" s="36"/>
      <c r="M43" s="36"/>
      <c r="N43" s="36"/>
    </row>
    <row r="44" spans="1:14">
      <c r="A44" s="57"/>
      <c r="B44" s="58" t="s">
        <v>325</v>
      </c>
      <c r="C44" s="156" t="s">
        <v>300</v>
      </c>
      <c r="D44" s="48" t="s">
        <v>29</v>
      </c>
      <c r="E44" s="49" t="s">
        <v>30</v>
      </c>
      <c r="F44" s="36"/>
      <c r="G44" s="36"/>
      <c r="H44" s="36"/>
      <c r="I44" s="36"/>
      <c r="J44" s="36"/>
      <c r="K44" s="50">
        <v>1500</v>
      </c>
      <c r="L44" s="36"/>
      <c r="M44" s="36"/>
      <c r="N44" s="36"/>
    </row>
    <row r="45" spans="1:14">
      <c r="A45" s="57"/>
      <c r="B45" s="42" t="s">
        <v>326</v>
      </c>
      <c r="C45" s="156" t="s">
        <v>300</v>
      </c>
      <c r="D45" s="48" t="s">
        <v>29</v>
      </c>
      <c r="E45" s="49" t="s">
        <v>30</v>
      </c>
      <c r="F45" s="36"/>
      <c r="G45" s="36"/>
      <c r="H45" s="36"/>
      <c r="I45" s="36"/>
      <c r="J45" s="36"/>
      <c r="K45" s="50">
        <v>850</v>
      </c>
      <c r="L45" s="36"/>
      <c r="M45" s="36"/>
      <c r="N45" s="36"/>
    </row>
    <row r="46" spans="1:14">
      <c r="A46" s="57"/>
      <c r="B46" s="42" t="s">
        <v>327</v>
      </c>
      <c r="C46" s="156" t="s">
        <v>300</v>
      </c>
      <c r="D46" s="48" t="s">
        <v>29</v>
      </c>
      <c r="E46" s="49" t="s">
        <v>30</v>
      </c>
      <c r="F46" s="36"/>
      <c r="G46" s="36"/>
      <c r="H46" s="36"/>
      <c r="I46" s="36"/>
      <c r="J46" s="36"/>
      <c r="K46" s="50">
        <v>1140</v>
      </c>
      <c r="L46" s="36"/>
      <c r="M46" s="36"/>
      <c r="N46" s="36"/>
    </row>
    <row r="47" spans="1:14">
      <c r="A47" s="57" t="s">
        <v>76</v>
      </c>
      <c r="B47" s="51" t="s">
        <v>328</v>
      </c>
      <c r="C47" s="156" t="s">
        <v>300</v>
      </c>
      <c r="D47" s="48" t="s">
        <v>29</v>
      </c>
      <c r="E47" s="49" t="s">
        <v>30</v>
      </c>
      <c r="F47" s="36"/>
      <c r="G47" s="36"/>
      <c r="H47" s="36"/>
      <c r="I47" s="36"/>
      <c r="J47" s="36"/>
      <c r="K47" s="50">
        <v>259.42</v>
      </c>
      <c r="L47" s="36"/>
      <c r="M47" s="36"/>
      <c r="N47" s="36"/>
    </row>
    <row r="48" spans="1:14">
      <c r="A48" s="57" t="s">
        <v>192</v>
      </c>
      <c r="B48" s="51" t="s">
        <v>329</v>
      </c>
      <c r="C48" s="156" t="s">
        <v>300</v>
      </c>
      <c r="D48" s="48" t="s">
        <v>29</v>
      </c>
      <c r="E48" s="49" t="s">
        <v>30</v>
      </c>
      <c r="F48" s="36"/>
      <c r="G48" s="36"/>
      <c r="H48" s="36"/>
      <c r="I48" s="36"/>
      <c r="J48" s="36"/>
      <c r="K48" s="50">
        <v>414.96</v>
      </c>
      <c r="L48" s="36"/>
      <c r="M48" s="36"/>
      <c r="N48" s="36"/>
    </row>
    <row r="49" spans="1:14">
      <c r="A49" s="57" t="s">
        <v>80</v>
      </c>
      <c r="B49" s="51" t="s">
        <v>330</v>
      </c>
      <c r="C49" s="156" t="s">
        <v>300</v>
      </c>
      <c r="D49" s="48" t="s">
        <v>29</v>
      </c>
      <c r="E49" s="49" t="s">
        <v>30</v>
      </c>
      <c r="F49" s="36"/>
      <c r="G49" s="36"/>
      <c r="H49" s="36"/>
      <c r="I49" s="36"/>
      <c r="J49" s="36"/>
      <c r="K49" s="50">
        <v>212.16</v>
      </c>
      <c r="L49" s="36"/>
      <c r="M49" s="36"/>
      <c r="N49" s="36"/>
    </row>
    <row r="50" spans="1:14">
      <c r="A50" s="57" t="s">
        <v>84</v>
      </c>
      <c r="B50" s="51" t="s">
        <v>331</v>
      </c>
      <c r="C50" s="156" t="s">
        <v>300</v>
      </c>
      <c r="D50" s="48" t="s">
        <v>29</v>
      </c>
      <c r="E50" s="49" t="s">
        <v>30</v>
      </c>
      <c r="F50" s="36"/>
      <c r="G50" s="36"/>
      <c r="H50" s="36"/>
      <c r="I50" s="36"/>
      <c r="J50" s="36"/>
      <c r="K50" s="50">
        <v>1042.08</v>
      </c>
      <c r="L50" s="36"/>
      <c r="M50" s="36"/>
      <c r="N50" s="36"/>
    </row>
    <row r="51" spans="1:14">
      <c r="A51" s="51"/>
      <c r="B51" s="51" t="s">
        <v>332</v>
      </c>
      <c r="C51" s="156" t="s">
        <v>300</v>
      </c>
      <c r="D51" s="48" t="s">
        <v>29</v>
      </c>
      <c r="E51" s="49" t="s">
        <v>30</v>
      </c>
      <c r="F51" s="36"/>
      <c r="G51" s="36"/>
      <c r="H51" s="36"/>
      <c r="I51" s="36"/>
      <c r="J51" s="36"/>
      <c r="K51" s="50">
        <v>7000</v>
      </c>
      <c r="L51" s="36"/>
      <c r="M51" s="36"/>
      <c r="N51" s="36"/>
    </row>
    <row r="52" spans="1:14">
      <c r="A52" s="57"/>
      <c r="B52" s="51" t="s">
        <v>333</v>
      </c>
      <c r="C52" s="156" t="s">
        <v>300</v>
      </c>
      <c r="D52" s="48" t="s">
        <v>29</v>
      </c>
      <c r="E52" s="49" t="s">
        <v>30</v>
      </c>
      <c r="F52" s="36"/>
      <c r="G52" s="36"/>
      <c r="H52" s="36"/>
      <c r="I52" s="36"/>
      <c r="J52" s="36"/>
      <c r="K52" s="50">
        <v>5000</v>
      </c>
      <c r="L52" s="36"/>
      <c r="M52" s="36"/>
      <c r="N52" s="36"/>
    </row>
    <row r="53" spans="1:14">
      <c r="A53" s="51" t="s">
        <v>43</v>
      </c>
      <c r="B53" s="51" t="s">
        <v>334</v>
      </c>
      <c r="C53" s="156" t="s">
        <v>300</v>
      </c>
      <c r="D53" s="48" t="s">
        <v>29</v>
      </c>
      <c r="E53" s="49" t="s">
        <v>30</v>
      </c>
      <c r="F53" s="36"/>
      <c r="G53" s="36"/>
      <c r="H53" s="36"/>
      <c r="I53" s="36"/>
      <c r="J53" s="36"/>
      <c r="K53" s="50">
        <v>143</v>
      </c>
      <c r="L53" s="36"/>
      <c r="M53" s="36"/>
      <c r="N53" s="36"/>
    </row>
    <row r="54" spans="1:14">
      <c r="A54" s="57" t="s">
        <v>47</v>
      </c>
      <c r="B54" s="51" t="s">
        <v>48</v>
      </c>
      <c r="C54" s="156" t="s">
        <v>300</v>
      </c>
      <c r="D54" s="48" t="s">
        <v>29</v>
      </c>
      <c r="E54" s="49" t="s">
        <v>30</v>
      </c>
      <c r="F54" s="36"/>
      <c r="G54" s="36"/>
      <c r="H54" s="36"/>
      <c r="I54" s="36"/>
      <c r="J54" s="36"/>
      <c r="K54" s="50">
        <v>40.36</v>
      </c>
      <c r="L54" s="36"/>
      <c r="M54" s="36"/>
      <c r="N54" s="36"/>
    </row>
    <row r="55" spans="1:14">
      <c r="A55" s="57" t="s">
        <v>176</v>
      </c>
      <c r="B55" s="51" t="s">
        <v>335</v>
      </c>
      <c r="C55" s="156" t="s">
        <v>300</v>
      </c>
      <c r="D55" s="48" t="s">
        <v>29</v>
      </c>
      <c r="E55" s="49" t="s">
        <v>30</v>
      </c>
      <c r="F55" s="36"/>
      <c r="G55" s="36"/>
      <c r="H55" s="36"/>
      <c r="I55" s="36"/>
      <c r="J55" s="36"/>
      <c r="K55" s="50">
        <v>215.28</v>
      </c>
      <c r="L55" s="36"/>
      <c r="M55" s="36"/>
      <c r="N55" s="36"/>
    </row>
    <row r="56" spans="1:14">
      <c r="A56" s="57"/>
      <c r="B56" s="51" t="s">
        <v>165</v>
      </c>
      <c r="C56" s="156" t="s">
        <v>300</v>
      </c>
      <c r="D56" s="48" t="s">
        <v>29</v>
      </c>
      <c r="E56" s="49" t="s">
        <v>30</v>
      </c>
      <c r="F56" s="36"/>
      <c r="G56" s="36"/>
      <c r="H56" s="36"/>
      <c r="I56" s="36"/>
      <c r="J56" s="36"/>
      <c r="K56" s="50">
        <v>3140</v>
      </c>
      <c r="L56" s="36"/>
      <c r="M56" s="36"/>
      <c r="N56" s="36"/>
    </row>
    <row r="57" spans="1:14">
      <c r="A57" s="57" t="s">
        <v>336</v>
      </c>
      <c r="B57" s="51" t="s">
        <v>337</v>
      </c>
      <c r="C57" s="156" t="s">
        <v>300</v>
      </c>
      <c r="D57" s="48" t="s">
        <v>29</v>
      </c>
      <c r="E57" s="49" t="s">
        <v>30</v>
      </c>
      <c r="F57" s="36"/>
      <c r="G57" s="36"/>
      <c r="H57" s="36"/>
      <c r="I57" s="36"/>
      <c r="J57" s="36"/>
      <c r="K57" s="50">
        <v>502.32</v>
      </c>
      <c r="L57" s="36"/>
      <c r="M57" s="36"/>
      <c r="N57" s="36"/>
    </row>
    <row r="58" spans="1:14">
      <c r="A58" s="57" t="s">
        <v>249</v>
      </c>
      <c r="B58" s="51" t="s">
        <v>250</v>
      </c>
      <c r="C58" s="156" t="s">
        <v>300</v>
      </c>
      <c r="D58" s="48" t="s">
        <v>29</v>
      </c>
      <c r="E58" s="49" t="s">
        <v>30</v>
      </c>
      <c r="F58" s="36"/>
      <c r="G58" s="36"/>
      <c r="H58" s="36"/>
      <c r="I58" s="36"/>
      <c r="J58" s="36"/>
      <c r="K58" s="50">
        <v>222.6</v>
      </c>
      <c r="L58" s="36"/>
      <c r="M58" s="36"/>
      <c r="N58" s="36"/>
    </row>
    <row r="59" spans="1:14">
      <c r="A59" s="57" t="s">
        <v>338</v>
      </c>
      <c r="B59" s="57" t="s">
        <v>339</v>
      </c>
      <c r="C59" s="156" t="s">
        <v>300</v>
      </c>
      <c r="D59" s="48" t="s">
        <v>29</v>
      </c>
      <c r="E59" s="49" t="s">
        <v>30</v>
      </c>
      <c r="F59" s="36"/>
      <c r="G59" s="36"/>
      <c r="H59" s="36"/>
      <c r="I59" s="36"/>
      <c r="J59" s="36"/>
      <c r="K59" s="50">
        <v>462</v>
      </c>
      <c r="L59" s="36"/>
      <c r="M59" s="36"/>
      <c r="N59" s="36"/>
    </row>
    <row r="60" spans="1:14">
      <c r="A60" s="57" t="s">
        <v>137</v>
      </c>
      <c r="B60" s="51" t="s">
        <v>340</v>
      </c>
      <c r="C60" s="156" t="s">
        <v>300</v>
      </c>
      <c r="D60" s="48" t="s">
        <v>29</v>
      </c>
      <c r="E60" s="49" t="s">
        <v>30</v>
      </c>
      <c r="F60" s="36"/>
      <c r="G60" s="36"/>
      <c r="H60" s="36"/>
      <c r="I60" s="36"/>
      <c r="J60" s="36"/>
      <c r="K60" s="50">
        <v>1854.32</v>
      </c>
      <c r="L60" s="36"/>
      <c r="M60" s="36"/>
      <c r="N60" s="36"/>
    </row>
    <row r="61" spans="1:14">
      <c r="A61" s="57" t="s">
        <v>341</v>
      </c>
      <c r="B61" s="51" t="s">
        <v>342</v>
      </c>
      <c r="C61" s="156" t="s">
        <v>300</v>
      </c>
      <c r="D61" s="48" t="s">
        <v>29</v>
      </c>
      <c r="E61" s="49" t="s">
        <v>30</v>
      </c>
      <c r="F61" s="36"/>
      <c r="G61" s="36"/>
      <c r="H61" s="36"/>
      <c r="I61" s="36"/>
      <c r="J61" s="36"/>
      <c r="K61" s="50">
        <v>738.4</v>
      </c>
      <c r="L61" s="36"/>
      <c r="M61" s="36"/>
      <c r="N61" s="36"/>
    </row>
    <row r="62" spans="1:14">
      <c r="A62" s="59"/>
      <c r="B62" s="60" t="s">
        <v>343</v>
      </c>
      <c r="C62" s="156" t="s">
        <v>300</v>
      </c>
      <c r="D62" s="48" t="s">
        <v>29</v>
      </c>
      <c r="E62" s="49" t="s">
        <v>30</v>
      </c>
      <c r="F62" s="36"/>
      <c r="G62" s="36"/>
      <c r="H62" s="36"/>
      <c r="I62" s="36"/>
      <c r="J62" s="36"/>
      <c r="K62" s="50">
        <v>500</v>
      </c>
      <c r="L62" s="36"/>
      <c r="M62" s="36"/>
      <c r="N62" s="36"/>
    </row>
    <row r="63" spans="1:14" s="155" customFormat="1">
      <c r="A63" s="107"/>
      <c r="B63" s="107" t="s">
        <v>23</v>
      </c>
      <c r="C63" s="107"/>
      <c r="D63" s="107"/>
      <c r="E63" s="107"/>
      <c r="F63" s="107"/>
      <c r="G63" s="107"/>
      <c r="H63" s="107"/>
      <c r="I63" s="107"/>
      <c r="J63" s="107"/>
      <c r="K63" s="132">
        <f>SUM(K12:K62)</f>
        <v>65012.58</v>
      </c>
      <c r="L63" s="107"/>
      <c r="M63" s="107"/>
      <c r="N63" s="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91"/>
  <sheetViews>
    <sheetView tabSelected="0" workbookViewId="0" zoomScale="85" zoomScaleNormal="85" showGridLines="true" showRowColHeaders="1">
      <selection activeCell="K91" sqref="K91"/>
    </sheetView>
  </sheetViews>
  <sheetFormatPr defaultRowHeight="14.4" defaultColWidth="20.7109375" outlineLevelRow="0" outlineLevelCol="0"/>
  <cols>
    <col min="1" max="1" width="20.85546875" customWidth="true" style="63"/>
    <col min="2" max="2" width="56.28515625" customWidth="true" style="63"/>
    <col min="3" max="3" width="20.7109375" style="63"/>
    <col min="4" max="4" width="15.7109375" customWidth="true" style="63"/>
    <col min="5" max="5" width="15.7109375" customWidth="true" style="63"/>
    <col min="6" max="6" width="15.7109375" customWidth="true" style="63"/>
    <col min="7" max="7" width="15.7109375" customWidth="true" style="63"/>
    <col min="8" max="8" width="15.7109375" customWidth="true" style="63"/>
    <col min="9" max="9" width="15.7109375" customWidth="true" style="63"/>
    <col min="10" max="10" width="15.7109375" customWidth="true" style="63"/>
    <col min="11" max="11" width="15.7109375" customWidth="true" style="63"/>
    <col min="12" max="12" width="15.7109375" customWidth="true" style="63"/>
    <col min="13" max="13" width="24" customWidth="true" style="63"/>
    <col min="14" max="14" width="20.7109375" style="63"/>
    <col min="15" max="15" width="20.7109375" style="64"/>
  </cols>
  <sheetData>
    <row r="1" spans="1:15">
      <c r="A1" s="61" t="s">
        <v>0</v>
      </c>
      <c r="B1" s="62"/>
      <c r="C1" s="62"/>
      <c r="D1" s="62"/>
      <c r="E1" s="62"/>
    </row>
    <row r="2" spans="1:15">
      <c r="A2" s="65"/>
      <c r="B2" s="62"/>
      <c r="C2" s="62"/>
      <c r="D2" s="62"/>
      <c r="E2" s="62"/>
    </row>
    <row r="3" spans="1:15">
      <c r="A3" s="364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5">
      <c r="B4" s="66"/>
      <c r="C4" s="66"/>
      <c r="D4" s="66"/>
      <c r="E4" s="66"/>
    </row>
    <row r="5" spans="1:15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</row>
    <row r="6" spans="1:15">
      <c r="A6" s="69" t="s">
        <v>4</v>
      </c>
      <c r="B6" s="272" t="s">
        <v>5</v>
      </c>
      <c r="C6" s="70"/>
      <c r="D6" s="69" t="s">
        <v>6</v>
      </c>
      <c r="E6" s="70"/>
      <c r="F6" s="274" t="s">
        <v>344</v>
      </c>
    </row>
    <row r="7" spans="1:15">
      <c r="A7" s="69" t="s">
        <v>8</v>
      </c>
      <c r="B7" s="273" t="s">
        <v>9</v>
      </c>
    </row>
    <row r="9" spans="1:15" customHeight="1" ht="16.15"/>
    <row r="10" spans="1:15" customHeight="1" ht="15.6" s="65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5" customHeight="1" ht="33.6" s="65" customFormat="1">
      <c r="A11" s="361"/>
      <c r="B11" s="363"/>
      <c r="C11" s="363"/>
      <c r="D11" s="365"/>
      <c r="E11" s="363"/>
      <c r="F11" s="90" t="s">
        <v>19</v>
      </c>
      <c r="G11" s="90" t="s">
        <v>20</v>
      </c>
      <c r="H11" s="90" t="s">
        <v>21</v>
      </c>
      <c r="I11" s="90" t="s">
        <v>22</v>
      </c>
      <c r="J11" s="358"/>
      <c r="K11" s="46" t="s">
        <v>23</v>
      </c>
      <c r="L11" s="46" t="s">
        <v>24</v>
      </c>
      <c r="M11" s="46" t="s">
        <v>25</v>
      </c>
      <c r="N11" s="354"/>
    </row>
    <row r="12" spans="1:15">
      <c r="A12" s="29" t="s">
        <v>110</v>
      </c>
      <c r="B12" s="31" t="s">
        <v>345</v>
      </c>
      <c r="C12" s="181" t="s">
        <v>346</v>
      </c>
      <c r="D12" s="88" t="s">
        <v>29</v>
      </c>
      <c r="E12" s="89" t="s">
        <v>30</v>
      </c>
      <c r="F12" s="87"/>
      <c r="G12" s="87"/>
      <c r="H12" s="87"/>
      <c r="I12" s="87"/>
      <c r="J12" s="36"/>
      <c r="K12" s="182">
        <v>661.1</v>
      </c>
      <c r="L12" s="36"/>
      <c r="M12" s="36"/>
      <c r="N12" s="36"/>
    </row>
    <row r="13" spans="1:15">
      <c r="A13" s="29" t="s">
        <v>31</v>
      </c>
      <c r="B13" s="31" t="s">
        <v>32</v>
      </c>
      <c r="C13" s="181" t="s">
        <v>346</v>
      </c>
      <c r="D13" s="88" t="s">
        <v>29</v>
      </c>
      <c r="E13" s="89" t="s">
        <v>30</v>
      </c>
      <c r="F13" s="36"/>
      <c r="G13" s="36"/>
      <c r="H13" s="36"/>
      <c r="I13" s="36"/>
      <c r="J13" s="36"/>
      <c r="K13" s="183">
        <v>710.4</v>
      </c>
      <c r="L13" s="36"/>
      <c r="M13" s="36"/>
      <c r="N13" s="36"/>
    </row>
    <row r="14" spans="1:15">
      <c r="A14" s="29" t="s">
        <v>239</v>
      </c>
      <c r="B14" s="31" t="s">
        <v>347</v>
      </c>
      <c r="C14" s="181" t="s">
        <v>346</v>
      </c>
      <c r="D14" s="88" t="s">
        <v>29</v>
      </c>
      <c r="E14" s="89" t="s">
        <v>30</v>
      </c>
      <c r="F14" s="36"/>
      <c r="G14" s="36"/>
      <c r="H14" s="36"/>
      <c r="I14" s="36"/>
      <c r="J14" s="36"/>
      <c r="K14" s="183">
        <v>710.4</v>
      </c>
      <c r="L14" s="36"/>
      <c r="M14" s="36"/>
      <c r="N14" s="36"/>
    </row>
    <row r="15" spans="1:15">
      <c r="A15" s="29" t="s">
        <v>348</v>
      </c>
      <c r="B15" s="31" t="s">
        <v>349</v>
      </c>
      <c r="C15" s="181" t="s">
        <v>346</v>
      </c>
      <c r="D15" s="88" t="s">
        <v>29</v>
      </c>
      <c r="E15" s="89" t="s">
        <v>30</v>
      </c>
      <c r="F15" s="36"/>
      <c r="G15" s="36"/>
      <c r="H15" s="36"/>
      <c r="I15" s="36"/>
      <c r="J15" s="36"/>
      <c r="K15" s="183">
        <v>177.6</v>
      </c>
      <c r="L15" s="36"/>
      <c r="M15" s="36"/>
      <c r="N15" s="36"/>
    </row>
    <row r="16" spans="1:15" customHeight="1" ht="28.5">
      <c r="A16" s="29" t="s">
        <v>33</v>
      </c>
      <c r="B16" s="71" t="s">
        <v>34</v>
      </c>
      <c r="C16" s="181" t="s">
        <v>346</v>
      </c>
      <c r="D16" s="88" t="s">
        <v>29</v>
      </c>
      <c r="E16" s="89" t="s">
        <v>30</v>
      </c>
      <c r="F16" s="36"/>
      <c r="G16" s="36"/>
      <c r="H16" s="36"/>
      <c r="I16" s="36"/>
      <c r="J16" s="36"/>
      <c r="K16" s="183">
        <v>163.92</v>
      </c>
      <c r="L16" s="36"/>
      <c r="M16" s="36"/>
      <c r="N16" s="36"/>
    </row>
    <row r="17" spans="1:15" customHeight="1" ht="28.5">
      <c r="A17" s="29" t="s">
        <v>241</v>
      </c>
      <c r="B17" s="71" t="s">
        <v>242</v>
      </c>
      <c r="C17" s="181" t="s">
        <v>346</v>
      </c>
      <c r="D17" s="88" t="s">
        <v>29</v>
      </c>
      <c r="E17" s="89" t="s">
        <v>30</v>
      </c>
      <c r="F17" s="36"/>
      <c r="G17" s="36"/>
      <c r="H17" s="36"/>
      <c r="I17" s="36"/>
      <c r="J17" s="36"/>
      <c r="K17" s="183">
        <v>146.72</v>
      </c>
      <c r="L17" s="36"/>
      <c r="M17" s="36"/>
      <c r="N17" s="36"/>
    </row>
    <row r="18" spans="1:15">
      <c r="A18" s="72" t="s">
        <v>114</v>
      </c>
      <c r="B18" s="31" t="s">
        <v>171</v>
      </c>
      <c r="C18" s="181" t="s">
        <v>346</v>
      </c>
      <c r="D18" s="88" t="s">
        <v>29</v>
      </c>
      <c r="E18" s="89" t="s">
        <v>30</v>
      </c>
      <c r="F18" s="36"/>
      <c r="G18" s="36"/>
      <c r="H18" s="36"/>
      <c r="I18" s="36"/>
      <c r="J18" s="36"/>
      <c r="K18" s="183">
        <v>653.12</v>
      </c>
      <c r="L18" s="36"/>
      <c r="M18" s="36"/>
      <c r="N18" s="36"/>
    </row>
    <row r="19" spans="1:15">
      <c r="A19" s="30" t="s">
        <v>35</v>
      </c>
      <c r="B19" s="31" t="s">
        <v>36</v>
      </c>
      <c r="C19" s="181" t="s">
        <v>346</v>
      </c>
      <c r="D19" s="88" t="s">
        <v>29</v>
      </c>
      <c r="E19" s="89" t="s">
        <v>30</v>
      </c>
      <c r="F19" s="36"/>
      <c r="G19" s="36"/>
      <c r="H19" s="36"/>
      <c r="I19" s="36"/>
      <c r="J19" s="36"/>
      <c r="K19" s="183">
        <v>136.24</v>
      </c>
      <c r="L19" s="36"/>
      <c r="M19" s="36"/>
      <c r="N19" s="36"/>
    </row>
    <row r="20" spans="1:15">
      <c r="A20" s="29" t="s">
        <v>350</v>
      </c>
      <c r="B20" s="31" t="s">
        <v>351</v>
      </c>
      <c r="C20" s="181" t="s">
        <v>346</v>
      </c>
      <c r="D20" s="88" t="s">
        <v>29</v>
      </c>
      <c r="E20" s="89" t="s">
        <v>30</v>
      </c>
      <c r="F20" s="36"/>
      <c r="G20" s="36"/>
      <c r="H20" s="36"/>
      <c r="I20" s="36"/>
      <c r="J20" s="36"/>
      <c r="K20" s="183">
        <v>24.9</v>
      </c>
      <c r="L20" s="36"/>
      <c r="M20" s="36"/>
      <c r="N20" s="36"/>
    </row>
    <row r="21" spans="1:15">
      <c r="A21" s="29" t="s">
        <v>172</v>
      </c>
      <c r="B21" s="71" t="s">
        <v>173</v>
      </c>
      <c r="C21" s="181" t="s">
        <v>346</v>
      </c>
      <c r="D21" s="88" t="s">
        <v>29</v>
      </c>
      <c r="E21" s="89" t="s">
        <v>30</v>
      </c>
      <c r="F21" s="36"/>
      <c r="G21" s="36"/>
      <c r="H21" s="36"/>
      <c r="I21" s="36"/>
      <c r="J21" s="36"/>
      <c r="K21" s="183">
        <v>54.08</v>
      </c>
      <c r="L21" s="36"/>
      <c r="M21" s="36"/>
      <c r="N21" s="36"/>
    </row>
    <row r="22" spans="1:15">
      <c r="A22" s="30" t="s">
        <v>37</v>
      </c>
      <c r="B22" s="73" t="s">
        <v>38</v>
      </c>
      <c r="C22" s="181" t="s">
        <v>346</v>
      </c>
      <c r="D22" s="88" t="s">
        <v>29</v>
      </c>
      <c r="E22" s="89" t="s">
        <v>30</v>
      </c>
      <c r="F22" s="36"/>
      <c r="G22" s="36"/>
      <c r="H22" s="36"/>
      <c r="I22" s="36"/>
      <c r="J22" s="36"/>
      <c r="K22" s="183">
        <v>559.56</v>
      </c>
      <c r="L22" s="36"/>
      <c r="M22" s="36"/>
      <c r="N22" s="36"/>
    </row>
    <row r="23" spans="1:15">
      <c r="A23" s="29" t="s">
        <v>122</v>
      </c>
      <c r="B23" s="31" t="s">
        <v>302</v>
      </c>
      <c r="C23" s="181" t="s">
        <v>346</v>
      </c>
      <c r="D23" s="88" t="s">
        <v>29</v>
      </c>
      <c r="E23" s="89" t="s">
        <v>30</v>
      </c>
      <c r="F23" s="36"/>
      <c r="G23" s="36"/>
      <c r="H23" s="36"/>
      <c r="I23" s="36"/>
      <c r="J23" s="36"/>
      <c r="K23" s="183">
        <v>85.9</v>
      </c>
      <c r="L23" s="36"/>
      <c r="M23" s="36"/>
      <c r="N23" s="36"/>
    </row>
    <row r="24" spans="1:15" customHeight="1" ht="28.5">
      <c r="A24" s="29" t="s">
        <v>126</v>
      </c>
      <c r="B24" s="71" t="s">
        <v>127</v>
      </c>
      <c r="C24" s="181" t="s">
        <v>346</v>
      </c>
      <c r="D24" s="88" t="s">
        <v>29</v>
      </c>
      <c r="E24" s="89" t="s">
        <v>30</v>
      </c>
      <c r="F24" s="36"/>
      <c r="G24" s="36"/>
      <c r="H24" s="36"/>
      <c r="I24" s="36"/>
      <c r="J24" s="36"/>
      <c r="K24" s="183">
        <v>144.04</v>
      </c>
      <c r="L24" s="36"/>
      <c r="M24" s="36"/>
      <c r="N24" s="36"/>
    </row>
    <row r="25" spans="1:15">
      <c r="A25" s="29" t="s">
        <v>178</v>
      </c>
      <c r="B25" s="31" t="s">
        <v>179</v>
      </c>
      <c r="C25" s="181" t="s">
        <v>346</v>
      </c>
      <c r="D25" s="88" t="s">
        <v>29</v>
      </c>
      <c r="E25" s="89" t="s">
        <v>30</v>
      </c>
      <c r="F25" s="36"/>
      <c r="G25" s="36"/>
      <c r="H25" s="36"/>
      <c r="I25" s="36"/>
      <c r="J25" s="36"/>
      <c r="K25" s="183">
        <v>28.91</v>
      </c>
      <c r="L25" s="36"/>
      <c r="M25" s="36"/>
      <c r="N25" s="36"/>
    </row>
    <row r="26" spans="1:15">
      <c r="A26" s="30" t="s">
        <v>249</v>
      </c>
      <c r="B26" s="31" t="s">
        <v>250</v>
      </c>
      <c r="C26" s="181" t="s">
        <v>346</v>
      </c>
      <c r="D26" s="88" t="s">
        <v>29</v>
      </c>
      <c r="E26" s="89" t="s">
        <v>30</v>
      </c>
      <c r="F26" s="36"/>
      <c r="G26" s="36"/>
      <c r="H26" s="36"/>
      <c r="I26" s="36"/>
      <c r="J26" s="36"/>
      <c r="K26" s="183">
        <v>599.04</v>
      </c>
      <c r="L26" s="36"/>
      <c r="M26" s="36"/>
      <c r="N26" s="36"/>
    </row>
    <row r="27" spans="1:15">
      <c r="A27" s="29" t="s">
        <v>43</v>
      </c>
      <c r="B27" s="31" t="s">
        <v>44</v>
      </c>
      <c r="C27" s="181" t="s">
        <v>346</v>
      </c>
      <c r="D27" s="88" t="s">
        <v>29</v>
      </c>
      <c r="E27" s="89" t="s">
        <v>30</v>
      </c>
      <c r="F27" s="36"/>
      <c r="G27" s="36"/>
      <c r="H27" s="36"/>
      <c r="I27" s="36"/>
      <c r="J27" s="36"/>
      <c r="K27" s="183">
        <v>141.44</v>
      </c>
      <c r="L27" s="36"/>
      <c r="M27" s="36"/>
      <c r="N27" s="36"/>
    </row>
    <row r="28" spans="1:15">
      <c r="A28" s="29" t="s">
        <v>182</v>
      </c>
      <c r="B28" s="31" t="s">
        <v>183</v>
      </c>
      <c r="C28" s="181" t="s">
        <v>346</v>
      </c>
      <c r="D28" s="88" t="s">
        <v>29</v>
      </c>
      <c r="E28" s="89" t="s">
        <v>30</v>
      </c>
      <c r="F28" s="36"/>
      <c r="G28" s="36"/>
      <c r="H28" s="36"/>
      <c r="I28" s="36"/>
      <c r="J28" s="36"/>
      <c r="K28" s="183">
        <v>363.48</v>
      </c>
      <c r="L28" s="36"/>
      <c r="M28" s="36"/>
      <c r="N28" s="36"/>
    </row>
    <row r="29" spans="1:15">
      <c r="A29" s="29" t="s">
        <v>305</v>
      </c>
      <c r="B29" s="31" t="s">
        <v>306</v>
      </c>
      <c r="C29" s="181" t="s">
        <v>346</v>
      </c>
      <c r="D29" s="88" t="s">
        <v>29</v>
      </c>
      <c r="E29" s="89" t="s">
        <v>30</v>
      </c>
      <c r="F29" s="36"/>
      <c r="G29" s="36"/>
      <c r="H29" s="36"/>
      <c r="I29" s="36"/>
      <c r="J29" s="36"/>
      <c r="K29" s="183">
        <v>178.88</v>
      </c>
      <c r="L29" s="36"/>
      <c r="M29" s="36"/>
      <c r="N29" s="36"/>
    </row>
    <row r="30" spans="1:15">
      <c r="A30" s="29" t="s">
        <v>47</v>
      </c>
      <c r="B30" s="31" t="s">
        <v>48</v>
      </c>
      <c r="C30" s="181" t="s">
        <v>346</v>
      </c>
      <c r="D30" s="88" t="s">
        <v>29</v>
      </c>
      <c r="E30" s="89" t="s">
        <v>30</v>
      </c>
      <c r="F30" s="36"/>
      <c r="G30" s="36"/>
      <c r="H30" s="36"/>
      <c r="I30" s="36"/>
      <c r="J30" s="36"/>
      <c r="K30" s="183">
        <v>223.6</v>
      </c>
      <c r="L30" s="36"/>
      <c r="M30" s="36"/>
      <c r="N30" s="36"/>
    </row>
    <row r="31" spans="1:15">
      <c r="A31" s="29" t="s">
        <v>130</v>
      </c>
      <c r="B31" s="31" t="s">
        <v>131</v>
      </c>
      <c r="C31" s="181" t="s">
        <v>346</v>
      </c>
      <c r="D31" s="88" t="s">
        <v>29</v>
      </c>
      <c r="E31" s="89" t="s">
        <v>30</v>
      </c>
      <c r="F31" s="36"/>
      <c r="G31" s="36"/>
      <c r="H31" s="36"/>
      <c r="I31" s="36"/>
      <c r="J31" s="36"/>
      <c r="K31" s="183">
        <v>67.71</v>
      </c>
      <c r="L31" s="36"/>
      <c r="M31" s="36"/>
      <c r="N31" s="36"/>
    </row>
    <row r="32" spans="1:15">
      <c r="A32" s="29" t="s">
        <v>49</v>
      </c>
      <c r="B32" s="31" t="s">
        <v>50</v>
      </c>
      <c r="C32" s="181" t="s">
        <v>346</v>
      </c>
      <c r="D32" s="88" t="s">
        <v>29</v>
      </c>
      <c r="E32" s="89" t="s">
        <v>30</v>
      </c>
      <c r="F32" s="36"/>
      <c r="G32" s="36"/>
      <c r="H32" s="36"/>
      <c r="I32" s="36"/>
      <c r="J32" s="36"/>
      <c r="K32" s="183">
        <v>66.56</v>
      </c>
      <c r="L32" s="36"/>
      <c r="M32" s="36"/>
      <c r="N32" s="36"/>
    </row>
    <row r="33" spans="1:15">
      <c r="A33" s="29" t="s">
        <v>55</v>
      </c>
      <c r="B33" s="31" t="s">
        <v>56</v>
      </c>
      <c r="C33" s="181" t="s">
        <v>346</v>
      </c>
      <c r="D33" s="88" t="s">
        <v>29</v>
      </c>
      <c r="E33" s="89" t="s">
        <v>30</v>
      </c>
      <c r="F33" s="36"/>
      <c r="G33" s="36"/>
      <c r="H33" s="36"/>
      <c r="I33" s="36"/>
      <c r="J33" s="36"/>
      <c r="K33" s="183">
        <v>461.2</v>
      </c>
      <c r="L33" s="36"/>
      <c r="M33" s="36"/>
      <c r="N33" s="36"/>
    </row>
    <row r="34" spans="1:15">
      <c r="A34" s="29" t="s">
        <v>307</v>
      </c>
      <c r="B34" s="71" t="s">
        <v>308</v>
      </c>
      <c r="C34" s="181" t="s">
        <v>346</v>
      </c>
      <c r="D34" s="88" t="s">
        <v>29</v>
      </c>
      <c r="E34" s="89" t="s">
        <v>30</v>
      </c>
      <c r="F34" s="36"/>
      <c r="G34" s="36"/>
      <c r="H34" s="36"/>
      <c r="I34" s="36"/>
      <c r="J34" s="36"/>
      <c r="K34" s="183">
        <v>267.44</v>
      </c>
      <c r="L34" s="36"/>
      <c r="M34" s="36"/>
      <c r="N34" s="36"/>
    </row>
    <row r="35" spans="1:15">
      <c r="A35" s="29" t="s">
        <v>186</v>
      </c>
      <c r="B35" s="31" t="s">
        <v>187</v>
      </c>
      <c r="C35" s="181" t="s">
        <v>346</v>
      </c>
      <c r="D35" s="88" t="s">
        <v>29</v>
      </c>
      <c r="E35" s="89" t="s">
        <v>30</v>
      </c>
      <c r="F35" s="36"/>
      <c r="G35" s="36"/>
      <c r="H35" s="36"/>
      <c r="I35" s="36"/>
      <c r="J35" s="36"/>
      <c r="K35" s="183">
        <v>609.8</v>
      </c>
      <c r="L35" s="36"/>
      <c r="M35" s="36"/>
      <c r="N35" s="36"/>
    </row>
    <row r="36" spans="1:15">
      <c r="A36" s="29" t="s">
        <v>255</v>
      </c>
      <c r="B36" s="31" t="s">
        <v>256</v>
      </c>
      <c r="C36" s="181" t="s">
        <v>346</v>
      </c>
      <c r="D36" s="88" t="s">
        <v>29</v>
      </c>
      <c r="E36" s="89" t="s">
        <v>30</v>
      </c>
      <c r="F36" s="36"/>
      <c r="G36" s="36"/>
      <c r="H36" s="36"/>
      <c r="I36" s="36"/>
      <c r="J36" s="36"/>
      <c r="K36" s="183">
        <v>73.32</v>
      </c>
      <c r="L36" s="36"/>
      <c r="M36" s="36"/>
      <c r="N36" s="36"/>
    </row>
    <row r="37" spans="1:15">
      <c r="A37" s="30" t="s">
        <v>64</v>
      </c>
      <c r="B37" s="31" t="s">
        <v>65</v>
      </c>
      <c r="C37" s="181" t="s">
        <v>346</v>
      </c>
      <c r="D37" s="88" t="s">
        <v>29</v>
      </c>
      <c r="E37" s="89" t="s">
        <v>30</v>
      </c>
      <c r="F37" s="36"/>
      <c r="G37" s="36"/>
      <c r="H37" s="36"/>
      <c r="I37" s="36"/>
      <c r="J37" s="36"/>
      <c r="K37" s="183">
        <v>59.76</v>
      </c>
      <c r="L37" s="36"/>
      <c r="M37" s="36"/>
      <c r="N37" s="36"/>
    </row>
    <row r="38" spans="1:15">
      <c r="A38" s="30" t="s">
        <v>145</v>
      </c>
      <c r="B38" s="31" t="s">
        <v>146</v>
      </c>
      <c r="C38" s="181" t="s">
        <v>346</v>
      </c>
      <c r="D38" s="88" t="s">
        <v>29</v>
      </c>
      <c r="E38" s="89" t="s">
        <v>30</v>
      </c>
      <c r="F38" s="36"/>
      <c r="G38" s="36"/>
      <c r="H38" s="36"/>
      <c r="I38" s="36"/>
      <c r="J38" s="36"/>
      <c r="K38" s="183">
        <v>38.6</v>
      </c>
      <c r="L38" s="36"/>
      <c r="M38" s="36"/>
      <c r="N38" s="36"/>
    </row>
    <row r="39" spans="1:15">
      <c r="A39" s="29" t="s">
        <v>66</v>
      </c>
      <c r="B39" s="31" t="s">
        <v>67</v>
      </c>
      <c r="C39" s="181" t="s">
        <v>346</v>
      </c>
      <c r="D39" s="88" t="s">
        <v>29</v>
      </c>
      <c r="E39" s="89" t="s">
        <v>30</v>
      </c>
      <c r="F39" s="36"/>
      <c r="G39" s="36"/>
      <c r="H39" s="36"/>
      <c r="I39" s="36"/>
      <c r="J39" s="36"/>
      <c r="K39" s="183">
        <v>70.56</v>
      </c>
      <c r="L39" s="36"/>
      <c r="M39" s="36"/>
      <c r="N39" s="36"/>
    </row>
    <row r="40" spans="1:15">
      <c r="A40" s="29" t="s">
        <v>68</v>
      </c>
      <c r="B40" s="74" t="s">
        <v>69</v>
      </c>
      <c r="C40" s="181" t="s">
        <v>346</v>
      </c>
      <c r="D40" s="88" t="s">
        <v>29</v>
      </c>
      <c r="E40" s="89" t="s">
        <v>30</v>
      </c>
      <c r="F40" s="36"/>
      <c r="G40" s="36"/>
      <c r="H40" s="36"/>
      <c r="I40" s="36"/>
      <c r="J40" s="36"/>
      <c r="K40" s="183">
        <v>110.24</v>
      </c>
      <c r="L40" s="36"/>
      <c r="M40" s="36"/>
      <c r="N40" s="36"/>
    </row>
    <row r="41" spans="1:15" customHeight="1" ht="28.5">
      <c r="A41" s="29" t="s">
        <v>147</v>
      </c>
      <c r="B41" s="71" t="s">
        <v>148</v>
      </c>
      <c r="C41" s="181" t="s">
        <v>346</v>
      </c>
      <c r="D41" s="88" t="s">
        <v>29</v>
      </c>
      <c r="E41" s="89" t="s">
        <v>30</v>
      </c>
      <c r="F41" s="36"/>
      <c r="G41" s="36"/>
      <c r="H41" s="36"/>
      <c r="I41" s="36"/>
      <c r="J41" s="36"/>
      <c r="K41" s="183">
        <v>41.58</v>
      </c>
      <c r="L41" s="36"/>
      <c r="M41" s="36"/>
      <c r="N41" s="36"/>
    </row>
    <row r="42" spans="1:15">
      <c r="A42" s="29" t="s">
        <v>263</v>
      </c>
      <c r="B42" s="31" t="s">
        <v>264</v>
      </c>
      <c r="C42" s="181" t="s">
        <v>346</v>
      </c>
      <c r="D42" s="88" t="s">
        <v>29</v>
      </c>
      <c r="E42" s="89" t="s">
        <v>30</v>
      </c>
      <c r="F42" s="36"/>
      <c r="G42" s="36"/>
      <c r="H42" s="36"/>
      <c r="I42" s="36"/>
      <c r="J42" s="36"/>
      <c r="K42" s="183">
        <v>270.4</v>
      </c>
      <c r="L42" s="36"/>
      <c r="M42" s="36"/>
      <c r="N42" s="36"/>
    </row>
    <row r="43" spans="1:15">
      <c r="A43" s="29" t="s">
        <v>72</v>
      </c>
      <c r="B43" s="31" t="s">
        <v>73</v>
      </c>
      <c r="C43" s="181" t="s">
        <v>346</v>
      </c>
      <c r="D43" s="88" t="s">
        <v>29</v>
      </c>
      <c r="E43" s="89" t="s">
        <v>30</v>
      </c>
      <c r="F43" s="36"/>
      <c r="G43" s="36"/>
      <c r="H43" s="36"/>
      <c r="I43" s="36"/>
      <c r="J43" s="36"/>
      <c r="K43" s="183">
        <v>39.92</v>
      </c>
      <c r="L43" s="36"/>
      <c r="M43" s="36"/>
      <c r="N43" s="36"/>
    </row>
    <row r="44" spans="1:15">
      <c r="A44" s="30" t="s">
        <v>190</v>
      </c>
      <c r="B44" s="31" t="s">
        <v>191</v>
      </c>
      <c r="C44" s="181" t="s">
        <v>346</v>
      </c>
      <c r="D44" s="88" t="s">
        <v>29</v>
      </c>
      <c r="E44" s="89" t="s">
        <v>30</v>
      </c>
      <c r="F44" s="36"/>
      <c r="G44" s="36"/>
      <c r="H44" s="36"/>
      <c r="I44" s="36"/>
      <c r="J44" s="36"/>
      <c r="K44" s="183">
        <v>533.92</v>
      </c>
      <c r="L44" s="36"/>
      <c r="M44" s="36"/>
      <c r="N44" s="36"/>
    </row>
    <row r="45" spans="1:15">
      <c r="A45" s="30" t="s">
        <v>265</v>
      </c>
      <c r="B45" s="31" t="s">
        <v>266</v>
      </c>
      <c r="C45" s="181" t="s">
        <v>346</v>
      </c>
      <c r="D45" s="88" t="s">
        <v>29</v>
      </c>
      <c r="E45" s="89" t="s">
        <v>30</v>
      </c>
      <c r="F45" s="36"/>
      <c r="G45" s="36"/>
      <c r="H45" s="36"/>
      <c r="I45" s="36"/>
      <c r="J45" s="36"/>
      <c r="K45" s="183">
        <v>111.48</v>
      </c>
      <c r="L45" s="36"/>
      <c r="M45" s="36"/>
      <c r="N45" s="36"/>
    </row>
    <row r="46" spans="1:15">
      <c r="A46" s="29" t="s">
        <v>76</v>
      </c>
      <c r="B46" s="75" t="s">
        <v>77</v>
      </c>
      <c r="C46" s="181" t="s">
        <v>346</v>
      </c>
      <c r="D46" s="88" t="s">
        <v>29</v>
      </c>
      <c r="E46" s="89" t="s">
        <v>30</v>
      </c>
      <c r="F46" s="36"/>
      <c r="G46" s="36"/>
      <c r="H46" s="36"/>
      <c r="I46" s="36"/>
      <c r="J46" s="36"/>
      <c r="K46" s="183">
        <v>926.5</v>
      </c>
      <c r="L46" s="36"/>
      <c r="M46" s="36"/>
      <c r="N46" s="36"/>
    </row>
    <row r="47" spans="1:15">
      <c r="A47" s="29" t="s">
        <v>271</v>
      </c>
      <c r="B47" s="75" t="s">
        <v>272</v>
      </c>
      <c r="C47" s="181" t="s">
        <v>346</v>
      </c>
      <c r="D47" s="88" t="s">
        <v>29</v>
      </c>
      <c r="E47" s="89" t="s">
        <v>30</v>
      </c>
      <c r="F47" s="36"/>
      <c r="G47" s="36"/>
      <c r="H47" s="36"/>
      <c r="I47" s="36"/>
      <c r="J47" s="36"/>
      <c r="K47" s="183">
        <v>1790.62</v>
      </c>
      <c r="L47" s="36"/>
      <c r="M47" s="36"/>
      <c r="N47" s="36"/>
    </row>
    <row r="48" spans="1:15">
      <c r="A48" s="29" t="s">
        <v>78</v>
      </c>
      <c r="B48" s="75" t="s">
        <v>79</v>
      </c>
      <c r="C48" s="181" t="s">
        <v>346</v>
      </c>
      <c r="D48" s="88" t="s">
        <v>29</v>
      </c>
      <c r="E48" s="89" t="s">
        <v>30</v>
      </c>
      <c r="F48" s="36"/>
      <c r="G48" s="36"/>
      <c r="H48" s="36"/>
      <c r="I48" s="36"/>
      <c r="J48" s="36"/>
      <c r="K48" s="183">
        <v>2065.83</v>
      </c>
      <c r="L48" s="36"/>
      <c r="M48" s="36"/>
      <c r="N48" s="36"/>
    </row>
    <row r="49" spans="1:15">
      <c r="A49" s="29" t="s">
        <v>352</v>
      </c>
      <c r="B49" s="76" t="s">
        <v>353</v>
      </c>
      <c r="C49" s="181" t="s">
        <v>346</v>
      </c>
      <c r="D49" s="88" t="s">
        <v>29</v>
      </c>
      <c r="E49" s="89" t="s">
        <v>30</v>
      </c>
      <c r="F49" s="36"/>
      <c r="G49" s="36"/>
      <c r="H49" s="36"/>
      <c r="I49" s="36"/>
      <c r="J49" s="36"/>
      <c r="K49" s="183">
        <v>21.53</v>
      </c>
      <c r="L49" s="36"/>
      <c r="M49" s="36"/>
      <c r="N49" s="36"/>
    </row>
    <row r="50" spans="1:15">
      <c r="A50" s="29" t="s">
        <v>80</v>
      </c>
      <c r="B50" s="31" t="s">
        <v>81</v>
      </c>
      <c r="C50" s="181" t="s">
        <v>346</v>
      </c>
      <c r="D50" s="88" t="s">
        <v>29</v>
      </c>
      <c r="E50" s="89" t="s">
        <v>30</v>
      </c>
      <c r="F50" s="36"/>
      <c r="G50" s="36"/>
      <c r="H50" s="36"/>
      <c r="I50" s="36"/>
      <c r="J50" s="36"/>
      <c r="K50" s="183">
        <v>312</v>
      </c>
      <c r="L50" s="36"/>
      <c r="M50" s="36"/>
      <c r="N50" s="36"/>
    </row>
    <row r="51" spans="1:15">
      <c r="A51" s="29" t="s">
        <v>82</v>
      </c>
      <c r="B51" s="31" t="s">
        <v>83</v>
      </c>
      <c r="C51" s="181" t="s">
        <v>346</v>
      </c>
      <c r="D51" s="88" t="s">
        <v>29</v>
      </c>
      <c r="E51" s="89" t="s">
        <v>30</v>
      </c>
      <c r="F51" s="36"/>
      <c r="G51" s="36"/>
      <c r="H51" s="36"/>
      <c r="I51" s="36"/>
      <c r="J51" s="36"/>
      <c r="K51" s="183">
        <v>312</v>
      </c>
      <c r="L51" s="36"/>
      <c r="M51" s="36"/>
      <c r="N51" s="36"/>
    </row>
    <row r="52" spans="1:15">
      <c r="A52" s="29" t="s">
        <v>84</v>
      </c>
      <c r="B52" s="71" t="s">
        <v>85</v>
      </c>
      <c r="C52" s="181" t="s">
        <v>346</v>
      </c>
      <c r="D52" s="88" t="s">
        <v>29</v>
      </c>
      <c r="E52" s="89" t="s">
        <v>30</v>
      </c>
      <c r="F52" s="36"/>
      <c r="G52" s="36"/>
      <c r="H52" s="36"/>
      <c r="I52" s="36"/>
      <c r="J52" s="36"/>
      <c r="K52" s="183">
        <v>2158</v>
      </c>
      <c r="L52" s="36"/>
      <c r="M52" s="36"/>
      <c r="N52" s="36"/>
    </row>
    <row r="53" spans="1:15">
      <c r="A53" s="29" t="s">
        <v>273</v>
      </c>
      <c r="B53" s="31" t="s">
        <v>274</v>
      </c>
      <c r="C53" s="181" t="s">
        <v>346</v>
      </c>
      <c r="D53" s="88" t="s">
        <v>29</v>
      </c>
      <c r="E53" s="89" t="s">
        <v>30</v>
      </c>
      <c r="F53" s="36"/>
      <c r="G53" s="36"/>
      <c r="H53" s="36"/>
      <c r="I53" s="36"/>
      <c r="J53" s="36"/>
      <c r="K53" s="183">
        <v>323.4</v>
      </c>
      <c r="L53" s="36"/>
      <c r="M53" s="36"/>
      <c r="N53" s="36"/>
    </row>
    <row r="54" spans="1:15">
      <c r="A54" s="29" t="s">
        <v>151</v>
      </c>
      <c r="B54" s="31" t="s">
        <v>152</v>
      </c>
      <c r="C54" s="181" t="s">
        <v>346</v>
      </c>
      <c r="D54" s="88" t="s">
        <v>29</v>
      </c>
      <c r="E54" s="89" t="s">
        <v>30</v>
      </c>
      <c r="F54" s="36"/>
      <c r="G54" s="36"/>
      <c r="H54" s="36"/>
      <c r="I54" s="36"/>
      <c r="J54" s="36"/>
      <c r="K54" s="183">
        <v>139.36</v>
      </c>
      <c r="L54" s="36"/>
      <c r="M54" s="36"/>
      <c r="N54" s="36"/>
    </row>
    <row r="55" spans="1:15">
      <c r="A55" s="59"/>
      <c r="B55" s="77" t="s">
        <v>354</v>
      </c>
      <c r="C55" s="181" t="s">
        <v>346</v>
      </c>
      <c r="D55" s="88" t="s">
        <v>29</v>
      </c>
      <c r="E55" s="89" t="s">
        <v>30</v>
      </c>
      <c r="F55" s="36"/>
      <c r="G55" s="36"/>
      <c r="H55" s="36"/>
      <c r="I55" s="36"/>
      <c r="J55" s="36"/>
      <c r="K55" s="183">
        <v>2550</v>
      </c>
      <c r="L55" s="36"/>
      <c r="M55" s="36"/>
      <c r="N55" s="36"/>
    </row>
    <row r="56" spans="1:15">
      <c r="A56" s="59"/>
      <c r="B56" s="78" t="s">
        <v>355</v>
      </c>
      <c r="C56" s="181" t="s">
        <v>346</v>
      </c>
      <c r="D56" s="88" t="s">
        <v>29</v>
      </c>
      <c r="E56" s="89" t="s">
        <v>30</v>
      </c>
      <c r="F56" s="36"/>
      <c r="G56" s="36"/>
      <c r="H56" s="36"/>
      <c r="I56" s="36"/>
      <c r="J56" s="36"/>
      <c r="K56" s="183">
        <v>300</v>
      </c>
      <c r="L56" s="36"/>
      <c r="M56" s="36"/>
      <c r="N56" s="36"/>
    </row>
    <row r="57" spans="1:15">
      <c r="A57" s="59"/>
      <c r="B57" s="78" t="s">
        <v>356</v>
      </c>
      <c r="C57" s="181" t="s">
        <v>346</v>
      </c>
      <c r="D57" s="88" t="s">
        <v>29</v>
      </c>
      <c r="E57" s="89" t="s">
        <v>30</v>
      </c>
      <c r="F57" s="36"/>
      <c r="G57" s="36"/>
      <c r="H57" s="36"/>
      <c r="I57" s="36"/>
      <c r="J57" s="36"/>
      <c r="K57" s="183">
        <v>100</v>
      </c>
      <c r="L57" s="36"/>
      <c r="M57" s="36"/>
      <c r="N57" s="36"/>
    </row>
    <row r="58" spans="1:15">
      <c r="A58" s="59"/>
      <c r="B58" s="79" t="s">
        <v>357</v>
      </c>
      <c r="C58" s="181" t="s">
        <v>346</v>
      </c>
      <c r="D58" s="88" t="s">
        <v>29</v>
      </c>
      <c r="E58" s="89" t="s">
        <v>30</v>
      </c>
      <c r="F58" s="36"/>
      <c r="G58" s="36"/>
      <c r="H58" s="36"/>
      <c r="I58" s="36"/>
      <c r="J58" s="36"/>
      <c r="K58" s="183">
        <v>200</v>
      </c>
      <c r="L58" s="36"/>
      <c r="M58" s="36"/>
      <c r="N58" s="36"/>
    </row>
    <row r="59" spans="1:15">
      <c r="A59" s="59"/>
      <c r="B59" s="77" t="s">
        <v>358</v>
      </c>
      <c r="C59" s="181" t="s">
        <v>346</v>
      </c>
      <c r="D59" s="88" t="s">
        <v>29</v>
      </c>
      <c r="E59" s="89" t="s">
        <v>30</v>
      </c>
      <c r="F59" s="36"/>
      <c r="G59" s="36"/>
      <c r="H59" s="36"/>
      <c r="I59" s="36"/>
      <c r="J59" s="36"/>
      <c r="K59" s="183">
        <v>100</v>
      </c>
      <c r="L59" s="36"/>
      <c r="M59" s="36"/>
      <c r="N59" s="36"/>
    </row>
    <row r="60" spans="1:15">
      <c r="A60" s="59"/>
      <c r="B60" s="78" t="s">
        <v>359</v>
      </c>
      <c r="C60" s="181" t="s">
        <v>346</v>
      </c>
      <c r="D60" s="88" t="s">
        <v>29</v>
      </c>
      <c r="E60" s="89" t="s">
        <v>30</v>
      </c>
      <c r="F60" s="36"/>
      <c r="G60" s="36"/>
      <c r="H60" s="36"/>
      <c r="I60" s="36"/>
      <c r="J60" s="36"/>
      <c r="K60" s="183">
        <v>50</v>
      </c>
      <c r="L60" s="36"/>
      <c r="M60" s="36"/>
      <c r="N60" s="36"/>
    </row>
    <row r="61" spans="1:15">
      <c r="A61" s="59"/>
      <c r="B61" s="79" t="s">
        <v>360</v>
      </c>
      <c r="C61" s="181" t="s">
        <v>346</v>
      </c>
      <c r="D61" s="88" t="s">
        <v>29</v>
      </c>
      <c r="E61" s="89" t="s">
        <v>30</v>
      </c>
      <c r="F61" s="36"/>
      <c r="G61" s="36"/>
      <c r="H61" s="36"/>
      <c r="I61" s="36"/>
      <c r="J61" s="36"/>
      <c r="K61" s="183">
        <v>900</v>
      </c>
      <c r="L61" s="36"/>
      <c r="M61" s="36"/>
      <c r="N61" s="36"/>
    </row>
    <row r="62" spans="1:15">
      <c r="A62" s="59"/>
      <c r="B62" s="79" t="s">
        <v>361</v>
      </c>
      <c r="C62" s="181" t="s">
        <v>346</v>
      </c>
      <c r="D62" s="88" t="s">
        <v>29</v>
      </c>
      <c r="E62" s="89" t="s">
        <v>30</v>
      </c>
      <c r="F62" s="36"/>
      <c r="G62" s="36"/>
      <c r="H62" s="36"/>
      <c r="I62" s="36"/>
      <c r="J62" s="36"/>
      <c r="K62" s="183">
        <v>720</v>
      </c>
      <c r="L62" s="36"/>
      <c r="M62" s="36"/>
      <c r="N62" s="36"/>
    </row>
    <row r="63" spans="1:15">
      <c r="A63" s="59"/>
      <c r="B63" s="78" t="s">
        <v>362</v>
      </c>
      <c r="C63" s="181" t="s">
        <v>346</v>
      </c>
      <c r="D63" s="88" t="s">
        <v>29</v>
      </c>
      <c r="E63" s="89" t="s">
        <v>30</v>
      </c>
      <c r="F63" s="36"/>
      <c r="G63" s="36"/>
      <c r="H63" s="36"/>
      <c r="I63" s="36"/>
      <c r="J63" s="36"/>
      <c r="K63" s="183">
        <v>2792</v>
      </c>
      <c r="L63" s="36"/>
      <c r="M63" s="36"/>
      <c r="N63" s="36"/>
    </row>
    <row r="64" spans="1:15">
      <c r="A64" s="59"/>
      <c r="B64" s="78" t="s">
        <v>363</v>
      </c>
      <c r="C64" s="181" t="s">
        <v>346</v>
      </c>
      <c r="D64" s="88" t="s">
        <v>29</v>
      </c>
      <c r="E64" s="89" t="s">
        <v>30</v>
      </c>
      <c r="F64" s="36"/>
      <c r="G64" s="36"/>
      <c r="H64" s="36"/>
      <c r="I64" s="36"/>
      <c r="J64" s="36"/>
      <c r="K64" s="183">
        <v>2792</v>
      </c>
      <c r="L64" s="36"/>
      <c r="M64" s="36"/>
      <c r="N64" s="36"/>
    </row>
    <row r="65" spans="1:15">
      <c r="A65" s="59"/>
      <c r="B65" s="78" t="s">
        <v>364</v>
      </c>
      <c r="C65" s="181" t="s">
        <v>346</v>
      </c>
      <c r="D65" s="88" t="s">
        <v>29</v>
      </c>
      <c r="E65" s="89" t="s">
        <v>30</v>
      </c>
      <c r="F65" s="36"/>
      <c r="G65" s="36"/>
      <c r="H65" s="36"/>
      <c r="I65" s="36"/>
      <c r="J65" s="36"/>
      <c r="K65" s="183">
        <v>2792</v>
      </c>
      <c r="L65" s="36"/>
      <c r="M65" s="36"/>
      <c r="N65" s="36"/>
    </row>
    <row r="66" spans="1:15">
      <c r="A66" s="59"/>
      <c r="B66" s="78" t="s">
        <v>365</v>
      </c>
      <c r="C66" s="181" t="s">
        <v>346</v>
      </c>
      <c r="D66" s="88" t="s">
        <v>29</v>
      </c>
      <c r="E66" s="89" t="s">
        <v>30</v>
      </c>
      <c r="F66" s="36"/>
      <c r="G66" s="36"/>
      <c r="H66" s="36"/>
      <c r="I66" s="36"/>
      <c r="J66" s="36"/>
      <c r="K66" s="183">
        <v>2792</v>
      </c>
      <c r="L66" s="36"/>
      <c r="M66" s="36"/>
      <c r="N66" s="36"/>
    </row>
    <row r="67" spans="1:15">
      <c r="A67" s="59"/>
      <c r="B67" s="78" t="s">
        <v>366</v>
      </c>
      <c r="C67" s="181" t="s">
        <v>346</v>
      </c>
      <c r="D67" s="88" t="s">
        <v>29</v>
      </c>
      <c r="E67" s="89" t="s">
        <v>30</v>
      </c>
      <c r="F67" s="36"/>
      <c r="G67" s="36"/>
      <c r="H67" s="36"/>
      <c r="I67" s="36"/>
      <c r="J67" s="36"/>
      <c r="K67" s="183">
        <v>2792</v>
      </c>
      <c r="L67" s="36"/>
      <c r="M67" s="36"/>
      <c r="N67" s="36"/>
    </row>
    <row r="68" spans="1:15">
      <c r="A68" s="59"/>
      <c r="B68" s="78" t="s">
        <v>367</v>
      </c>
      <c r="C68" s="181" t="s">
        <v>346</v>
      </c>
      <c r="D68" s="88" t="s">
        <v>29</v>
      </c>
      <c r="E68" s="89" t="s">
        <v>30</v>
      </c>
      <c r="F68" s="36"/>
      <c r="G68" s="36"/>
      <c r="H68" s="36"/>
      <c r="I68" s="36"/>
      <c r="J68" s="36"/>
      <c r="K68" s="183">
        <v>2094</v>
      </c>
      <c r="L68" s="36"/>
      <c r="M68" s="36"/>
      <c r="N68" s="36"/>
    </row>
    <row r="69" spans="1:15">
      <c r="A69" s="59"/>
      <c r="B69" s="78" t="s">
        <v>368</v>
      </c>
      <c r="C69" s="181" t="s">
        <v>346</v>
      </c>
      <c r="D69" s="88" t="s">
        <v>29</v>
      </c>
      <c r="E69" s="89" t="s">
        <v>30</v>
      </c>
      <c r="F69" s="36"/>
      <c r="G69" s="36"/>
      <c r="H69" s="36"/>
      <c r="I69" s="36"/>
      <c r="J69" s="36"/>
      <c r="K69" s="183">
        <v>2792</v>
      </c>
      <c r="L69" s="36"/>
      <c r="M69" s="36"/>
      <c r="N69" s="36"/>
    </row>
    <row r="70" spans="1:15">
      <c r="A70" s="59"/>
      <c r="B70" s="80" t="s">
        <v>369</v>
      </c>
      <c r="C70" s="181" t="s">
        <v>346</v>
      </c>
      <c r="D70" s="88" t="s">
        <v>29</v>
      </c>
      <c r="E70" s="89" t="s">
        <v>30</v>
      </c>
      <c r="F70" s="36"/>
      <c r="G70" s="36"/>
      <c r="H70" s="36"/>
      <c r="I70" s="36"/>
      <c r="J70" s="36"/>
      <c r="K70" s="183">
        <v>1396</v>
      </c>
      <c r="L70" s="36"/>
      <c r="M70" s="36"/>
      <c r="N70" s="36"/>
    </row>
    <row r="71" spans="1:15">
      <c r="A71" s="59"/>
      <c r="B71" s="80" t="s">
        <v>370</v>
      </c>
      <c r="C71" s="181" t="s">
        <v>346</v>
      </c>
      <c r="D71" s="88" t="s">
        <v>29</v>
      </c>
      <c r="E71" s="89" t="s">
        <v>30</v>
      </c>
      <c r="F71" s="36"/>
      <c r="G71" s="36"/>
      <c r="H71" s="36"/>
      <c r="I71" s="36"/>
      <c r="J71" s="36"/>
      <c r="K71" s="183">
        <v>1396</v>
      </c>
      <c r="L71" s="36"/>
      <c r="M71" s="36"/>
      <c r="N71" s="36"/>
    </row>
    <row r="72" spans="1:15">
      <c r="A72" s="59"/>
      <c r="B72" s="75" t="s">
        <v>371</v>
      </c>
      <c r="C72" s="181" t="s">
        <v>346</v>
      </c>
      <c r="D72" s="88" t="s">
        <v>29</v>
      </c>
      <c r="E72" s="89" t="s">
        <v>30</v>
      </c>
      <c r="F72" s="36"/>
      <c r="G72" s="36"/>
      <c r="H72" s="36"/>
      <c r="I72" s="36"/>
      <c r="J72" s="36"/>
      <c r="K72" s="183">
        <v>1396</v>
      </c>
      <c r="L72" s="36"/>
      <c r="M72" s="36"/>
      <c r="N72" s="36"/>
    </row>
    <row r="73" spans="1:15">
      <c r="A73" s="59"/>
      <c r="B73" s="80" t="s">
        <v>372</v>
      </c>
      <c r="C73" s="181" t="s">
        <v>346</v>
      </c>
      <c r="D73" s="88" t="s">
        <v>29</v>
      </c>
      <c r="E73" s="89" t="s">
        <v>30</v>
      </c>
      <c r="F73" s="36"/>
      <c r="G73" s="36"/>
      <c r="H73" s="36"/>
      <c r="I73" s="36"/>
      <c r="J73" s="36"/>
      <c r="K73" s="183">
        <v>2388</v>
      </c>
      <c r="L73" s="36"/>
      <c r="M73" s="36"/>
      <c r="N73" s="36"/>
    </row>
    <row r="74" spans="1:15">
      <c r="A74" s="59"/>
      <c r="B74" s="80" t="s">
        <v>373</v>
      </c>
      <c r="C74" s="181" t="s">
        <v>346</v>
      </c>
      <c r="D74" s="88" t="s">
        <v>29</v>
      </c>
      <c r="E74" s="89" t="s">
        <v>30</v>
      </c>
      <c r="F74" s="36"/>
      <c r="G74" s="36"/>
      <c r="H74" s="36"/>
      <c r="I74" s="36"/>
      <c r="J74" s="36"/>
      <c r="K74" s="183">
        <v>1990</v>
      </c>
      <c r="L74" s="36"/>
      <c r="M74" s="36"/>
      <c r="N74" s="36"/>
    </row>
    <row r="75" spans="1:15">
      <c r="A75" s="59"/>
      <c r="B75" s="81" t="s">
        <v>374</v>
      </c>
      <c r="C75" s="181" t="s">
        <v>346</v>
      </c>
      <c r="D75" s="88" t="s">
        <v>29</v>
      </c>
      <c r="E75" s="89" t="s">
        <v>30</v>
      </c>
      <c r="F75" s="36"/>
      <c r="G75" s="36"/>
      <c r="H75" s="36"/>
      <c r="I75" s="36"/>
      <c r="J75" s="36"/>
      <c r="K75" s="183">
        <v>1990</v>
      </c>
      <c r="L75" s="36"/>
      <c r="M75" s="36"/>
      <c r="N75" s="36"/>
    </row>
    <row r="76" spans="1:15">
      <c r="A76" s="59"/>
      <c r="B76" s="82" t="s">
        <v>375</v>
      </c>
      <c r="C76" s="181" t="s">
        <v>346</v>
      </c>
      <c r="D76" s="88" t="s">
        <v>29</v>
      </c>
      <c r="E76" s="89" t="s">
        <v>30</v>
      </c>
      <c r="F76" s="36"/>
      <c r="G76" s="36"/>
      <c r="H76" s="36"/>
      <c r="I76" s="36"/>
      <c r="J76" s="36"/>
      <c r="K76" s="183">
        <v>1990</v>
      </c>
      <c r="L76" s="36"/>
      <c r="M76" s="36"/>
      <c r="N76" s="36"/>
    </row>
    <row r="77" spans="1:15">
      <c r="A77" s="59"/>
      <c r="B77" s="80" t="s">
        <v>376</v>
      </c>
      <c r="C77" s="181" t="s">
        <v>346</v>
      </c>
      <c r="D77" s="88" t="s">
        <v>29</v>
      </c>
      <c r="E77" s="89" t="s">
        <v>30</v>
      </c>
      <c r="F77" s="36"/>
      <c r="G77" s="36"/>
      <c r="H77" s="36"/>
      <c r="I77" s="36"/>
      <c r="J77" s="36"/>
      <c r="K77" s="183">
        <v>1125</v>
      </c>
      <c r="L77" s="36"/>
      <c r="M77" s="36"/>
      <c r="N77" s="36"/>
    </row>
    <row r="78" spans="1:15">
      <c r="A78" s="59"/>
      <c r="B78" s="81" t="s">
        <v>377</v>
      </c>
      <c r="C78" s="181" t="s">
        <v>346</v>
      </c>
      <c r="D78" s="88" t="s">
        <v>29</v>
      </c>
      <c r="E78" s="89" t="s">
        <v>30</v>
      </c>
      <c r="F78" s="36"/>
      <c r="G78" s="36"/>
      <c r="H78" s="36"/>
      <c r="I78" s="36"/>
      <c r="J78" s="36"/>
      <c r="K78" s="183">
        <v>900</v>
      </c>
      <c r="L78" s="36"/>
      <c r="M78" s="36"/>
      <c r="N78" s="36"/>
    </row>
    <row r="79" spans="1:15">
      <c r="A79" s="59"/>
      <c r="B79" s="80" t="s">
        <v>378</v>
      </c>
      <c r="C79" s="181" t="s">
        <v>346</v>
      </c>
      <c r="D79" s="88" t="s">
        <v>29</v>
      </c>
      <c r="E79" s="89" t="s">
        <v>30</v>
      </c>
      <c r="F79" s="36"/>
      <c r="G79" s="36"/>
      <c r="H79" s="36"/>
      <c r="I79" s="36"/>
      <c r="J79" s="36"/>
      <c r="K79" s="183">
        <v>398</v>
      </c>
      <c r="L79" s="36"/>
      <c r="M79" s="36"/>
      <c r="N79" s="36"/>
    </row>
    <row r="80" spans="1:15">
      <c r="A80" s="59"/>
      <c r="B80" s="80" t="s">
        <v>379</v>
      </c>
      <c r="C80" s="181" t="s">
        <v>346</v>
      </c>
      <c r="D80" s="88" t="s">
        <v>29</v>
      </c>
      <c r="E80" s="89" t="s">
        <v>30</v>
      </c>
      <c r="F80" s="36"/>
      <c r="G80" s="36"/>
      <c r="H80" s="36"/>
      <c r="I80" s="36"/>
      <c r="J80" s="36"/>
      <c r="K80" s="183">
        <v>275</v>
      </c>
      <c r="L80" s="36"/>
      <c r="M80" s="36"/>
      <c r="N80" s="36"/>
    </row>
    <row r="81" spans="1:15">
      <c r="A81" s="59"/>
      <c r="B81" s="80" t="s">
        <v>380</v>
      </c>
      <c r="C81" s="181" t="s">
        <v>346</v>
      </c>
      <c r="D81" s="88" t="s">
        <v>29</v>
      </c>
      <c r="E81" s="89" t="s">
        <v>30</v>
      </c>
      <c r="F81" s="36"/>
      <c r="G81" s="36"/>
      <c r="H81" s="36"/>
      <c r="I81" s="36"/>
      <c r="J81" s="36"/>
      <c r="K81" s="183">
        <v>660</v>
      </c>
      <c r="L81" s="36"/>
      <c r="M81" s="36"/>
      <c r="N81" s="36"/>
    </row>
    <row r="82" spans="1:15">
      <c r="A82" s="59"/>
      <c r="B82" s="80" t="s">
        <v>381</v>
      </c>
      <c r="C82" s="181" t="s">
        <v>346</v>
      </c>
      <c r="D82" s="88" t="s">
        <v>29</v>
      </c>
      <c r="E82" s="89" t="s">
        <v>30</v>
      </c>
      <c r="F82" s="36"/>
      <c r="G82" s="36"/>
      <c r="H82" s="36"/>
      <c r="I82" s="36"/>
      <c r="J82" s="36"/>
      <c r="K82" s="183">
        <v>1099</v>
      </c>
      <c r="L82" s="36"/>
      <c r="M82" s="36"/>
      <c r="N82" s="36"/>
    </row>
    <row r="83" spans="1:15">
      <c r="A83" s="59"/>
      <c r="B83" s="80" t="s">
        <v>223</v>
      </c>
      <c r="C83" s="181" t="s">
        <v>346</v>
      </c>
      <c r="D83" s="88" t="s">
        <v>29</v>
      </c>
      <c r="E83" s="89" t="s">
        <v>30</v>
      </c>
      <c r="F83" s="36"/>
      <c r="G83" s="36"/>
      <c r="H83" s="36"/>
      <c r="I83" s="36"/>
      <c r="J83" s="36"/>
      <c r="K83" s="183">
        <v>760</v>
      </c>
      <c r="L83" s="36"/>
      <c r="M83" s="36"/>
      <c r="N83" s="36"/>
    </row>
    <row r="84" spans="1:15">
      <c r="A84" s="59"/>
      <c r="B84" s="80" t="s">
        <v>382</v>
      </c>
      <c r="C84" s="181" t="s">
        <v>346</v>
      </c>
      <c r="D84" s="88" t="s">
        <v>29</v>
      </c>
      <c r="E84" s="89" t="s">
        <v>30</v>
      </c>
      <c r="F84" s="36"/>
      <c r="G84" s="36"/>
      <c r="H84" s="36"/>
      <c r="I84" s="36"/>
      <c r="J84" s="36"/>
      <c r="K84" s="183">
        <v>796</v>
      </c>
      <c r="L84" s="36"/>
      <c r="M84" s="36"/>
      <c r="N84" s="36"/>
    </row>
    <row r="85" spans="1:15">
      <c r="A85" s="59"/>
      <c r="B85" s="80" t="s">
        <v>165</v>
      </c>
      <c r="C85" s="181" t="s">
        <v>346</v>
      </c>
      <c r="D85" s="88" t="s">
        <v>29</v>
      </c>
      <c r="E85" s="89" t="s">
        <v>30</v>
      </c>
      <c r="F85" s="36"/>
      <c r="G85" s="36"/>
      <c r="H85" s="36"/>
      <c r="I85" s="36"/>
      <c r="J85" s="36"/>
      <c r="K85" s="183">
        <v>1400</v>
      </c>
      <c r="L85" s="36"/>
      <c r="M85" s="36"/>
      <c r="N85" s="36"/>
    </row>
    <row r="86" spans="1:15">
      <c r="A86" s="83"/>
      <c r="B86" s="84" t="s">
        <v>383</v>
      </c>
      <c r="C86" s="181" t="s">
        <v>346</v>
      </c>
      <c r="D86" s="88" t="s">
        <v>29</v>
      </c>
      <c r="E86" s="89" t="s">
        <v>30</v>
      </c>
      <c r="F86" s="36"/>
      <c r="G86" s="36"/>
      <c r="H86" s="36"/>
      <c r="I86" s="36"/>
      <c r="J86" s="36"/>
      <c r="K86" s="184">
        <v>600</v>
      </c>
      <c r="L86" s="36"/>
      <c r="M86" s="36"/>
      <c r="N86" s="36"/>
    </row>
    <row r="87" spans="1:15">
      <c r="A87" s="85"/>
      <c r="B87" s="86" t="s">
        <v>384</v>
      </c>
      <c r="C87" s="181" t="s">
        <v>346</v>
      </c>
      <c r="D87" s="88" t="s">
        <v>29</v>
      </c>
      <c r="E87" s="89" t="s">
        <v>30</v>
      </c>
      <c r="F87" s="36"/>
      <c r="G87" s="36"/>
      <c r="H87" s="36"/>
      <c r="I87" s="36"/>
      <c r="J87" s="36"/>
      <c r="K87" s="183">
        <v>2990</v>
      </c>
      <c r="L87" s="36"/>
      <c r="M87" s="36"/>
      <c r="N87" s="36"/>
    </row>
    <row r="88" spans="1:15">
      <c r="A88" s="85"/>
      <c r="B88" s="86" t="s">
        <v>385</v>
      </c>
      <c r="C88" s="181" t="s">
        <v>346</v>
      </c>
      <c r="D88" s="88" t="s">
        <v>29</v>
      </c>
      <c r="E88" s="89" t="s">
        <v>30</v>
      </c>
      <c r="F88" s="36"/>
      <c r="G88" s="36"/>
      <c r="H88" s="36"/>
      <c r="I88" s="36"/>
      <c r="J88" s="36"/>
      <c r="K88" s="183">
        <v>2750</v>
      </c>
      <c r="L88" s="36"/>
      <c r="M88" s="36"/>
      <c r="N88" s="36"/>
    </row>
    <row r="89" spans="1:15">
      <c r="A89" s="85"/>
      <c r="B89" s="86" t="s">
        <v>386</v>
      </c>
      <c r="C89" s="181" t="s">
        <v>346</v>
      </c>
      <c r="D89" s="88" t="s">
        <v>29</v>
      </c>
      <c r="E89" s="89" t="s">
        <v>30</v>
      </c>
      <c r="F89" s="36"/>
      <c r="G89" s="36"/>
      <c r="H89" s="36"/>
      <c r="I89" s="36"/>
      <c r="J89" s="36"/>
      <c r="K89" s="183">
        <v>200</v>
      </c>
      <c r="L89" s="36"/>
      <c r="M89" s="36"/>
      <c r="N89" s="36"/>
    </row>
    <row r="90" spans="1:15" customHeight="1" ht="15">
      <c r="A90" s="85"/>
      <c r="B90" s="86" t="s">
        <v>387</v>
      </c>
      <c r="C90" s="181" t="s">
        <v>346</v>
      </c>
      <c r="D90" s="88" t="s">
        <v>29</v>
      </c>
      <c r="E90" s="89" t="s">
        <v>30</v>
      </c>
      <c r="F90" s="36"/>
      <c r="G90" s="36"/>
      <c r="H90" s="36"/>
      <c r="I90" s="36"/>
      <c r="J90" s="36"/>
      <c r="K90" s="183">
        <v>1500</v>
      </c>
      <c r="L90" s="36"/>
      <c r="M90" s="36"/>
      <c r="N90" s="36"/>
    </row>
    <row r="91" spans="1:15" s="187" customFormat="1">
      <c r="A91" s="185" t="s">
        <v>388</v>
      </c>
      <c r="B91" s="185"/>
      <c r="C91" s="185"/>
      <c r="D91" s="185"/>
      <c r="E91" s="185"/>
      <c r="F91" s="185"/>
      <c r="G91" s="185"/>
      <c r="H91" s="185"/>
      <c r="I91" s="185"/>
      <c r="J91" s="185"/>
      <c r="K91" s="186">
        <f>SUM(K12:K90)</f>
        <v>68400.06</v>
      </c>
      <c r="L91" s="185"/>
      <c r="M91" s="185"/>
      <c r="N91" s="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M3"/>
    <mergeCell ref="A10:A11"/>
    <mergeCell ref="B10:B11"/>
    <mergeCell ref="C10:C11"/>
    <mergeCell ref="D10:D11"/>
    <mergeCell ref="N10:N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92"/>
  <sheetViews>
    <sheetView tabSelected="0" workbookViewId="0" zoomScale="84" zoomScaleNormal="84" showGridLines="true" showRowColHeaders="1">
      <selection activeCell="D80" sqref="D80"/>
    </sheetView>
  </sheetViews>
  <sheetFormatPr defaultRowHeight="14.4" defaultColWidth="20.7109375" outlineLevelRow="0" outlineLevelCol="0"/>
  <cols>
    <col min="1" max="1" width="20.85546875" customWidth="true" style="5"/>
    <col min="2" max="2" width="55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389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45" t="s">
        <v>10</v>
      </c>
      <c r="B10" s="347" t="s">
        <v>11</v>
      </c>
      <c r="C10" s="347" t="s">
        <v>12</v>
      </c>
      <c r="D10" s="349" t="s">
        <v>13</v>
      </c>
      <c r="E10" s="347" t="s">
        <v>14</v>
      </c>
      <c r="F10" s="347" t="s">
        <v>15</v>
      </c>
      <c r="G10" s="347"/>
      <c r="H10" s="347"/>
      <c r="I10" s="347"/>
      <c r="J10" s="347" t="s">
        <v>16</v>
      </c>
      <c r="K10" s="347" t="s">
        <v>17</v>
      </c>
      <c r="L10" s="347"/>
      <c r="M10" s="347"/>
      <c r="N10" s="342" t="s">
        <v>18</v>
      </c>
    </row>
    <row r="11" spans="1:14" customHeight="1" ht="33.6" s="3" customFormat="1">
      <c r="A11" s="346"/>
      <c r="B11" s="348"/>
      <c r="C11" s="348"/>
      <c r="D11" s="350"/>
      <c r="E11" s="348"/>
      <c r="F11" s="23" t="s">
        <v>19</v>
      </c>
      <c r="G11" s="23" t="s">
        <v>20</v>
      </c>
      <c r="H11" s="23" t="s">
        <v>21</v>
      </c>
      <c r="I11" s="23" t="s">
        <v>22</v>
      </c>
      <c r="J11" s="348"/>
      <c r="K11" s="22" t="s">
        <v>23</v>
      </c>
      <c r="L11" s="22" t="s">
        <v>24</v>
      </c>
      <c r="M11" s="22" t="s">
        <v>25</v>
      </c>
      <c r="N11" s="343"/>
    </row>
    <row r="12" spans="1:14">
      <c r="A12" s="191" t="s">
        <v>110</v>
      </c>
      <c r="B12" s="192" t="s">
        <v>345</v>
      </c>
      <c r="C12" s="188" t="s">
        <v>389</v>
      </c>
      <c r="D12" s="189" t="s">
        <v>29</v>
      </c>
      <c r="E12" s="190" t="s">
        <v>30</v>
      </c>
      <c r="F12" s="188"/>
      <c r="G12" s="188"/>
      <c r="H12" s="188"/>
      <c r="I12" s="188"/>
      <c r="J12" s="188"/>
      <c r="K12" s="193">
        <v>1322.2</v>
      </c>
      <c r="L12" s="7"/>
      <c r="M12" s="7"/>
      <c r="N12" s="7"/>
    </row>
    <row r="13" spans="1:14">
      <c r="A13" s="194" t="s">
        <v>31</v>
      </c>
      <c r="B13" s="195" t="s">
        <v>32</v>
      </c>
      <c r="C13" s="188" t="s">
        <v>389</v>
      </c>
      <c r="D13" s="189" t="s">
        <v>29</v>
      </c>
      <c r="E13" s="190" t="s">
        <v>30</v>
      </c>
      <c r="F13" s="188"/>
      <c r="G13" s="188"/>
      <c r="H13" s="188"/>
      <c r="I13" s="188"/>
      <c r="J13" s="188"/>
      <c r="K13" s="196">
        <v>888</v>
      </c>
      <c r="L13" s="7"/>
      <c r="M13" s="7"/>
      <c r="N13" s="7"/>
    </row>
    <row r="14" spans="1:14" customHeight="1" ht="31.5">
      <c r="A14" s="194" t="s">
        <v>33</v>
      </c>
      <c r="B14" s="195" t="s">
        <v>34</v>
      </c>
      <c r="C14" s="188" t="s">
        <v>389</v>
      </c>
      <c r="D14" s="189" t="s">
        <v>29</v>
      </c>
      <c r="E14" s="190" t="s">
        <v>30</v>
      </c>
      <c r="F14" s="188"/>
      <c r="G14" s="188"/>
      <c r="H14" s="188"/>
      <c r="I14" s="188"/>
      <c r="J14" s="188"/>
      <c r="K14" s="196">
        <v>81.96</v>
      </c>
      <c r="L14" s="7"/>
      <c r="M14" s="7"/>
      <c r="N14" s="7"/>
    </row>
    <row r="15" spans="1:14" customHeight="1" ht="31.5">
      <c r="A15" s="194" t="s">
        <v>241</v>
      </c>
      <c r="B15" s="195" t="s">
        <v>242</v>
      </c>
      <c r="C15" s="188" t="s">
        <v>389</v>
      </c>
      <c r="D15" s="189" t="s">
        <v>29</v>
      </c>
      <c r="E15" s="190" t="s">
        <v>30</v>
      </c>
      <c r="F15" s="188"/>
      <c r="G15" s="188"/>
      <c r="H15" s="188"/>
      <c r="I15" s="188"/>
      <c r="J15" s="188"/>
      <c r="K15" s="196">
        <v>73.36</v>
      </c>
      <c r="L15" s="7"/>
      <c r="M15" s="7"/>
      <c r="N15" s="7"/>
    </row>
    <row r="16" spans="1:14">
      <c r="A16" s="194" t="s">
        <v>114</v>
      </c>
      <c r="B16" s="195" t="s">
        <v>171</v>
      </c>
      <c r="C16" s="188" t="s">
        <v>389</v>
      </c>
      <c r="D16" s="189" t="s">
        <v>29</v>
      </c>
      <c r="E16" s="190" t="s">
        <v>30</v>
      </c>
      <c r="F16" s="188"/>
      <c r="G16" s="188"/>
      <c r="H16" s="188"/>
      <c r="I16" s="188"/>
      <c r="J16" s="188"/>
      <c r="K16" s="196">
        <v>326.56</v>
      </c>
      <c r="L16" s="7"/>
      <c r="M16" s="7"/>
      <c r="N16" s="7"/>
    </row>
    <row r="17" spans="1:14">
      <c r="A17" s="194" t="s">
        <v>35</v>
      </c>
      <c r="B17" s="195" t="s">
        <v>36</v>
      </c>
      <c r="C17" s="188" t="s">
        <v>389</v>
      </c>
      <c r="D17" s="189" t="s">
        <v>29</v>
      </c>
      <c r="E17" s="190" t="s">
        <v>30</v>
      </c>
      <c r="F17" s="188"/>
      <c r="G17" s="188"/>
      <c r="H17" s="188"/>
      <c r="I17" s="188"/>
      <c r="J17" s="188"/>
      <c r="K17" s="196">
        <v>136.24</v>
      </c>
      <c r="L17" s="7"/>
      <c r="M17" s="7"/>
      <c r="N17" s="7"/>
    </row>
    <row r="18" spans="1:14">
      <c r="A18" s="194" t="s">
        <v>37</v>
      </c>
      <c r="B18" s="195" t="s">
        <v>38</v>
      </c>
      <c r="C18" s="188" t="s">
        <v>389</v>
      </c>
      <c r="D18" s="189" t="s">
        <v>29</v>
      </c>
      <c r="E18" s="190" t="s">
        <v>30</v>
      </c>
      <c r="F18" s="188"/>
      <c r="G18" s="188"/>
      <c r="H18" s="188"/>
      <c r="I18" s="188"/>
      <c r="J18" s="188"/>
      <c r="K18" s="196">
        <v>1678.68</v>
      </c>
      <c r="L18" s="7"/>
      <c r="M18" s="7"/>
      <c r="N18" s="7"/>
    </row>
    <row r="19" spans="1:14">
      <c r="A19" s="194" t="s">
        <v>174</v>
      </c>
      <c r="B19" s="195" t="s">
        <v>175</v>
      </c>
      <c r="C19" s="188" t="s">
        <v>389</v>
      </c>
      <c r="D19" s="189" t="s">
        <v>29</v>
      </c>
      <c r="E19" s="190" t="s">
        <v>30</v>
      </c>
      <c r="F19" s="188"/>
      <c r="G19" s="188"/>
      <c r="H19" s="188"/>
      <c r="I19" s="188"/>
      <c r="J19" s="188"/>
      <c r="K19" s="196">
        <v>27.64</v>
      </c>
      <c r="L19" s="7"/>
      <c r="M19" s="7"/>
      <c r="N19" s="7"/>
    </row>
    <row r="20" spans="1:14">
      <c r="A20" s="194" t="s">
        <v>122</v>
      </c>
      <c r="B20" s="195" t="s">
        <v>302</v>
      </c>
      <c r="C20" s="188" t="s">
        <v>389</v>
      </c>
      <c r="D20" s="189" t="s">
        <v>29</v>
      </c>
      <c r="E20" s="190" t="s">
        <v>30</v>
      </c>
      <c r="F20" s="188"/>
      <c r="G20" s="188"/>
      <c r="H20" s="188"/>
      <c r="I20" s="188"/>
      <c r="J20" s="188"/>
      <c r="K20" s="196">
        <v>85.9</v>
      </c>
      <c r="L20" s="7"/>
      <c r="M20" s="7"/>
      <c r="N20" s="7"/>
    </row>
    <row r="21" spans="1:14">
      <c r="A21" s="194" t="s">
        <v>176</v>
      </c>
      <c r="B21" s="195" t="s">
        <v>177</v>
      </c>
      <c r="C21" s="188" t="s">
        <v>389</v>
      </c>
      <c r="D21" s="189" t="s">
        <v>29</v>
      </c>
      <c r="E21" s="190" t="s">
        <v>30</v>
      </c>
      <c r="F21" s="188"/>
      <c r="G21" s="188"/>
      <c r="H21" s="188"/>
      <c r="I21" s="188"/>
      <c r="J21" s="188"/>
      <c r="K21" s="196">
        <v>318.84</v>
      </c>
      <c r="L21" s="7"/>
      <c r="M21" s="7"/>
      <c r="N21" s="7"/>
    </row>
    <row r="22" spans="1:14">
      <c r="A22" s="194" t="s">
        <v>178</v>
      </c>
      <c r="B22" s="195" t="s">
        <v>179</v>
      </c>
      <c r="C22" s="188" t="s">
        <v>389</v>
      </c>
      <c r="D22" s="189" t="s">
        <v>29</v>
      </c>
      <c r="E22" s="190" t="s">
        <v>30</v>
      </c>
      <c r="F22" s="188"/>
      <c r="G22" s="188"/>
      <c r="H22" s="188"/>
      <c r="I22" s="188"/>
      <c r="J22" s="188"/>
      <c r="K22" s="196">
        <v>28.91</v>
      </c>
      <c r="L22" s="7"/>
      <c r="M22" s="7"/>
      <c r="N22" s="7"/>
    </row>
    <row r="23" spans="1:14">
      <c r="A23" s="194" t="s">
        <v>43</v>
      </c>
      <c r="B23" s="195" t="s">
        <v>44</v>
      </c>
      <c r="C23" s="188" t="s">
        <v>389</v>
      </c>
      <c r="D23" s="189" t="s">
        <v>29</v>
      </c>
      <c r="E23" s="190" t="s">
        <v>30</v>
      </c>
      <c r="F23" s="188"/>
      <c r="G23" s="188"/>
      <c r="H23" s="188"/>
      <c r="I23" s="188"/>
      <c r="J23" s="188"/>
      <c r="K23" s="196">
        <v>141.44</v>
      </c>
      <c r="L23" s="7"/>
      <c r="M23" s="7"/>
      <c r="N23" s="7"/>
    </row>
    <row r="24" spans="1:14">
      <c r="A24" s="194" t="s">
        <v>180</v>
      </c>
      <c r="B24" s="195" t="s">
        <v>181</v>
      </c>
      <c r="C24" s="188" t="s">
        <v>389</v>
      </c>
      <c r="D24" s="189" t="s">
        <v>29</v>
      </c>
      <c r="E24" s="190" t="s">
        <v>30</v>
      </c>
      <c r="F24" s="188"/>
      <c r="G24" s="188"/>
      <c r="H24" s="188"/>
      <c r="I24" s="188"/>
      <c r="J24" s="188"/>
      <c r="K24" s="196">
        <v>247.52</v>
      </c>
      <c r="L24" s="7"/>
      <c r="M24" s="7"/>
      <c r="N24" s="7"/>
    </row>
    <row r="25" spans="1:14">
      <c r="A25" s="194" t="s">
        <v>305</v>
      </c>
      <c r="B25" s="195" t="s">
        <v>306</v>
      </c>
      <c r="C25" s="188" t="s">
        <v>389</v>
      </c>
      <c r="D25" s="189" t="s">
        <v>29</v>
      </c>
      <c r="E25" s="190" t="s">
        <v>30</v>
      </c>
      <c r="F25" s="188"/>
      <c r="G25" s="188"/>
      <c r="H25" s="188"/>
      <c r="I25" s="188"/>
      <c r="J25" s="188"/>
      <c r="K25" s="196">
        <v>67.08</v>
      </c>
      <c r="L25" s="7"/>
      <c r="M25" s="7"/>
      <c r="N25" s="7"/>
    </row>
    <row r="26" spans="1:14">
      <c r="A26" s="194" t="s">
        <v>47</v>
      </c>
      <c r="B26" s="195" t="s">
        <v>48</v>
      </c>
      <c r="C26" s="188" t="s">
        <v>389</v>
      </c>
      <c r="D26" s="189" t="s">
        <v>29</v>
      </c>
      <c r="E26" s="190" t="s">
        <v>30</v>
      </c>
      <c r="F26" s="188"/>
      <c r="G26" s="188"/>
      <c r="H26" s="188"/>
      <c r="I26" s="188"/>
      <c r="J26" s="188"/>
      <c r="K26" s="196">
        <v>89.44</v>
      </c>
      <c r="L26" s="7"/>
      <c r="M26" s="7"/>
      <c r="N26" s="7"/>
    </row>
    <row r="27" spans="1:14">
      <c r="A27" s="194" t="s">
        <v>130</v>
      </c>
      <c r="B27" s="195" t="s">
        <v>131</v>
      </c>
      <c r="C27" s="188" t="s">
        <v>389</v>
      </c>
      <c r="D27" s="189" t="s">
        <v>29</v>
      </c>
      <c r="E27" s="190" t="s">
        <v>30</v>
      </c>
      <c r="F27" s="188"/>
      <c r="G27" s="188"/>
      <c r="H27" s="188"/>
      <c r="I27" s="188"/>
      <c r="J27" s="188"/>
      <c r="K27" s="196">
        <v>45.14</v>
      </c>
      <c r="L27" s="7"/>
      <c r="M27" s="7"/>
      <c r="N27" s="7"/>
    </row>
    <row r="28" spans="1:14">
      <c r="A28" s="194" t="s">
        <v>49</v>
      </c>
      <c r="B28" s="195" t="s">
        <v>50</v>
      </c>
      <c r="C28" s="188" t="s">
        <v>389</v>
      </c>
      <c r="D28" s="189" t="s">
        <v>29</v>
      </c>
      <c r="E28" s="190" t="s">
        <v>30</v>
      </c>
      <c r="F28" s="188"/>
      <c r="G28" s="188"/>
      <c r="H28" s="188"/>
      <c r="I28" s="188"/>
      <c r="J28" s="188"/>
      <c r="K28" s="196">
        <v>16.64</v>
      </c>
      <c r="L28" s="7"/>
      <c r="M28" s="7"/>
      <c r="N28" s="7"/>
    </row>
    <row r="29" spans="1:14">
      <c r="A29" s="194" t="s">
        <v>58</v>
      </c>
      <c r="B29" s="195" t="s">
        <v>59</v>
      </c>
      <c r="C29" s="188" t="s">
        <v>389</v>
      </c>
      <c r="D29" s="189" t="s">
        <v>29</v>
      </c>
      <c r="E29" s="190" t="s">
        <v>30</v>
      </c>
      <c r="F29" s="188"/>
      <c r="G29" s="188"/>
      <c r="H29" s="188"/>
      <c r="I29" s="188"/>
      <c r="J29" s="188"/>
      <c r="K29" s="196">
        <v>378.56</v>
      </c>
      <c r="L29" s="7"/>
      <c r="M29" s="7"/>
      <c r="N29" s="7"/>
    </row>
    <row r="30" spans="1:14">
      <c r="A30" s="194" t="s">
        <v>255</v>
      </c>
      <c r="B30" s="195" t="s">
        <v>256</v>
      </c>
      <c r="C30" s="188" t="s">
        <v>389</v>
      </c>
      <c r="D30" s="189" t="s">
        <v>29</v>
      </c>
      <c r="E30" s="190" t="s">
        <v>30</v>
      </c>
      <c r="F30" s="188"/>
      <c r="G30" s="188"/>
      <c r="H30" s="188"/>
      <c r="I30" s="188"/>
      <c r="J30" s="188"/>
      <c r="K30" s="196">
        <v>36.66</v>
      </c>
      <c r="L30" s="7"/>
      <c r="M30" s="7"/>
      <c r="N30" s="7"/>
    </row>
    <row r="31" spans="1:14">
      <c r="A31" s="194" t="s">
        <v>64</v>
      </c>
      <c r="B31" s="195" t="s">
        <v>65</v>
      </c>
      <c r="C31" s="188" t="s">
        <v>389</v>
      </c>
      <c r="D31" s="189" t="s">
        <v>29</v>
      </c>
      <c r="E31" s="190" t="s">
        <v>30</v>
      </c>
      <c r="F31" s="188"/>
      <c r="G31" s="188"/>
      <c r="H31" s="188"/>
      <c r="I31" s="188"/>
      <c r="J31" s="188"/>
      <c r="K31" s="196">
        <v>74.7</v>
      </c>
      <c r="L31" s="7"/>
      <c r="M31" s="7"/>
      <c r="N31" s="7"/>
    </row>
    <row r="32" spans="1:14">
      <c r="A32" s="194" t="s">
        <v>66</v>
      </c>
      <c r="B32" s="195" t="s">
        <v>67</v>
      </c>
      <c r="C32" s="188" t="s">
        <v>389</v>
      </c>
      <c r="D32" s="189" t="s">
        <v>29</v>
      </c>
      <c r="E32" s="190" t="s">
        <v>30</v>
      </c>
      <c r="F32" s="188"/>
      <c r="G32" s="188"/>
      <c r="H32" s="188"/>
      <c r="I32" s="188"/>
      <c r="J32" s="188"/>
      <c r="K32" s="196">
        <v>17.64</v>
      </c>
      <c r="L32" s="7"/>
      <c r="M32" s="7"/>
      <c r="N32" s="7"/>
    </row>
    <row r="33" spans="1:14">
      <c r="A33" s="194" t="s">
        <v>68</v>
      </c>
      <c r="B33" s="195" t="s">
        <v>69</v>
      </c>
      <c r="C33" s="188" t="s">
        <v>389</v>
      </c>
      <c r="D33" s="189" t="s">
        <v>29</v>
      </c>
      <c r="E33" s="190" t="s">
        <v>30</v>
      </c>
      <c r="F33" s="188"/>
      <c r="G33" s="188"/>
      <c r="H33" s="188"/>
      <c r="I33" s="188"/>
      <c r="J33" s="188"/>
      <c r="K33" s="196">
        <v>13.78</v>
      </c>
      <c r="L33" s="7"/>
      <c r="M33" s="7"/>
      <c r="N33" s="7"/>
    </row>
    <row r="34" spans="1:14">
      <c r="A34" s="194" t="s">
        <v>72</v>
      </c>
      <c r="B34" s="195" t="s">
        <v>73</v>
      </c>
      <c r="C34" s="188" t="s">
        <v>389</v>
      </c>
      <c r="D34" s="189" t="s">
        <v>29</v>
      </c>
      <c r="E34" s="190" t="s">
        <v>30</v>
      </c>
      <c r="F34" s="188"/>
      <c r="G34" s="188"/>
      <c r="H34" s="188"/>
      <c r="I34" s="188"/>
      <c r="J34" s="188"/>
      <c r="K34" s="196">
        <v>39.92</v>
      </c>
      <c r="L34" s="7"/>
      <c r="M34" s="7"/>
      <c r="N34" s="7"/>
    </row>
    <row r="35" spans="1:14">
      <c r="A35" s="194" t="s">
        <v>190</v>
      </c>
      <c r="B35" s="195" t="s">
        <v>191</v>
      </c>
      <c r="C35" s="188" t="s">
        <v>389</v>
      </c>
      <c r="D35" s="189" t="s">
        <v>29</v>
      </c>
      <c r="E35" s="190" t="s">
        <v>30</v>
      </c>
      <c r="F35" s="188"/>
      <c r="G35" s="188"/>
      <c r="H35" s="188"/>
      <c r="I35" s="188"/>
      <c r="J35" s="188"/>
      <c r="K35" s="196">
        <v>33.37</v>
      </c>
      <c r="L35" s="7"/>
      <c r="M35" s="7"/>
      <c r="N35" s="7"/>
    </row>
    <row r="36" spans="1:14">
      <c r="A36" s="194" t="s">
        <v>390</v>
      </c>
      <c r="B36" s="195" t="s">
        <v>391</v>
      </c>
      <c r="C36" s="188" t="s">
        <v>389</v>
      </c>
      <c r="D36" s="189" t="s">
        <v>29</v>
      </c>
      <c r="E36" s="190" t="s">
        <v>30</v>
      </c>
      <c r="F36" s="188"/>
      <c r="G36" s="188"/>
      <c r="H36" s="188"/>
      <c r="I36" s="188"/>
      <c r="J36" s="188"/>
      <c r="K36" s="196">
        <v>888.16</v>
      </c>
      <c r="L36" s="7"/>
      <c r="M36" s="7"/>
      <c r="N36" s="7"/>
    </row>
    <row r="37" spans="1:14">
      <c r="A37" s="194" t="s">
        <v>192</v>
      </c>
      <c r="B37" s="195" t="s">
        <v>193</v>
      </c>
      <c r="C37" s="188" t="s">
        <v>389</v>
      </c>
      <c r="D37" s="189" t="s">
        <v>29</v>
      </c>
      <c r="E37" s="190" t="s">
        <v>30</v>
      </c>
      <c r="F37" s="188"/>
      <c r="G37" s="188"/>
      <c r="H37" s="188"/>
      <c r="I37" s="188"/>
      <c r="J37" s="188"/>
      <c r="K37" s="196">
        <v>474.24</v>
      </c>
      <c r="L37" s="7"/>
      <c r="M37" s="7"/>
      <c r="N37" s="7"/>
    </row>
    <row r="38" spans="1:14">
      <c r="A38" s="194" t="s">
        <v>269</v>
      </c>
      <c r="B38" s="195" t="s">
        <v>270</v>
      </c>
      <c r="C38" s="188" t="s">
        <v>389</v>
      </c>
      <c r="D38" s="189" t="s">
        <v>29</v>
      </c>
      <c r="E38" s="190" t="s">
        <v>30</v>
      </c>
      <c r="F38" s="188"/>
      <c r="G38" s="188"/>
      <c r="H38" s="188"/>
      <c r="I38" s="188"/>
      <c r="J38" s="188"/>
      <c r="K38" s="196">
        <v>828.25</v>
      </c>
      <c r="L38" s="7"/>
      <c r="M38" s="7"/>
      <c r="N38" s="7"/>
    </row>
    <row r="39" spans="1:14">
      <c r="A39" s="194" t="s">
        <v>84</v>
      </c>
      <c r="B39" s="195" t="s">
        <v>85</v>
      </c>
      <c r="C39" s="188" t="s">
        <v>389</v>
      </c>
      <c r="D39" s="189" t="s">
        <v>29</v>
      </c>
      <c r="E39" s="190" t="s">
        <v>30</v>
      </c>
      <c r="F39" s="188"/>
      <c r="G39" s="188"/>
      <c r="H39" s="188"/>
      <c r="I39" s="188"/>
      <c r="J39" s="188"/>
      <c r="K39" s="196">
        <v>172.64</v>
      </c>
      <c r="L39" s="7"/>
      <c r="M39" s="7"/>
      <c r="N39" s="7"/>
    </row>
    <row r="40" spans="1:14">
      <c r="A40" s="194" t="s">
        <v>151</v>
      </c>
      <c r="B40" s="195" t="s">
        <v>152</v>
      </c>
      <c r="C40" s="188" t="s">
        <v>389</v>
      </c>
      <c r="D40" s="189" t="s">
        <v>29</v>
      </c>
      <c r="E40" s="190" t="s">
        <v>30</v>
      </c>
      <c r="F40" s="188"/>
      <c r="G40" s="188"/>
      <c r="H40" s="188"/>
      <c r="I40" s="188"/>
      <c r="J40" s="188"/>
      <c r="K40" s="196">
        <v>139.36</v>
      </c>
      <c r="L40" s="7"/>
      <c r="M40" s="7"/>
      <c r="N40" s="7"/>
    </row>
    <row r="41" spans="1:14">
      <c r="A41" s="194" t="s">
        <v>392</v>
      </c>
      <c r="B41" s="195" t="s">
        <v>393</v>
      </c>
      <c r="C41" s="188" t="s">
        <v>389</v>
      </c>
      <c r="D41" s="189" t="s">
        <v>29</v>
      </c>
      <c r="E41" s="190" t="s">
        <v>30</v>
      </c>
      <c r="F41" s="188"/>
      <c r="G41" s="188"/>
      <c r="H41" s="188"/>
      <c r="I41" s="188"/>
      <c r="J41" s="188"/>
      <c r="K41" s="196">
        <v>76.68</v>
      </c>
      <c r="L41" s="7"/>
      <c r="M41" s="7"/>
      <c r="N41" s="7"/>
    </row>
    <row r="42" spans="1:14">
      <c r="A42" s="194" t="s">
        <v>53</v>
      </c>
      <c r="B42" s="195" t="s">
        <v>54</v>
      </c>
      <c r="C42" s="188" t="s">
        <v>389</v>
      </c>
      <c r="D42" s="189" t="s">
        <v>29</v>
      </c>
      <c r="E42" s="190" t="s">
        <v>30</v>
      </c>
      <c r="F42" s="188"/>
      <c r="G42" s="188"/>
      <c r="H42" s="188"/>
      <c r="I42" s="188"/>
      <c r="J42" s="188"/>
      <c r="K42" s="196">
        <v>168.12</v>
      </c>
      <c r="L42" s="7"/>
      <c r="M42" s="7"/>
      <c r="N42" s="7"/>
    </row>
    <row r="43" spans="1:14">
      <c r="A43" s="194" t="s">
        <v>307</v>
      </c>
      <c r="B43" s="195" t="s">
        <v>308</v>
      </c>
      <c r="C43" s="188" t="s">
        <v>389</v>
      </c>
      <c r="D43" s="189" t="s">
        <v>29</v>
      </c>
      <c r="E43" s="190" t="s">
        <v>30</v>
      </c>
      <c r="F43" s="188"/>
      <c r="G43" s="188"/>
      <c r="H43" s="188"/>
      <c r="I43" s="188"/>
      <c r="J43" s="188"/>
      <c r="K43" s="196">
        <v>66.86</v>
      </c>
      <c r="L43" s="7"/>
      <c r="M43" s="7"/>
      <c r="N43" s="7"/>
    </row>
    <row r="44" spans="1:14">
      <c r="A44" s="194"/>
      <c r="B44" s="195" t="s">
        <v>394</v>
      </c>
      <c r="C44" s="188" t="s">
        <v>389</v>
      </c>
      <c r="D44" s="189" t="s">
        <v>29</v>
      </c>
      <c r="E44" s="190" t="s">
        <v>30</v>
      </c>
      <c r="F44" s="188"/>
      <c r="G44" s="188"/>
      <c r="H44" s="188"/>
      <c r="I44" s="188"/>
      <c r="J44" s="188"/>
      <c r="K44" s="196">
        <v>340</v>
      </c>
      <c r="L44" s="7"/>
      <c r="M44" s="7"/>
      <c r="N44" s="7"/>
    </row>
    <row r="45" spans="1:14">
      <c r="A45" s="194"/>
      <c r="B45" s="195" t="s">
        <v>395</v>
      </c>
      <c r="C45" s="188" t="s">
        <v>389</v>
      </c>
      <c r="D45" s="189" t="s">
        <v>29</v>
      </c>
      <c r="E45" s="190" t="s">
        <v>30</v>
      </c>
      <c r="F45" s="188"/>
      <c r="G45" s="188"/>
      <c r="H45" s="188"/>
      <c r="I45" s="188"/>
      <c r="J45" s="188"/>
      <c r="K45" s="196">
        <v>2600</v>
      </c>
      <c r="L45" s="7"/>
      <c r="M45" s="7"/>
      <c r="N45" s="7"/>
    </row>
    <row r="46" spans="1:14">
      <c r="A46" s="194"/>
      <c r="B46" s="195" t="s">
        <v>396</v>
      </c>
      <c r="C46" s="188" t="s">
        <v>389</v>
      </c>
      <c r="D46" s="189" t="s">
        <v>29</v>
      </c>
      <c r="E46" s="190" t="s">
        <v>30</v>
      </c>
      <c r="F46" s="188"/>
      <c r="G46" s="188"/>
      <c r="H46" s="188"/>
      <c r="I46" s="188"/>
      <c r="J46" s="188"/>
      <c r="K46" s="196">
        <v>2550</v>
      </c>
      <c r="L46" s="7"/>
      <c r="M46" s="7"/>
      <c r="N46" s="7"/>
    </row>
    <row r="47" spans="1:14">
      <c r="A47" s="194"/>
      <c r="B47" s="195" t="s">
        <v>397</v>
      </c>
      <c r="C47" s="188" t="s">
        <v>389</v>
      </c>
      <c r="D47" s="189" t="s">
        <v>29</v>
      </c>
      <c r="E47" s="190" t="s">
        <v>30</v>
      </c>
      <c r="F47" s="188"/>
      <c r="G47" s="188"/>
      <c r="H47" s="188"/>
      <c r="I47" s="188"/>
      <c r="J47" s="188"/>
      <c r="K47" s="196">
        <v>3184</v>
      </c>
      <c r="L47" s="7"/>
      <c r="M47" s="7"/>
      <c r="N47" s="7"/>
    </row>
    <row r="48" spans="1:14">
      <c r="A48" s="194"/>
      <c r="B48" s="195" t="s">
        <v>398</v>
      </c>
      <c r="C48" s="188" t="s">
        <v>389</v>
      </c>
      <c r="D48" s="189" t="s">
        <v>29</v>
      </c>
      <c r="E48" s="190" t="s">
        <v>30</v>
      </c>
      <c r="F48" s="188"/>
      <c r="G48" s="188"/>
      <c r="H48" s="188"/>
      <c r="I48" s="188"/>
      <c r="J48" s="188"/>
      <c r="K48" s="196">
        <v>1592</v>
      </c>
      <c r="L48" s="7"/>
      <c r="M48" s="7"/>
      <c r="N48" s="7"/>
    </row>
    <row r="49" spans="1:14">
      <c r="A49" s="194"/>
      <c r="B49" s="195" t="s">
        <v>399</v>
      </c>
      <c r="C49" s="188" t="s">
        <v>389</v>
      </c>
      <c r="D49" s="189" t="s">
        <v>29</v>
      </c>
      <c r="E49" s="190" t="s">
        <v>30</v>
      </c>
      <c r="F49" s="188"/>
      <c r="G49" s="188"/>
      <c r="H49" s="188"/>
      <c r="I49" s="188"/>
      <c r="J49" s="188"/>
      <c r="K49" s="196">
        <v>1592</v>
      </c>
      <c r="L49" s="7"/>
      <c r="M49" s="7"/>
      <c r="N49" s="7"/>
    </row>
    <row r="50" spans="1:14">
      <c r="A50" s="194"/>
      <c r="B50" s="195" t="s">
        <v>400</v>
      </c>
      <c r="C50" s="188" t="s">
        <v>389</v>
      </c>
      <c r="D50" s="189" t="s">
        <v>29</v>
      </c>
      <c r="E50" s="190" t="s">
        <v>30</v>
      </c>
      <c r="F50" s="188"/>
      <c r="G50" s="188"/>
      <c r="H50" s="188"/>
      <c r="I50" s="188"/>
      <c r="J50" s="188"/>
      <c r="K50" s="196">
        <v>1592</v>
      </c>
      <c r="L50" s="7"/>
      <c r="M50" s="7"/>
      <c r="N50" s="7"/>
    </row>
    <row r="51" spans="1:14">
      <c r="A51" s="194"/>
      <c r="B51" s="195" t="s">
        <v>401</v>
      </c>
      <c r="C51" s="188" t="s">
        <v>389</v>
      </c>
      <c r="D51" s="189" t="s">
        <v>29</v>
      </c>
      <c r="E51" s="190" t="s">
        <v>30</v>
      </c>
      <c r="F51" s="188"/>
      <c r="G51" s="188"/>
      <c r="H51" s="188"/>
      <c r="I51" s="188"/>
      <c r="J51" s="188"/>
      <c r="K51" s="196">
        <v>2700</v>
      </c>
      <c r="L51" s="7"/>
      <c r="M51" s="7"/>
      <c r="N51" s="7"/>
    </row>
    <row r="52" spans="1:14">
      <c r="A52" s="194"/>
      <c r="B52" s="195" t="s">
        <v>402</v>
      </c>
      <c r="C52" s="188" t="s">
        <v>389</v>
      </c>
      <c r="D52" s="189" t="s">
        <v>29</v>
      </c>
      <c r="E52" s="190" t="s">
        <v>30</v>
      </c>
      <c r="F52" s="188"/>
      <c r="G52" s="188"/>
      <c r="H52" s="188"/>
      <c r="I52" s="188"/>
      <c r="J52" s="188"/>
      <c r="K52" s="196">
        <v>1400</v>
      </c>
      <c r="L52" s="7"/>
      <c r="M52" s="7"/>
      <c r="N52" s="7"/>
    </row>
    <row r="53" spans="1:14">
      <c r="A53" s="194"/>
      <c r="B53" s="195" t="s">
        <v>403</v>
      </c>
      <c r="C53" s="188" t="s">
        <v>389</v>
      </c>
      <c r="D53" s="189" t="s">
        <v>29</v>
      </c>
      <c r="E53" s="190" t="s">
        <v>30</v>
      </c>
      <c r="F53" s="188"/>
      <c r="G53" s="188"/>
      <c r="H53" s="188"/>
      <c r="I53" s="188"/>
      <c r="J53" s="188"/>
      <c r="K53" s="196">
        <v>1400</v>
      </c>
      <c r="L53" s="7"/>
      <c r="M53" s="7"/>
      <c r="N53" s="7"/>
    </row>
    <row r="54" spans="1:14">
      <c r="A54" s="194"/>
      <c r="B54" s="195" t="s">
        <v>404</v>
      </c>
      <c r="C54" s="188" t="s">
        <v>389</v>
      </c>
      <c r="D54" s="189" t="s">
        <v>29</v>
      </c>
      <c r="E54" s="190" t="s">
        <v>30</v>
      </c>
      <c r="F54" s="188"/>
      <c r="G54" s="188"/>
      <c r="H54" s="188"/>
      <c r="I54" s="188"/>
      <c r="J54" s="188"/>
      <c r="K54" s="196">
        <v>1400</v>
      </c>
      <c r="L54" s="7"/>
      <c r="M54" s="7"/>
      <c r="N54" s="7"/>
    </row>
    <row r="55" spans="1:14">
      <c r="A55" s="194"/>
      <c r="B55" s="195" t="s">
        <v>405</v>
      </c>
      <c r="C55" s="188" t="s">
        <v>389</v>
      </c>
      <c r="D55" s="189" t="s">
        <v>29</v>
      </c>
      <c r="E55" s="190" t="s">
        <v>30</v>
      </c>
      <c r="F55" s="188"/>
      <c r="G55" s="188"/>
      <c r="H55" s="188"/>
      <c r="I55" s="188"/>
      <c r="J55" s="188"/>
      <c r="K55" s="196">
        <v>720</v>
      </c>
      <c r="L55" s="7"/>
      <c r="M55" s="7"/>
      <c r="N55" s="7"/>
    </row>
    <row r="56" spans="1:14">
      <c r="A56" s="194"/>
      <c r="B56" s="195" t="s">
        <v>406</v>
      </c>
      <c r="C56" s="188" t="s">
        <v>389</v>
      </c>
      <c r="D56" s="189" t="s">
        <v>29</v>
      </c>
      <c r="E56" s="190" t="s">
        <v>30</v>
      </c>
      <c r="F56" s="188"/>
      <c r="G56" s="188"/>
      <c r="H56" s="188"/>
      <c r="I56" s="188"/>
      <c r="J56" s="188"/>
      <c r="K56" s="196">
        <v>720</v>
      </c>
      <c r="L56" s="7"/>
      <c r="M56" s="7"/>
      <c r="N56" s="7"/>
    </row>
    <row r="57" spans="1:14">
      <c r="A57" s="194"/>
      <c r="B57" s="195" t="s">
        <v>407</v>
      </c>
      <c r="C57" s="188" t="s">
        <v>389</v>
      </c>
      <c r="D57" s="189" t="s">
        <v>29</v>
      </c>
      <c r="E57" s="190" t="s">
        <v>30</v>
      </c>
      <c r="F57" s="188"/>
      <c r="G57" s="188"/>
      <c r="H57" s="188"/>
      <c r="I57" s="188"/>
      <c r="J57" s="188"/>
      <c r="K57" s="196">
        <v>200</v>
      </c>
      <c r="L57" s="7"/>
      <c r="M57" s="7"/>
      <c r="N57" s="7"/>
    </row>
    <row r="58" spans="1:14">
      <c r="A58" s="194"/>
      <c r="B58" s="195" t="s">
        <v>408</v>
      </c>
      <c r="C58" s="188" t="s">
        <v>389</v>
      </c>
      <c r="D58" s="189" t="s">
        <v>29</v>
      </c>
      <c r="E58" s="190" t="s">
        <v>30</v>
      </c>
      <c r="F58" s="188"/>
      <c r="G58" s="188"/>
      <c r="H58" s="188"/>
      <c r="I58" s="188"/>
      <c r="J58" s="188"/>
      <c r="K58" s="196">
        <v>1600</v>
      </c>
      <c r="L58" s="7"/>
      <c r="M58" s="7"/>
      <c r="N58" s="7"/>
    </row>
    <row r="59" spans="1:14">
      <c r="A59" s="194"/>
      <c r="B59" s="195" t="s">
        <v>409</v>
      </c>
      <c r="C59" s="188" t="s">
        <v>389</v>
      </c>
      <c r="D59" s="189" t="s">
        <v>29</v>
      </c>
      <c r="E59" s="190" t="s">
        <v>30</v>
      </c>
      <c r="F59" s="188"/>
      <c r="G59" s="188"/>
      <c r="H59" s="188"/>
      <c r="I59" s="188"/>
      <c r="J59" s="188"/>
      <c r="K59" s="196">
        <v>800</v>
      </c>
      <c r="L59" s="7"/>
      <c r="M59" s="7"/>
      <c r="N59" s="7"/>
    </row>
    <row r="60" spans="1:14">
      <c r="A60" s="194"/>
      <c r="B60" s="195" t="s">
        <v>410</v>
      </c>
      <c r="C60" s="188" t="s">
        <v>389</v>
      </c>
      <c r="D60" s="189" t="s">
        <v>29</v>
      </c>
      <c r="E60" s="190" t="s">
        <v>30</v>
      </c>
      <c r="F60" s="188"/>
      <c r="G60" s="188"/>
      <c r="H60" s="188"/>
      <c r="I60" s="188"/>
      <c r="J60" s="188"/>
      <c r="K60" s="196">
        <v>900</v>
      </c>
      <c r="L60" s="7"/>
      <c r="M60" s="7"/>
      <c r="N60" s="7"/>
    </row>
    <row r="61" spans="1:14">
      <c r="A61" s="194"/>
      <c r="B61" s="195" t="s">
        <v>411</v>
      </c>
      <c r="C61" s="188" t="s">
        <v>389</v>
      </c>
      <c r="D61" s="189" t="s">
        <v>29</v>
      </c>
      <c r="E61" s="190" t="s">
        <v>30</v>
      </c>
      <c r="F61" s="188"/>
      <c r="G61" s="188"/>
      <c r="H61" s="188"/>
      <c r="I61" s="188"/>
      <c r="J61" s="188"/>
      <c r="K61" s="196">
        <v>800</v>
      </c>
      <c r="L61" s="7"/>
      <c r="M61" s="7"/>
      <c r="N61" s="7"/>
    </row>
    <row r="62" spans="1:14">
      <c r="A62" s="194"/>
      <c r="B62" s="195" t="s">
        <v>412</v>
      </c>
      <c r="C62" s="188" t="s">
        <v>389</v>
      </c>
      <c r="D62" s="189" t="s">
        <v>29</v>
      </c>
      <c r="E62" s="190" t="s">
        <v>30</v>
      </c>
      <c r="F62" s="188"/>
      <c r="G62" s="188"/>
      <c r="H62" s="188"/>
      <c r="I62" s="188"/>
      <c r="J62" s="188"/>
      <c r="K62" s="196">
        <v>160</v>
      </c>
      <c r="L62" s="7"/>
      <c r="M62" s="7"/>
      <c r="N62" s="7"/>
    </row>
    <row r="63" spans="1:14">
      <c r="A63" s="194"/>
      <c r="B63" s="195" t="s">
        <v>413</v>
      </c>
      <c r="C63" s="188" t="s">
        <v>389</v>
      </c>
      <c r="D63" s="189" t="s">
        <v>29</v>
      </c>
      <c r="E63" s="190" t="s">
        <v>30</v>
      </c>
      <c r="F63" s="188"/>
      <c r="G63" s="188"/>
      <c r="H63" s="188"/>
      <c r="I63" s="188"/>
      <c r="J63" s="188"/>
      <c r="K63" s="196">
        <v>160</v>
      </c>
      <c r="L63" s="7"/>
      <c r="M63" s="7"/>
      <c r="N63" s="7"/>
    </row>
    <row r="64" spans="1:14">
      <c r="A64" s="194"/>
      <c r="B64" s="195" t="s">
        <v>414</v>
      </c>
      <c r="C64" s="188" t="s">
        <v>389</v>
      </c>
      <c r="D64" s="189" t="s">
        <v>29</v>
      </c>
      <c r="E64" s="190" t="s">
        <v>30</v>
      </c>
      <c r="F64" s="188"/>
      <c r="G64" s="188"/>
      <c r="H64" s="188"/>
      <c r="I64" s="188"/>
      <c r="J64" s="188"/>
      <c r="K64" s="196">
        <v>3000</v>
      </c>
      <c r="L64" s="7"/>
      <c r="M64" s="7"/>
      <c r="N64" s="7"/>
    </row>
    <row r="65" spans="1:14">
      <c r="A65" s="194"/>
      <c r="B65" s="195" t="s">
        <v>415</v>
      </c>
      <c r="C65" s="188" t="s">
        <v>389</v>
      </c>
      <c r="D65" s="189" t="s">
        <v>29</v>
      </c>
      <c r="E65" s="190" t="s">
        <v>30</v>
      </c>
      <c r="F65" s="188"/>
      <c r="G65" s="188"/>
      <c r="H65" s="188"/>
      <c r="I65" s="188"/>
      <c r="J65" s="188"/>
      <c r="K65" s="196">
        <v>3000</v>
      </c>
      <c r="L65" s="7"/>
      <c r="M65" s="7"/>
      <c r="N65" s="7"/>
    </row>
    <row r="66" spans="1:14" s="155" customFormat="1">
      <c r="A66" s="107" t="s">
        <v>23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32">
        <f>SUM(K12:K65)</f>
        <v>41394.49</v>
      </c>
      <c r="L66" s="107"/>
      <c r="M66" s="107"/>
      <c r="N66" s="107"/>
    </row>
    <row r="67" spans="1: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92"/>
  <sheetViews>
    <sheetView tabSelected="0" workbookViewId="0" zoomScale="84" zoomScaleNormal="84" showGridLines="true" showRowColHeaders="1">
      <selection activeCell="K77" sqref="K77"/>
    </sheetView>
  </sheetViews>
  <sheetFormatPr defaultRowHeight="14.4" defaultColWidth="20.7109375" outlineLevelRow="0" outlineLevelCol="0"/>
  <cols>
    <col min="1" max="1" width="20.85546875" customWidth="true" style="5"/>
    <col min="2" max="2" width="55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389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45" t="s">
        <v>10</v>
      </c>
      <c r="B10" s="347" t="s">
        <v>11</v>
      </c>
      <c r="C10" s="347" t="s">
        <v>12</v>
      </c>
      <c r="D10" s="349" t="s">
        <v>13</v>
      </c>
      <c r="E10" s="347" t="s">
        <v>14</v>
      </c>
      <c r="F10" s="347" t="s">
        <v>15</v>
      </c>
      <c r="G10" s="347"/>
      <c r="H10" s="347"/>
      <c r="I10" s="347"/>
      <c r="J10" s="347" t="s">
        <v>16</v>
      </c>
      <c r="K10" s="347" t="s">
        <v>17</v>
      </c>
      <c r="L10" s="347"/>
      <c r="M10" s="347"/>
      <c r="N10" s="342" t="s">
        <v>18</v>
      </c>
    </row>
    <row r="11" spans="1:14" customHeight="1" ht="33.6" s="3" customFormat="1">
      <c r="A11" s="351"/>
      <c r="B11" s="352"/>
      <c r="C11" s="348"/>
      <c r="D11" s="350"/>
      <c r="E11" s="348"/>
      <c r="F11" s="34" t="s">
        <v>19</v>
      </c>
      <c r="G11" s="34" t="s">
        <v>20</v>
      </c>
      <c r="H11" s="34" t="s">
        <v>21</v>
      </c>
      <c r="I11" s="34" t="s">
        <v>22</v>
      </c>
      <c r="J11" s="348"/>
      <c r="K11" s="33" t="s">
        <v>23</v>
      </c>
      <c r="L11" s="33" t="s">
        <v>24</v>
      </c>
      <c r="M11" s="33" t="s">
        <v>25</v>
      </c>
      <c r="N11" s="343"/>
    </row>
    <row r="12" spans="1:14">
      <c r="A12" s="246" t="s">
        <v>110</v>
      </c>
      <c r="B12" s="247" t="s">
        <v>345</v>
      </c>
      <c r="C12" s="188" t="s">
        <v>416</v>
      </c>
      <c r="D12" s="189" t="s">
        <v>29</v>
      </c>
      <c r="E12" s="190" t="s">
        <v>30</v>
      </c>
      <c r="F12" s="188"/>
      <c r="G12" s="188"/>
      <c r="H12" s="188"/>
      <c r="I12" s="188"/>
      <c r="J12" s="188"/>
      <c r="K12" s="329">
        <v>1322.2</v>
      </c>
      <c r="L12" s="7"/>
      <c r="M12" s="7"/>
      <c r="N12" s="7"/>
    </row>
    <row r="13" spans="1:14">
      <c r="A13" s="246" t="s">
        <v>31</v>
      </c>
      <c r="B13" s="247" t="s">
        <v>32</v>
      </c>
      <c r="C13" s="188" t="s">
        <v>416</v>
      </c>
      <c r="D13" s="189" t="s">
        <v>29</v>
      </c>
      <c r="E13" s="190" t="s">
        <v>30</v>
      </c>
      <c r="F13" s="188"/>
      <c r="G13" s="188"/>
      <c r="H13" s="188"/>
      <c r="I13" s="188"/>
      <c r="J13" s="188"/>
      <c r="K13" s="330">
        <v>1332</v>
      </c>
      <c r="L13" s="7"/>
      <c r="M13" s="7"/>
      <c r="N13" s="7"/>
    </row>
    <row r="14" spans="1:14">
      <c r="A14" s="246" t="s">
        <v>239</v>
      </c>
      <c r="B14" s="247" t="s">
        <v>347</v>
      </c>
      <c r="C14" s="188" t="s">
        <v>416</v>
      </c>
      <c r="D14" s="189" t="s">
        <v>29</v>
      </c>
      <c r="E14" s="190" t="s">
        <v>30</v>
      </c>
      <c r="F14" s="188"/>
      <c r="G14" s="188"/>
      <c r="H14" s="188"/>
      <c r="I14" s="188"/>
      <c r="J14" s="188"/>
      <c r="K14" s="330">
        <v>444</v>
      </c>
      <c r="L14" s="7"/>
      <c r="M14" s="7"/>
      <c r="N14" s="7"/>
    </row>
    <row r="15" spans="1:14">
      <c r="A15" s="246" t="s">
        <v>348</v>
      </c>
      <c r="B15" s="247" t="s">
        <v>349</v>
      </c>
      <c r="C15" s="188" t="s">
        <v>416</v>
      </c>
      <c r="D15" s="189" t="s">
        <v>29</v>
      </c>
      <c r="E15" s="190" t="s">
        <v>30</v>
      </c>
      <c r="F15" s="188"/>
      <c r="G15" s="188"/>
      <c r="H15" s="188"/>
      <c r="I15" s="188"/>
      <c r="J15" s="188"/>
      <c r="K15" s="330">
        <v>444</v>
      </c>
      <c r="L15" s="7"/>
      <c r="M15" s="7"/>
      <c r="N15" s="7"/>
    </row>
    <row r="16" spans="1:14">
      <c r="A16" s="331" t="s">
        <v>114</v>
      </c>
      <c r="B16" s="247" t="s">
        <v>171</v>
      </c>
      <c r="C16" s="188" t="s">
        <v>416</v>
      </c>
      <c r="D16" s="189" t="s">
        <v>29</v>
      </c>
      <c r="E16" s="190" t="s">
        <v>30</v>
      </c>
      <c r="F16" s="188"/>
      <c r="G16" s="188"/>
      <c r="H16" s="188"/>
      <c r="I16" s="188"/>
      <c r="J16" s="188"/>
      <c r="K16" s="332">
        <v>571.48</v>
      </c>
      <c r="L16" s="7"/>
      <c r="M16" s="7"/>
      <c r="N16" s="7"/>
    </row>
    <row r="17" spans="1:14">
      <c r="A17" s="251" t="s">
        <v>35</v>
      </c>
      <c r="B17" s="247" t="s">
        <v>36</v>
      </c>
      <c r="C17" s="188" t="s">
        <v>416</v>
      </c>
      <c r="D17" s="189" t="s">
        <v>29</v>
      </c>
      <c r="E17" s="190" t="s">
        <v>30</v>
      </c>
      <c r="F17" s="188"/>
      <c r="G17" s="188"/>
      <c r="H17" s="188"/>
      <c r="I17" s="188"/>
      <c r="J17" s="188"/>
      <c r="K17" s="330">
        <v>272.48</v>
      </c>
      <c r="L17" s="7"/>
      <c r="M17" s="7"/>
      <c r="N17" s="7"/>
    </row>
    <row r="18" spans="1:14">
      <c r="A18" s="251" t="s">
        <v>117</v>
      </c>
      <c r="B18" s="247" t="s">
        <v>417</v>
      </c>
      <c r="C18" s="188" t="s">
        <v>416</v>
      </c>
      <c r="D18" s="189" t="s">
        <v>29</v>
      </c>
      <c r="E18" s="190" t="s">
        <v>30</v>
      </c>
      <c r="F18" s="188"/>
      <c r="G18" s="188"/>
      <c r="H18" s="188"/>
      <c r="I18" s="188"/>
      <c r="J18" s="188"/>
      <c r="K18" s="330">
        <v>22.78</v>
      </c>
      <c r="L18" s="7"/>
      <c r="M18" s="7"/>
      <c r="N18" s="7"/>
    </row>
    <row r="19" spans="1:14">
      <c r="A19" s="251" t="s">
        <v>37</v>
      </c>
      <c r="B19" s="247" t="s">
        <v>38</v>
      </c>
      <c r="C19" s="188" t="s">
        <v>416</v>
      </c>
      <c r="D19" s="189" t="s">
        <v>29</v>
      </c>
      <c r="E19" s="190" t="s">
        <v>30</v>
      </c>
      <c r="F19" s="188"/>
      <c r="G19" s="188"/>
      <c r="H19" s="188"/>
      <c r="I19" s="188"/>
      <c r="J19" s="188"/>
      <c r="K19" s="330">
        <v>979.23</v>
      </c>
      <c r="L19" s="7"/>
      <c r="M19" s="7"/>
      <c r="N19" s="7"/>
    </row>
    <row r="20" spans="1:14">
      <c r="A20" s="246" t="s">
        <v>174</v>
      </c>
      <c r="B20" s="247" t="s">
        <v>175</v>
      </c>
      <c r="C20" s="188" t="s">
        <v>416</v>
      </c>
      <c r="D20" s="189" t="s">
        <v>29</v>
      </c>
      <c r="E20" s="190" t="s">
        <v>30</v>
      </c>
      <c r="F20" s="188"/>
      <c r="G20" s="188"/>
      <c r="H20" s="188"/>
      <c r="I20" s="188"/>
      <c r="J20" s="188"/>
      <c r="K20" s="330">
        <v>27.64</v>
      </c>
      <c r="L20" s="7"/>
      <c r="M20" s="7"/>
      <c r="N20" s="7"/>
    </row>
    <row r="21" spans="1:14">
      <c r="A21" s="246" t="s">
        <v>39</v>
      </c>
      <c r="B21" s="247" t="s">
        <v>40</v>
      </c>
      <c r="C21" s="188" t="s">
        <v>416</v>
      </c>
      <c r="D21" s="189" t="s">
        <v>29</v>
      </c>
      <c r="E21" s="190" t="s">
        <v>30</v>
      </c>
      <c r="F21" s="188"/>
      <c r="G21" s="188"/>
      <c r="H21" s="188"/>
      <c r="I21" s="188"/>
      <c r="J21" s="188"/>
      <c r="K21" s="330">
        <v>480.48</v>
      </c>
      <c r="L21" s="7"/>
      <c r="M21" s="7"/>
      <c r="N21" s="7"/>
    </row>
    <row r="22" spans="1:14">
      <c r="A22" s="246" t="s">
        <v>245</v>
      </c>
      <c r="B22" s="247" t="s">
        <v>246</v>
      </c>
      <c r="C22" s="188" t="s">
        <v>416</v>
      </c>
      <c r="D22" s="189" t="s">
        <v>29</v>
      </c>
      <c r="E22" s="190" t="s">
        <v>30</v>
      </c>
      <c r="F22" s="188"/>
      <c r="G22" s="188"/>
      <c r="H22" s="188"/>
      <c r="I22" s="188"/>
      <c r="J22" s="188"/>
      <c r="K22" s="330">
        <v>63.82</v>
      </c>
      <c r="L22" s="7"/>
      <c r="M22" s="7"/>
      <c r="N22" s="7"/>
    </row>
    <row r="23" spans="1:14">
      <c r="A23" s="246" t="s">
        <v>178</v>
      </c>
      <c r="B23" s="247" t="s">
        <v>179</v>
      </c>
      <c r="C23" s="188" t="s">
        <v>416</v>
      </c>
      <c r="D23" s="189" t="s">
        <v>29</v>
      </c>
      <c r="E23" s="190" t="s">
        <v>30</v>
      </c>
      <c r="F23" s="188"/>
      <c r="G23" s="188"/>
      <c r="H23" s="188"/>
      <c r="I23" s="188"/>
      <c r="J23" s="188"/>
      <c r="K23" s="332">
        <v>115.64</v>
      </c>
      <c r="L23" s="7"/>
      <c r="M23" s="7"/>
      <c r="N23" s="7"/>
    </row>
    <row r="24" spans="1:14">
      <c r="A24" s="246" t="s">
        <v>43</v>
      </c>
      <c r="B24" s="247" t="s">
        <v>44</v>
      </c>
      <c r="C24" s="188" t="s">
        <v>416</v>
      </c>
      <c r="D24" s="189" t="s">
        <v>29</v>
      </c>
      <c r="E24" s="190" t="s">
        <v>30</v>
      </c>
      <c r="F24" s="188"/>
      <c r="G24" s="188"/>
      <c r="H24" s="188"/>
      <c r="I24" s="188"/>
      <c r="J24" s="188"/>
      <c r="K24" s="332">
        <v>777.92</v>
      </c>
      <c r="L24" s="7"/>
      <c r="M24" s="7"/>
      <c r="N24" s="7"/>
    </row>
    <row r="25" spans="1:14">
      <c r="A25" s="246" t="s">
        <v>45</v>
      </c>
      <c r="B25" s="247" t="s">
        <v>46</v>
      </c>
      <c r="C25" s="188" t="s">
        <v>416</v>
      </c>
      <c r="D25" s="189" t="s">
        <v>29</v>
      </c>
      <c r="E25" s="190" t="s">
        <v>30</v>
      </c>
      <c r="F25" s="188"/>
      <c r="G25" s="188"/>
      <c r="H25" s="188"/>
      <c r="I25" s="188"/>
      <c r="J25" s="188"/>
      <c r="K25" s="330">
        <v>261.36</v>
      </c>
      <c r="L25" s="7"/>
      <c r="M25" s="7"/>
      <c r="N25" s="7"/>
    </row>
    <row r="26" spans="1:14">
      <c r="A26" s="246" t="s">
        <v>47</v>
      </c>
      <c r="B26" s="247" t="s">
        <v>48</v>
      </c>
      <c r="C26" s="188" t="s">
        <v>416</v>
      </c>
      <c r="D26" s="189" t="s">
        <v>29</v>
      </c>
      <c r="E26" s="190" t="s">
        <v>30</v>
      </c>
      <c r="F26" s="188"/>
      <c r="G26" s="188"/>
      <c r="H26" s="188"/>
      <c r="I26" s="188"/>
      <c r="J26" s="188"/>
      <c r="K26" s="330">
        <v>391.3</v>
      </c>
      <c r="L26" s="7"/>
      <c r="M26" s="7"/>
      <c r="N26" s="7"/>
    </row>
    <row r="27" spans="1:14">
      <c r="A27" s="246" t="s">
        <v>49</v>
      </c>
      <c r="B27" s="247" t="s">
        <v>50</v>
      </c>
      <c r="C27" s="188" t="s">
        <v>416</v>
      </c>
      <c r="D27" s="189" t="s">
        <v>29</v>
      </c>
      <c r="E27" s="190" t="s">
        <v>30</v>
      </c>
      <c r="F27" s="188"/>
      <c r="G27" s="188"/>
      <c r="H27" s="188"/>
      <c r="I27" s="188"/>
      <c r="J27" s="188"/>
      <c r="K27" s="332">
        <v>116.48</v>
      </c>
      <c r="L27" s="7"/>
      <c r="M27" s="7"/>
      <c r="N27" s="7"/>
    </row>
    <row r="28" spans="1:14">
      <c r="A28" s="246" t="s">
        <v>51</v>
      </c>
      <c r="B28" s="247" t="s">
        <v>52</v>
      </c>
      <c r="C28" s="188" t="s">
        <v>416</v>
      </c>
      <c r="D28" s="189" t="s">
        <v>29</v>
      </c>
      <c r="E28" s="190" t="s">
        <v>30</v>
      </c>
      <c r="F28" s="188"/>
      <c r="G28" s="188"/>
      <c r="H28" s="188"/>
      <c r="I28" s="188"/>
      <c r="J28" s="188"/>
      <c r="K28" s="330">
        <v>266.24</v>
      </c>
      <c r="L28" s="7"/>
      <c r="M28" s="7"/>
      <c r="N28" s="7"/>
    </row>
    <row r="29" spans="1:14">
      <c r="A29" s="246" t="s">
        <v>55</v>
      </c>
      <c r="B29" s="247" t="s">
        <v>56</v>
      </c>
      <c r="C29" s="188" t="s">
        <v>416</v>
      </c>
      <c r="D29" s="189" t="s">
        <v>29</v>
      </c>
      <c r="E29" s="190" t="s">
        <v>30</v>
      </c>
      <c r="F29" s="188"/>
      <c r="G29" s="188"/>
      <c r="H29" s="188"/>
      <c r="I29" s="188"/>
      <c r="J29" s="188"/>
      <c r="K29" s="330">
        <v>634.15</v>
      </c>
      <c r="L29" s="7"/>
      <c r="M29" s="7"/>
      <c r="N29" s="7"/>
    </row>
    <row r="30" spans="1:14">
      <c r="A30" s="246" t="s">
        <v>184</v>
      </c>
      <c r="B30" s="247" t="s">
        <v>185</v>
      </c>
      <c r="C30" s="188" t="s">
        <v>416</v>
      </c>
      <c r="D30" s="189" t="s">
        <v>29</v>
      </c>
      <c r="E30" s="190" t="s">
        <v>30</v>
      </c>
      <c r="F30" s="188"/>
      <c r="G30" s="188"/>
      <c r="H30" s="188"/>
      <c r="I30" s="188"/>
      <c r="J30" s="188"/>
      <c r="K30" s="330">
        <v>1158</v>
      </c>
      <c r="L30" s="7"/>
      <c r="M30" s="7"/>
      <c r="N30" s="7"/>
    </row>
    <row r="31" spans="1:14">
      <c r="A31" s="246" t="s">
        <v>133</v>
      </c>
      <c r="B31" s="247" t="s">
        <v>134</v>
      </c>
      <c r="C31" s="188" t="s">
        <v>416</v>
      </c>
      <c r="D31" s="189" t="s">
        <v>29</v>
      </c>
      <c r="E31" s="190" t="s">
        <v>30</v>
      </c>
      <c r="F31" s="188"/>
      <c r="G31" s="188"/>
      <c r="H31" s="188"/>
      <c r="I31" s="188"/>
      <c r="J31" s="188"/>
      <c r="K31" s="330">
        <v>453.96</v>
      </c>
      <c r="L31" s="7"/>
      <c r="M31" s="7"/>
      <c r="N31" s="7"/>
    </row>
    <row r="32" spans="1:14">
      <c r="A32" s="246" t="s">
        <v>341</v>
      </c>
      <c r="B32" s="247" t="s">
        <v>418</v>
      </c>
      <c r="C32" s="188" t="s">
        <v>416</v>
      </c>
      <c r="D32" s="189" t="s">
        <v>29</v>
      </c>
      <c r="E32" s="190" t="s">
        <v>30</v>
      </c>
      <c r="F32" s="188"/>
      <c r="G32" s="188"/>
      <c r="H32" s="188"/>
      <c r="I32" s="188"/>
      <c r="J32" s="188"/>
      <c r="K32" s="330">
        <v>738.4</v>
      </c>
      <c r="L32" s="7"/>
      <c r="M32" s="7"/>
      <c r="N32" s="7"/>
    </row>
    <row r="33" spans="1:14">
      <c r="A33" s="246" t="s">
        <v>419</v>
      </c>
      <c r="B33" s="247" t="s">
        <v>420</v>
      </c>
      <c r="C33" s="188" t="s">
        <v>416</v>
      </c>
      <c r="D33" s="189" t="s">
        <v>29</v>
      </c>
      <c r="E33" s="190" t="s">
        <v>30</v>
      </c>
      <c r="F33" s="188"/>
      <c r="G33" s="188"/>
      <c r="H33" s="188"/>
      <c r="I33" s="188"/>
      <c r="J33" s="188"/>
      <c r="K33" s="330">
        <v>977.6</v>
      </c>
      <c r="L33" s="7"/>
      <c r="M33" s="7"/>
      <c r="N33" s="7"/>
    </row>
    <row r="34" spans="1:14">
      <c r="A34" s="246" t="s">
        <v>139</v>
      </c>
      <c r="B34" s="247" t="s">
        <v>140</v>
      </c>
      <c r="C34" s="188" t="s">
        <v>416</v>
      </c>
      <c r="D34" s="189" t="s">
        <v>29</v>
      </c>
      <c r="E34" s="190" t="s">
        <v>30</v>
      </c>
      <c r="F34" s="188"/>
      <c r="G34" s="188"/>
      <c r="H34" s="188"/>
      <c r="I34" s="188"/>
      <c r="J34" s="188"/>
      <c r="K34" s="330">
        <v>11.41</v>
      </c>
      <c r="L34" s="7"/>
      <c r="M34" s="7"/>
      <c r="N34" s="7"/>
    </row>
    <row r="35" spans="1:14">
      <c r="A35" s="251" t="s">
        <v>143</v>
      </c>
      <c r="B35" s="247" t="s">
        <v>144</v>
      </c>
      <c r="C35" s="188" t="s">
        <v>416</v>
      </c>
      <c r="D35" s="189" t="s">
        <v>29</v>
      </c>
      <c r="E35" s="190" t="s">
        <v>30</v>
      </c>
      <c r="F35" s="188"/>
      <c r="G35" s="188"/>
      <c r="H35" s="188"/>
      <c r="I35" s="188"/>
      <c r="J35" s="188"/>
      <c r="K35" s="330">
        <v>1192.85</v>
      </c>
      <c r="L35" s="7"/>
      <c r="M35" s="7"/>
      <c r="N35" s="7"/>
    </row>
    <row r="36" spans="1:14">
      <c r="A36" s="246" t="s">
        <v>421</v>
      </c>
      <c r="B36" s="247" t="s">
        <v>422</v>
      </c>
      <c r="C36" s="188" t="s">
        <v>416</v>
      </c>
      <c r="D36" s="189" t="s">
        <v>29</v>
      </c>
      <c r="E36" s="190" t="s">
        <v>30</v>
      </c>
      <c r="F36" s="188"/>
      <c r="G36" s="188"/>
      <c r="H36" s="188"/>
      <c r="I36" s="188"/>
      <c r="J36" s="188"/>
      <c r="K36" s="330">
        <v>624</v>
      </c>
      <c r="L36" s="7"/>
      <c r="M36" s="7"/>
      <c r="N36" s="7"/>
    </row>
    <row r="37" spans="1:14">
      <c r="A37" s="246" t="s">
        <v>255</v>
      </c>
      <c r="B37" s="247" t="s">
        <v>256</v>
      </c>
      <c r="C37" s="188" t="s">
        <v>416</v>
      </c>
      <c r="D37" s="189" t="s">
        <v>29</v>
      </c>
      <c r="E37" s="190" t="s">
        <v>30</v>
      </c>
      <c r="F37" s="188"/>
      <c r="G37" s="188"/>
      <c r="H37" s="188"/>
      <c r="I37" s="188"/>
      <c r="J37" s="188"/>
      <c r="K37" s="330">
        <v>256.62</v>
      </c>
      <c r="L37" s="7"/>
      <c r="M37" s="7"/>
      <c r="N37" s="7"/>
    </row>
    <row r="38" spans="1:14">
      <c r="A38" s="251" t="s">
        <v>64</v>
      </c>
      <c r="B38" s="247" t="s">
        <v>65</v>
      </c>
      <c r="C38" s="188" t="s">
        <v>416</v>
      </c>
      <c r="D38" s="189" t="s">
        <v>29</v>
      </c>
      <c r="E38" s="190" t="s">
        <v>30</v>
      </c>
      <c r="F38" s="188"/>
      <c r="G38" s="188"/>
      <c r="H38" s="188"/>
      <c r="I38" s="188"/>
      <c r="J38" s="188"/>
      <c r="K38" s="330">
        <v>149.4</v>
      </c>
      <c r="L38" s="7"/>
      <c r="M38" s="7"/>
      <c r="N38" s="7"/>
    </row>
    <row r="39" spans="1:14">
      <c r="A39" s="251" t="s">
        <v>257</v>
      </c>
      <c r="B39" s="247" t="s">
        <v>258</v>
      </c>
      <c r="C39" s="188" t="s">
        <v>416</v>
      </c>
      <c r="D39" s="189" t="s">
        <v>29</v>
      </c>
      <c r="E39" s="190" t="s">
        <v>30</v>
      </c>
      <c r="F39" s="188"/>
      <c r="G39" s="188"/>
      <c r="H39" s="188"/>
      <c r="I39" s="188"/>
      <c r="J39" s="188"/>
      <c r="K39" s="330">
        <v>186.75</v>
      </c>
      <c r="L39" s="7"/>
      <c r="M39" s="7"/>
      <c r="N39" s="7"/>
    </row>
    <row r="40" spans="1:14">
      <c r="A40" s="251" t="s">
        <v>311</v>
      </c>
      <c r="B40" s="247" t="s">
        <v>312</v>
      </c>
      <c r="C40" s="188" t="s">
        <v>416</v>
      </c>
      <c r="D40" s="189" t="s">
        <v>29</v>
      </c>
      <c r="E40" s="190" t="s">
        <v>30</v>
      </c>
      <c r="F40" s="188"/>
      <c r="G40" s="188"/>
      <c r="H40" s="188"/>
      <c r="I40" s="188"/>
      <c r="J40" s="188"/>
      <c r="K40" s="330">
        <v>112.05</v>
      </c>
      <c r="L40" s="7"/>
      <c r="M40" s="7"/>
      <c r="N40" s="7"/>
    </row>
    <row r="41" spans="1:14">
      <c r="A41" s="251" t="s">
        <v>145</v>
      </c>
      <c r="B41" s="247" t="s">
        <v>146</v>
      </c>
      <c r="C41" s="188" t="s">
        <v>416</v>
      </c>
      <c r="D41" s="189" t="s">
        <v>29</v>
      </c>
      <c r="E41" s="190" t="s">
        <v>30</v>
      </c>
      <c r="F41" s="188"/>
      <c r="G41" s="188"/>
      <c r="H41" s="188"/>
      <c r="I41" s="188"/>
      <c r="J41" s="188"/>
      <c r="K41" s="330">
        <v>579</v>
      </c>
      <c r="L41" s="7"/>
      <c r="M41" s="7"/>
      <c r="N41" s="7"/>
    </row>
    <row r="42" spans="1:14">
      <c r="A42" s="251" t="s">
        <v>423</v>
      </c>
      <c r="B42" s="247" t="s">
        <v>424</v>
      </c>
      <c r="C42" s="188" t="s">
        <v>416</v>
      </c>
      <c r="D42" s="189" t="s">
        <v>29</v>
      </c>
      <c r="E42" s="190" t="s">
        <v>30</v>
      </c>
      <c r="F42" s="188"/>
      <c r="G42" s="188"/>
      <c r="H42" s="188"/>
      <c r="I42" s="188"/>
      <c r="J42" s="188"/>
      <c r="K42" s="330">
        <v>193</v>
      </c>
      <c r="L42" s="7"/>
      <c r="M42" s="7"/>
      <c r="N42" s="7"/>
    </row>
    <row r="43" spans="1:14">
      <c r="A43" s="246" t="s">
        <v>66</v>
      </c>
      <c r="B43" s="247" t="s">
        <v>67</v>
      </c>
      <c r="C43" s="188" t="s">
        <v>416</v>
      </c>
      <c r="D43" s="189" t="s">
        <v>29</v>
      </c>
      <c r="E43" s="190" t="s">
        <v>30</v>
      </c>
      <c r="F43" s="188"/>
      <c r="G43" s="188"/>
      <c r="H43" s="188"/>
      <c r="I43" s="188"/>
      <c r="J43" s="188"/>
      <c r="K43" s="330">
        <v>105.84</v>
      </c>
      <c r="L43" s="7"/>
      <c r="M43" s="7"/>
      <c r="N43" s="7"/>
    </row>
    <row r="44" spans="1:14">
      <c r="A44" s="246" t="s">
        <v>68</v>
      </c>
      <c r="B44" s="247" t="s">
        <v>69</v>
      </c>
      <c r="C44" s="188" t="s">
        <v>416</v>
      </c>
      <c r="D44" s="189" t="s">
        <v>29</v>
      </c>
      <c r="E44" s="190" t="s">
        <v>30</v>
      </c>
      <c r="F44" s="188"/>
      <c r="G44" s="188"/>
      <c r="H44" s="188"/>
      <c r="I44" s="188"/>
      <c r="J44" s="188"/>
      <c r="K44" s="330">
        <v>165.36</v>
      </c>
      <c r="L44" s="7"/>
      <c r="M44" s="7"/>
      <c r="N44" s="7"/>
    </row>
    <row r="45" spans="1:14">
      <c r="A45" s="246" t="s">
        <v>147</v>
      </c>
      <c r="B45" s="247" t="s">
        <v>148</v>
      </c>
      <c r="C45" s="188" t="s">
        <v>416</v>
      </c>
      <c r="D45" s="189" t="s">
        <v>29</v>
      </c>
      <c r="E45" s="190" t="s">
        <v>30</v>
      </c>
      <c r="F45" s="188"/>
      <c r="G45" s="188"/>
      <c r="H45" s="188"/>
      <c r="I45" s="188"/>
      <c r="J45" s="188"/>
      <c r="K45" s="330">
        <v>124.74</v>
      </c>
      <c r="L45" s="7"/>
      <c r="M45" s="7"/>
      <c r="N45" s="7"/>
    </row>
    <row r="46" spans="1:14">
      <c r="A46" s="246" t="s">
        <v>72</v>
      </c>
      <c r="B46" s="247" t="s">
        <v>73</v>
      </c>
      <c r="C46" s="188" t="s">
        <v>416</v>
      </c>
      <c r="D46" s="189" t="s">
        <v>29</v>
      </c>
      <c r="E46" s="190" t="s">
        <v>30</v>
      </c>
      <c r="F46" s="188"/>
      <c r="G46" s="188"/>
      <c r="H46" s="188"/>
      <c r="I46" s="188"/>
      <c r="J46" s="188"/>
      <c r="K46" s="330">
        <v>159.68</v>
      </c>
      <c r="L46" s="7"/>
      <c r="M46" s="7"/>
      <c r="N46" s="7"/>
    </row>
    <row r="47" spans="1:14">
      <c r="A47" s="251" t="s">
        <v>190</v>
      </c>
      <c r="B47" s="247" t="s">
        <v>191</v>
      </c>
      <c r="C47" s="188" t="s">
        <v>416</v>
      </c>
      <c r="D47" s="189" t="s">
        <v>29</v>
      </c>
      <c r="E47" s="190" t="s">
        <v>30</v>
      </c>
      <c r="F47" s="188"/>
      <c r="G47" s="188"/>
      <c r="H47" s="188"/>
      <c r="I47" s="188"/>
      <c r="J47" s="188"/>
      <c r="K47" s="330">
        <v>133.48</v>
      </c>
      <c r="L47" s="7"/>
      <c r="M47" s="7"/>
      <c r="N47" s="7"/>
    </row>
    <row r="48" spans="1:14">
      <c r="A48" s="246" t="s">
        <v>425</v>
      </c>
      <c r="B48" s="247" t="s">
        <v>426</v>
      </c>
      <c r="C48" s="188" t="s">
        <v>416</v>
      </c>
      <c r="D48" s="189" t="s">
        <v>29</v>
      </c>
      <c r="E48" s="190" t="s">
        <v>30</v>
      </c>
      <c r="F48" s="188"/>
      <c r="G48" s="188"/>
      <c r="H48" s="188"/>
      <c r="I48" s="188"/>
      <c r="J48" s="188"/>
      <c r="K48" s="332">
        <v>83.72</v>
      </c>
      <c r="L48" s="7"/>
      <c r="M48" s="7"/>
      <c r="N48" s="7"/>
    </row>
    <row r="49" spans="1:14">
      <c r="A49" s="246" t="s">
        <v>76</v>
      </c>
      <c r="B49" s="247" t="s">
        <v>77</v>
      </c>
      <c r="C49" s="188" t="s">
        <v>416</v>
      </c>
      <c r="D49" s="189" t="s">
        <v>29</v>
      </c>
      <c r="E49" s="190" t="s">
        <v>30</v>
      </c>
      <c r="F49" s="188"/>
      <c r="G49" s="188"/>
      <c r="H49" s="188"/>
      <c r="I49" s="188"/>
      <c r="J49" s="188"/>
      <c r="K49" s="330">
        <v>741.2</v>
      </c>
      <c r="L49" s="7"/>
      <c r="M49" s="7"/>
      <c r="N49" s="7"/>
    </row>
    <row r="50" spans="1:14">
      <c r="A50" s="246" t="s">
        <v>194</v>
      </c>
      <c r="B50" s="247" t="s">
        <v>195</v>
      </c>
      <c r="C50" s="188" t="s">
        <v>416</v>
      </c>
      <c r="D50" s="189" t="s">
        <v>29</v>
      </c>
      <c r="E50" s="190" t="s">
        <v>30</v>
      </c>
      <c r="F50" s="188"/>
      <c r="G50" s="188"/>
      <c r="H50" s="188"/>
      <c r="I50" s="188"/>
      <c r="J50" s="188"/>
      <c r="K50" s="330">
        <v>1040</v>
      </c>
      <c r="L50" s="7"/>
      <c r="M50" s="7"/>
      <c r="N50" s="7"/>
    </row>
    <row r="51" spans="1:14">
      <c r="A51" s="246" t="s">
        <v>269</v>
      </c>
      <c r="B51" s="247" t="s">
        <v>270</v>
      </c>
      <c r="C51" s="188" t="s">
        <v>416</v>
      </c>
      <c r="D51" s="189" t="s">
        <v>29</v>
      </c>
      <c r="E51" s="190" t="s">
        <v>30</v>
      </c>
      <c r="F51" s="188"/>
      <c r="G51" s="188"/>
      <c r="H51" s="188"/>
      <c r="I51" s="188"/>
      <c r="J51" s="188"/>
      <c r="K51" s="330">
        <v>1656.5</v>
      </c>
      <c r="L51" s="7"/>
      <c r="M51" s="7"/>
      <c r="N51" s="7"/>
    </row>
    <row r="52" spans="1:14">
      <c r="A52" s="246" t="s">
        <v>427</v>
      </c>
      <c r="B52" s="247" t="s">
        <v>428</v>
      </c>
      <c r="C52" s="188" t="s">
        <v>416</v>
      </c>
      <c r="D52" s="189" t="s">
        <v>29</v>
      </c>
      <c r="E52" s="190" t="s">
        <v>30</v>
      </c>
      <c r="F52" s="188"/>
      <c r="G52" s="188"/>
      <c r="H52" s="188"/>
      <c r="I52" s="188"/>
      <c r="J52" s="188"/>
      <c r="K52" s="330">
        <v>1513.44</v>
      </c>
      <c r="L52" s="7"/>
      <c r="M52" s="7"/>
      <c r="N52" s="7"/>
    </row>
    <row r="53" spans="1:14">
      <c r="A53" s="246" t="s">
        <v>271</v>
      </c>
      <c r="B53" s="247" t="s">
        <v>272</v>
      </c>
      <c r="C53" s="188" t="s">
        <v>416</v>
      </c>
      <c r="D53" s="189" t="s">
        <v>29</v>
      </c>
      <c r="E53" s="190" t="s">
        <v>30</v>
      </c>
      <c r="F53" s="188"/>
      <c r="G53" s="188"/>
      <c r="H53" s="188"/>
      <c r="I53" s="188"/>
      <c r="J53" s="188"/>
      <c r="K53" s="330">
        <v>7575.7</v>
      </c>
      <c r="L53" s="7"/>
      <c r="M53" s="7"/>
      <c r="N53" s="7"/>
    </row>
    <row r="54" spans="1:14">
      <c r="A54" s="246" t="s">
        <v>78</v>
      </c>
      <c r="B54" s="247" t="s">
        <v>79</v>
      </c>
      <c r="C54" s="188" t="s">
        <v>416</v>
      </c>
      <c r="D54" s="189" t="s">
        <v>29</v>
      </c>
      <c r="E54" s="190" t="s">
        <v>30</v>
      </c>
      <c r="F54" s="188"/>
      <c r="G54" s="188"/>
      <c r="H54" s="188"/>
      <c r="I54" s="188"/>
      <c r="J54" s="188"/>
      <c r="K54" s="330">
        <v>8740.05</v>
      </c>
      <c r="L54" s="7"/>
      <c r="M54" s="7"/>
      <c r="N54" s="7"/>
    </row>
    <row r="55" spans="1:14">
      <c r="A55" s="246" t="s">
        <v>352</v>
      </c>
      <c r="B55" s="255" t="s">
        <v>353</v>
      </c>
      <c r="C55" s="188" t="s">
        <v>416</v>
      </c>
      <c r="D55" s="189" t="s">
        <v>29</v>
      </c>
      <c r="E55" s="190" t="s">
        <v>30</v>
      </c>
      <c r="F55" s="188"/>
      <c r="G55" s="188"/>
      <c r="H55" s="188"/>
      <c r="I55" s="188"/>
      <c r="J55" s="188"/>
      <c r="K55" s="330">
        <v>172.24</v>
      </c>
      <c r="L55" s="7"/>
      <c r="M55" s="7"/>
      <c r="N55" s="7"/>
    </row>
    <row r="56" spans="1:14">
      <c r="A56" s="246" t="s">
        <v>80</v>
      </c>
      <c r="B56" s="247" t="s">
        <v>81</v>
      </c>
      <c r="C56" s="188" t="s">
        <v>416</v>
      </c>
      <c r="D56" s="189" t="s">
        <v>29</v>
      </c>
      <c r="E56" s="190" t="s">
        <v>30</v>
      </c>
      <c r="F56" s="188"/>
      <c r="G56" s="188"/>
      <c r="H56" s="188"/>
      <c r="I56" s="188"/>
      <c r="J56" s="188"/>
      <c r="K56" s="330">
        <v>1248</v>
      </c>
      <c r="L56" s="7"/>
      <c r="M56" s="7"/>
      <c r="N56" s="7"/>
    </row>
    <row r="57" spans="1:14">
      <c r="A57" s="246" t="s">
        <v>196</v>
      </c>
      <c r="B57" s="247" t="s">
        <v>197</v>
      </c>
      <c r="C57" s="188" t="s">
        <v>416</v>
      </c>
      <c r="D57" s="189" t="s">
        <v>29</v>
      </c>
      <c r="E57" s="190" t="s">
        <v>30</v>
      </c>
      <c r="F57" s="188"/>
      <c r="G57" s="188"/>
      <c r="H57" s="188"/>
      <c r="I57" s="188"/>
      <c r="J57" s="188"/>
      <c r="K57" s="330">
        <v>135.2</v>
      </c>
      <c r="L57" s="7"/>
      <c r="M57" s="7"/>
      <c r="N57" s="7"/>
    </row>
    <row r="58" spans="1:14">
      <c r="A58" s="246" t="s">
        <v>84</v>
      </c>
      <c r="B58" s="247" t="s">
        <v>85</v>
      </c>
      <c r="C58" s="188" t="s">
        <v>416</v>
      </c>
      <c r="D58" s="189" t="s">
        <v>29</v>
      </c>
      <c r="E58" s="190" t="s">
        <v>30</v>
      </c>
      <c r="F58" s="188"/>
      <c r="G58" s="188"/>
      <c r="H58" s="188"/>
      <c r="I58" s="188"/>
      <c r="J58" s="188"/>
      <c r="K58" s="330">
        <v>1208.48</v>
      </c>
      <c r="L58" s="7"/>
      <c r="M58" s="7"/>
      <c r="N58" s="7"/>
    </row>
    <row r="59" spans="1:14">
      <c r="A59" s="246" t="s">
        <v>273</v>
      </c>
      <c r="B59" s="247" t="s">
        <v>274</v>
      </c>
      <c r="C59" s="188" t="s">
        <v>416</v>
      </c>
      <c r="D59" s="189" t="s">
        <v>29</v>
      </c>
      <c r="E59" s="190" t="s">
        <v>30</v>
      </c>
      <c r="F59" s="188"/>
      <c r="G59" s="188"/>
      <c r="H59" s="188"/>
      <c r="I59" s="188"/>
      <c r="J59" s="188"/>
      <c r="K59" s="332">
        <v>323.4</v>
      </c>
      <c r="L59" s="7"/>
      <c r="M59" s="7"/>
      <c r="N59" s="7"/>
    </row>
    <row r="60" spans="1:14">
      <c r="A60" s="246" t="s">
        <v>151</v>
      </c>
      <c r="B60" s="247" t="s">
        <v>152</v>
      </c>
      <c r="C60" s="188" t="s">
        <v>416</v>
      </c>
      <c r="D60" s="189" t="s">
        <v>29</v>
      </c>
      <c r="E60" s="190" t="s">
        <v>30</v>
      </c>
      <c r="F60" s="188"/>
      <c r="G60" s="188"/>
      <c r="H60" s="188"/>
      <c r="I60" s="188"/>
      <c r="J60" s="188"/>
      <c r="K60" s="332">
        <v>1532.96</v>
      </c>
      <c r="L60" s="7"/>
      <c r="M60" s="7"/>
      <c r="N60" s="7"/>
    </row>
    <row r="61" spans="1:14">
      <c r="A61" s="333"/>
      <c r="B61" s="334" t="s">
        <v>429</v>
      </c>
      <c r="C61" s="188" t="s">
        <v>416</v>
      </c>
      <c r="D61" s="189" t="s">
        <v>29</v>
      </c>
      <c r="E61" s="190" t="s">
        <v>30</v>
      </c>
      <c r="F61" s="188"/>
      <c r="G61" s="188"/>
      <c r="H61" s="188"/>
      <c r="I61" s="188"/>
      <c r="J61" s="188"/>
      <c r="K61" s="335">
        <v>9000</v>
      </c>
      <c r="L61" s="7"/>
      <c r="M61" s="7"/>
      <c r="N61" s="7"/>
    </row>
    <row r="62" spans="1:14">
      <c r="A62" s="333"/>
      <c r="B62" s="336" t="s">
        <v>430</v>
      </c>
      <c r="C62" s="188" t="s">
        <v>416</v>
      </c>
      <c r="D62" s="189" t="s">
        <v>29</v>
      </c>
      <c r="E62" s="190" t="s">
        <v>30</v>
      </c>
      <c r="F62" s="188"/>
      <c r="G62" s="188"/>
      <c r="H62" s="188"/>
      <c r="I62" s="188"/>
      <c r="J62" s="188"/>
      <c r="K62" s="335">
        <v>28000</v>
      </c>
      <c r="L62" s="7"/>
      <c r="M62" s="7"/>
      <c r="N62" s="7"/>
    </row>
    <row r="63" spans="1:14">
      <c r="A63" s="333"/>
      <c r="B63" s="336" t="s">
        <v>431</v>
      </c>
      <c r="C63" s="188" t="s">
        <v>416</v>
      </c>
      <c r="D63" s="189" t="s">
        <v>29</v>
      </c>
      <c r="E63" s="190" t="s">
        <v>30</v>
      </c>
      <c r="F63" s="188"/>
      <c r="G63" s="188"/>
      <c r="H63" s="188"/>
      <c r="I63" s="188"/>
      <c r="J63" s="188"/>
      <c r="K63" s="335">
        <v>10000</v>
      </c>
      <c r="L63" s="7"/>
      <c r="M63" s="7"/>
      <c r="N63" s="7"/>
    </row>
    <row r="64" spans="1:14">
      <c r="A64" s="333"/>
      <c r="B64" s="337" t="s">
        <v>432</v>
      </c>
      <c r="C64" s="188" t="s">
        <v>416</v>
      </c>
      <c r="D64" s="189" t="s">
        <v>29</v>
      </c>
      <c r="E64" s="190" t="s">
        <v>30</v>
      </c>
      <c r="F64" s="188"/>
      <c r="G64" s="188"/>
      <c r="H64" s="188"/>
      <c r="I64" s="188"/>
      <c r="J64" s="188"/>
      <c r="K64" s="335">
        <v>7960</v>
      </c>
      <c r="L64" s="7"/>
      <c r="M64" s="7"/>
      <c r="N64" s="7"/>
    </row>
    <row r="65" spans="1:14">
      <c r="A65" s="333"/>
      <c r="B65" s="337" t="s">
        <v>433</v>
      </c>
      <c r="C65" s="188" t="s">
        <v>416</v>
      </c>
      <c r="D65" s="189" t="s">
        <v>29</v>
      </c>
      <c r="E65" s="190" t="s">
        <v>30</v>
      </c>
      <c r="F65" s="188"/>
      <c r="G65" s="188"/>
      <c r="H65" s="188"/>
      <c r="I65" s="188"/>
      <c r="J65" s="188"/>
      <c r="K65" s="335">
        <v>6368</v>
      </c>
      <c r="L65" s="7"/>
      <c r="M65" s="7"/>
      <c r="N65" s="7"/>
    </row>
    <row r="66" spans="1:14" s="155" customFormat="1">
      <c r="A66" s="333"/>
      <c r="B66" s="337" t="s">
        <v>434</v>
      </c>
      <c r="C66" s="188" t="s">
        <v>416</v>
      </c>
      <c r="D66" s="189" t="s">
        <v>29</v>
      </c>
      <c r="E66" s="190" t="s">
        <v>30</v>
      </c>
      <c r="F66" s="237"/>
      <c r="G66" s="237"/>
      <c r="H66" s="237"/>
      <c r="I66" s="237"/>
      <c r="J66" s="237"/>
      <c r="K66" s="335">
        <v>5572</v>
      </c>
      <c r="L66" s="107"/>
      <c r="M66" s="107"/>
      <c r="N66" s="107"/>
    </row>
    <row r="67" spans="1:14">
      <c r="A67" s="333"/>
      <c r="B67" s="337" t="s">
        <v>435</v>
      </c>
      <c r="C67" s="188" t="s">
        <v>416</v>
      </c>
      <c r="D67" s="189" t="s">
        <v>29</v>
      </c>
      <c r="E67" s="190" t="s">
        <v>30</v>
      </c>
      <c r="F67" s="188"/>
      <c r="G67" s="188"/>
      <c r="H67" s="188"/>
      <c r="I67" s="188"/>
      <c r="J67" s="188"/>
      <c r="K67" s="335">
        <v>5572</v>
      </c>
      <c r="L67" s="7"/>
      <c r="M67" s="7"/>
      <c r="N67" s="7"/>
    </row>
    <row r="68" spans="1:14">
      <c r="A68" s="333"/>
      <c r="B68" s="337" t="s">
        <v>436</v>
      </c>
      <c r="C68" s="188" t="s">
        <v>416</v>
      </c>
      <c r="D68" s="189" t="s">
        <v>29</v>
      </c>
      <c r="E68" s="190" t="s">
        <v>30</v>
      </c>
      <c r="F68" s="188"/>
      <c r="G68" s="188"/>
      <c r="H68" s="188"/>
      <c r="I68" s="188"/>
      <c r="J68" s="188"/>
      <c r="K68" s="335">
        <v>7000</v>
      </c>
      <c r="L68" s="7"/>
      <c r="M68" s="7"/>
      <c r="N68" s="7"/>
    </row>
    <row r="69" spans="1:14">
      <c r="A69" s="333"/>
      <c r="B69" s="336" t="s">
        <v>437</v>
      </c>
      <c r="C69" s="188" t="s">
        <v>416</v>
      </c>
      <c r="D69" s="189" t="s">
        <v>29</v>
      </c>
      <c r="E69" s="190" t="s">
        <v>30</v>
      </c>
      <c r="F69" s="188"/>
      <c r="G69" s="188"/>
      <c r="H69" s="188"/>
      <c r="I69" s="188"/>
      <c r="J69" s="188"/>
      <c r="K69" s="335">
        <v>6000</v>
      </c>
      <c r="L69" s="7"/>
      <c r="M69" s="7"/>
      <c r="N69" s="7"/>
    </row>
    <row r="70" spans="1:14">
      <c r="A70" s="333"/>
      <c r="B70" s="334" t="s">
        <v>438</v>
      </c>
      <c r="C70" s="188" t="s">
        <v>416</v>
      </c>
      <c r="D70" s="189" t="s">
        <v>29</v>
      </c>
      <c r="E70" s="190" t="s">
        <v>30</v>
      </c>
      <c r="F70" s="188"/>
      <c r="G70" s="188"/>
      <c r="H70" s="188"/>
      <c r="I70" s="188"/>
      <c r="J70" s="188"/>
      <c r="K70" s="335">
        <v>398</v>
      </c>
      <c r="L70" s="7"/>
      <c r="M70" s="7"/>
      <c r="N70" s="7"/>
    </row>
    <row r="71" spans="1:14">
      <c r="A71" s="246"/>
      <c r="B71" s="251" t="s">
        <v>439</v>
      </c>
      <c r="C71" s="188" t="s">
        <v>416</v>
      </c>
      <c r="D71" s="189" t="s">
        <v>29</v>
      </c>
      <c r="E71" s="190" t="s">
        <v>30</v>
      </c>
      <c r="F71" s="188"/>
      <c r="G71" s="188"/>
      <c r="H71" s="188"/>
      <c r="I71" s="188"/>
      <c r="J71" s="188"/>
      <c r="K71" s="338">
        <v>2000</v>
      </c>
      <c r="L71" s="7"/>
      <c r="M71" s="7"/>
      <c r="N71" s="7"/>
    </row>
    <row r="72" spans="1:14">
      <c r="A72" s="246"/>
      <c r="B72" s="251" t="s">
        <v>440</v>
      </c>
      <c r="C72" s="188" t="s">
        <v>416</v>
      </c>
      <c r="D72" s="189" t="s">
        <v>29</v>
      </c>
      <c r="E72" s="190" t="s">
        <v>30</v>
      </c>
      <c r="F72" s="188"/>
      <c r="G72" s="188"/>
      <c r="H72" s="188"/>
      <c r="I72" s="188"/>
      <c r="J72" s="188"/>
      <c r="K72" s="339">
        <v>1200</v>
      </c>
      <c r="L72" s="7"/>
      <c r="M72" s="7"/>
      <c r="N72" s="7"/>
    </row>
    <row r="73" spans="1:14">
      <c r="A73" s="246"/>
      <c r="B73" s="331" t="s">
        <v>441</v>
      </c>
      <c r="C73" s="188" t="s">
        <v>416</v>
      </c>
      <c r="D73" s="189" t="s">
        <v>29</v>
      </c>
      <c r="E73" s="190" t="s">
        <v>30</v>
      </c>
      <c r="F73" s="188"/>
      <c r="G73" s="188"/>
      <c r="H73" s="188"/>
      <c r="I73" s="188"/>
      <c r="J73" s="188"/>
      <c r="K73" s="330">
        <v>260</v>
      </c>
      <c r="L73" s="7"/>
      <c r="M73" s="7"/>
      <c r="N73" s="7"/>
    </row>
    <row r="74" spans="1:14">
      <c r="A74" s="246"/>
      <c r="B74" s="331" t="s">
        <v>442</v>
      </c>
      <c r="C74" s="188" t="s">
        <v>416</v>
      </c>
      <c r="D74" s="189" t="s">
        <v>29</v>
      </c>
      <c r="E74" s="190" t="s">
        <v>30</v>
      </c>
      <c r="F74" s="188"/>
      <c r="G74" s="188"/>
      <c r="H74" s="188"/>
      <c r="I74" s="188"/>
      <c r="J74" s="188"/>
      <c r="K74" s="330">
        <v>130</v>
      </c>
      <c r="L74" s="7"/>
      <c r="M74" s="7"/>
      <c r="N74" s="7"/>
    </row>
    <row r="75" spans="1:14">
      <c r="A75" s="246"/>
      <c r="B75" s="331" t="s">
        <v>442</v>
      </c>
      <c r="C75" s="188" t="s">
        <v>416</v>
      </c>
      <c r="D75" s="189" t="s">
        <v>29</v>
      </c>
      <c r="E75" s="190" t="s">
        <v>30</v>
      </c>
      <c r="F75" s="188"/>
      <c r="G75" s="188"/>
      <c r="H75" s="188"/>
      <c r="I75" s="188"/>
      <c r="J75" s="188"/>
      <c r="K75" s="330">
        <v>130</v>
      </c>
      <c r="L75" s="7"/>
      <c r="M75" s="7"/>
      <c r="N75" s="7"/>
    </row>
    <row r="76" spans="1:14">
      <c r="A76" s="246"/>
      <c r="B76" s="247" t="s">
        <v>443</v>
      </c>
      <c r="C76" s="188" t="s">
        <v>416</v>
      </c>
      <c r="D76" s="189" t="s">
        <v>29</v>
      </c>
      <c r="E76" s="190" t="s">
        <v>30</v>
      </c>
      <c r="F76" s="188"/>
      <c r="G76" s="188"/>
      <c r="H76" s="188"/>
      <c r="I76" s="188"/>
      <c r="J76" s="188"/>
      <c r="K76" s="330">
        <v>2550</v>
      </c>
      <c r="L76" s="7"/>
      <c r="M76" s="7"/>
      <c r="N76" s="7"/>
    </row>
    <row r="77" spans="1:14" s="155" customFormat="1">
      <c r="A77" s="107" t="s">
        <v>23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32">
        <f>SUM(K12:K76)</f>
        <v>133956.23</v>
      </c>
      <c r="L77" s="107"/>
      <c r="M77" s="107"/>
      <c r="N77" s="107"/>
    </row>
    <row r="78" spans="1: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70"/>
  <sheetViews>
    <sheetView tabSelected="0" workbookViewId="0" zoomScale="80" zoomScaleNormal="80" showGridLines="true" showRowColHeaders="1">
      <selection activeCell="K70" sqref="K70"/>
    </sheetView>
  </sheetViews>
  <sheetFormatPr defaultRowHeight="14.4" defaultColWidth="20.7109375" outlineLevelRow="0" outlineLevelCol="0"/>
  <cols>
    <col min="1" max="1" width="20.85546875" customWidth="true" style="63"/>
    <col min="2" max="2" width="58.140625" customWidth="true" style="63"/>
    <col min="3" max="3" width="20.7109375" style="63"/>
    <col min="4" max="4" width="15.7109375" customWidth="true" style="63"/>
    <col min="5" max="5" width="15.7109375" customWidth="true" style="63"/>
    <col min="6" max="6" width="15.7109375" customWidth="true" style="63"/>
    <col min="7" max="7" width="15.7109375" customWidth="true" style="63"/>
    <col min="8" max="8" width="15.7109375" customWidth="true" style="63"/>
    <col min="9" max="9" width="15.7109375" customWidth="true" style="63"/>
    <col min="10" max="10" width="15.7109375" customWidth="true" style="63"/>
    <col min="11" max="11" width="15.7109375" customWidth="true" style="63"/>
    <col min="12" max="12" width="15.7109375" customWidth="true" style="63"/>
    <col min="13" max="13" width="24" customWidth="true" style="63"/>
    <col min="14" max="14" width="20.7109375" style="63"/>
    <col min="15" max="15" width="20.7109375" style="64"/>
  </cols>
  <sheetData>
    <row r="1" spans="1:15">
      <c r="A1" s="61" t="s">
        <v>0</v>
      </c>
      <c r="B1" s="62"/>
      <c r="C1" s="62"/>
      <c r="D1" s="62"/>
      <c r="E1" s="62"/>
    </row>
    <row r="2" spans="1:15">
      <c r="A2" s="65"/>
      <c r="B2" s="62"/>
      <c r="C2" s="62"/>
      <c r="D2" s="62"/>
      <c r="E2" s="62"/>
    </row>
    <row r="3" spans="1:15">
      <c r="A3" s="364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5">
      <c r="B4" s="66"/>
      <c r="C4" s="66"/>
      <c r="D4" s="66"/>
      <c r="E4" s="66"/>
    </row>
    <row r="5" spans="1:15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</row>
    <row r="6" spans="1:15">
      <c r="A6" s="69" t="s">
        <v>4</v>
      </c>
      <c r="B6" s="272" t="s">
        <v>5</v>
      </c>
      <c r="C6" s="70"/>
      <c r="D6" s="69" t="s">
        <v>6</v>
      </c>
      <c r="E6" s="70"/>
      <c r="F6" s="274" t="s">
        <v>444</v>
      </c>
    </row>
    <row r="7" spans="1:15">
      <c r="A7" s="69" t="s">
        <v>8</v>
      </c>
      <c r="B7" s="273" t="s">
        <v>9</v>
      </c>
    </row>
    <row r="9" spans="1:15" customHeight="1" ht="16.15"/>
    <row r="10" spans="1:15" customHeight="1" ht="15.6" s="65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5" customHeight="1" ht="33.6" s="65" customFormat="1">
      <c r="A11" s="361"/>
      <c r="B11" s="363"/>
      <c r="C11" s="363"/>
      <c r="D11" s="365"/>
      <c r="E11" s="363"/>
      <c r="F11" s="90" t="s">
        <v>19</v>
      </c>
      <c r="G11" s="90" t="s">
        <v>20</v>
      </c>
      <c r="H11" s="90" t="s">
        <v>21</v>
      </c>
      <c r="I11" s="90" t="s">
        <v>22</v>
      </c>
      <c r="J11" s="363"/>
      <c r="K11" s="92" t="s">
        <v>23</v>
      </c>
      <c r="L11" s="92" t="s">
        <v>24</v>
      </c>
      <c r="M11" s="92" t="s">
        <v>25</v>
      </c>
      <c r="N11" s="354"/>
    </row>
    <row r="12" spans="1:15">
      <c r="A12" s="203" t="s">
        <v>110</v>
      </c>
      <c r="B12" s="204" t="s">
        <v>345</v>
      </c>
      <c r="C12" s="199" t="s">
        <v>444</v>
      </c>
      <c r="D12" s="200" t="s">
        <v>29</v>
      </c>
      <c r="E12" s="201" t="s">
        <v>30</v>
      </c>
      <c r="F12" s="199"/>
      <c r="G12" s="199"/>
      <c r="H12" s="199"/>
      <c r="I12" s="199"/>
      <c r="J12" s="199"/>
      <c r="K12" s="205">
        <v>1322.2</v>
      </c>
      <c r="L12" s="199"/>
      <c r="M12" s="199"/>
      <c r="N12" s="36"/>
    </row>
    <row r="13" spans="1:15">
      <c r="A13" s="206" t="s">
        <v>33</v>
      </c>
      <c r="B13" s="207" t="s">
        <v>34</v>
      </c>
      <c r="C13" s="199" t="s">
        <v>444</v>
      </c>
      <c r="D13" s="200" t="s">
        <v>29</v>
      </c>
      <c r="E13" s="201" t="s">
        <v>30</v>
      </c>
      <c r="F13" s="202"/>
      <c r="G13" s="202"/>
      <c r="H13" s="202"/>
      <c r="I13" s="202"/>
      <c r="J13" s="202"/>
      <c r="K13" s="208">
        <v>81.96</v>
      </c>
      <c r="L13" s="202"/>
      <c r="M13" s="202"/>
      <c r="N13" s="36"/>
    </row>
    <row r="14" spans="1:15">
      <c r="A14" s="206" t="s">
        <v>241</v>
      </c>
      <c r="B14" s="207" t="s">
        <v>242</v>
      </c>
      <c r="C14" s="199" t="s">
        <v>444</v>
      </c>
      <c r="D14" s="200" t="s">
        <v>29</v>
      </c>
      <c r="E14" s="201" t="s">
        <v>30</v>
      </c>
      <c r="F14" s="202"/>
      <c r="G14" s="202"/>
      <c r="H14" s="202"/>
      <c r="I14" s="202"/>
      <c r="J14" s="202"/>
      <c r="K14" s="208">
        <v>146.72</v>
      </c>
      <c r="L14" s="202"/>
      <c r="M14" s="202"/>
      <c r="N14" s="36"/>
    </row>
    <row r="15" spans="1:15">
      <c r="A15" s="206" t="s">
        <v>114</v>
      </c>
      <c r="B15" s="207" t="s">
        <v>171</v>
      </c>
      <c r="C15" s="199" t="s">
        <v>444</v>
      </c>
      <c r="D15" s="200" t="s">
        <v>29</v>
      </c>
      <c r="E15" s="201" t="s">
        <v>30</v>
      </c>
      <c r="F15" s="202"/>
      <c r="G15" s="202"/>
      <c r="H15" s="202"/>
      <c r="I15" s="202"/>
      <c r="J15" s="202"/>
      <c r="K15" s="208">
        <v>326.56</v>
      </c>
      <c r="L15" s="202"/>
      <c r="M15" s="202"/>
      <c r="N15" s="36"/>
    </row>
    <row r="16" spans="1:15">
      <c r="A16" s="206" t="s">
        <v>35</v>
      </c>
      <c r="B16" s="207" t="s">
        <v>36</v>
      </c>
      <c r="C16" s="199" t="s">
        <v>444</v>
      </c>
      <c r="D16" s="200" t="s">
        <v>29</v>
      </c>
      <c r="E16" s="201" t="s">
        <v>30</v>
      </c>
      <c r="F16" s="202"/>
      <c r="G16" s="202"/>
      <c r="H16" s="202"/>
      <c r="I16" s="202"/>
      <c r="J16" s="202"/>
      <c r="K16" s="208">
        <v>136.24</v>
      </c>
      <c r="L16" s="202"/>
      <c r="M16" s="202"/>
      <c r="N16" s="36"/>
    </row>
    <row r="17" spans="1:15">
      <c r="A17" s="206" t="s">
        <v>117</v>
      </c>
      <c r="B17" s="207" t="s">
        <v>445</v>
      </c>
      <c r="C17" s="199" t="s">
        <v>444</v>
      </c>
      <c r="D17" s="200" t="s">
        <v>29</v>
      </c>
      <c r="E17" s="201" t="s">
        <v>30</v>
      </c>
      <c r="F17" s="202"/>
      <c r="G17" s="202"/>
      <c r="H17" s="202"/>
      <c r="I17" s="202"/>
      <c r="J17" s="202"/>
      <c r="K17" s="208">
        <v>22.78</v>
      </c>
      <c r="L17" s="202"/>
      <c r="M17" s="202"/>
      <c r="N17" s="36"/>
    </row>
    <row r="18" spans="1:15">
      <c r="A18" s="206" t="s">
        <v>119</v>
      </c>
      <c r="B18" s="207" t="s">
        <v>446</v>
      </c>
      <c r="C18" s="199" t="s">
        <v>444</v>
      </c>
      <c r="D18" s="200" t="s">
        <v>29</v>
      </c>
      <c r="E18" s="201" t="s">
        <v>30</v>
      </c>
      <c r="F18" s="202"/>
      <c r="G18" s="202"/>
      <c r="H18" s="202"/>
      <c r="I18" s="202"/>
      <c r="J18" s="202"/>
      <c r="K18" s="208">
        <v>41.6</v>
      </c>
      <c r="L18" s="202"/>
      <c r="M18" s="202"/>
      <c r="N18" s="36"/>
    </row>
    <row r="19" spans="1:15">
      <c r="A19" s="206" t="s">
        <v>172</v>
      </c>
      <c r="B19" s="207" t="s">
        <v>173</v>
      </c>
      <c r="C19" s="199" t="s">
        <v>444</v>
      </c>
      <c r="D19" s="200" t="s">
        <v>29</v>
      </c>
      <c r="E19" s="201" t="s">
        <v>30</v>
      </c>
      <c r="F19" s="202"/>
      <c r="G19" s="202"/>
      <c r="H19" s="202"/>
      <c r="I19" s="202"/>
      <c r="J19" s="202"/>
      <c r="K19" s="208">
        <v>54.08</v>
      </c>
      <c r="L19" s="202"/>
      <c r="M19" s="202"/>
      <c r="N19" s="36"/>
    </row>
    <row r="20" spans="1:15">
      <c r="A20" s="206" t="s">
        <v>37</v>
      </c>
      <c r="B20" s="207" t="s">
        <v>38</v>
      </c>
      <c r="C20" s="199" t="s">
        <v>444</v>
      </c>
      <c r="D20" s="200" t="s">
        <v>29</v>
      </c>
      <c r="E20" s="201" t="s">
        <v>30</v>
      </c>
      <c r="F20" s="202"/>
      <c r="G20" s="202"/>
      <c r="H20" s="202"/>
      <c r="I20" s="202"/>
      <c r="J20" s="202"/>
      <c r="K20" s="208">
        <v>1119.12</v>
      </c>
      <c r="L20" s="202"/>
      <c r="M20" s="202"/>
      <c r="N20" s="36"/>
    </row>
    <row r="21" spans="1:15">
      <c r="A21" s="206" t="s">
        <v>174</v>
      </c>
      <c r="B21" s="207" t="s">
        <v>175</v>
      </c>
      <c r="C21" s="199" t="s">
        <v>444</v>
      </c>
      <c r="D21" s="200" t="s">
        <v>29</v>
      </c>
      <c r="E21" s="201" t="s">
        <v>30</v>
      </c>
      <c r="F21" s="202"/>
      <c r="G21" s="202"/>
      <c r="H21" s="202"/>
      <c r="I21" s="202"/>
      <c r="J21" s="202"/>
      <c r="K21" s="208">
        <v>27.64</v>
      </c>
      <c r="L21" s="202"/>
      <c r="M21" s="202"/>
      <c r="N21" s="36"/>
    </row>
    <row r="22" spans="1:15">
      <c r="A22" s="206" t="s">
        <v>39</v>
      </c>
      <c r="B22" s="207" t="s">
        <v>40</v>
      </c>
      <c r="C22" s="199" t="s">
        <v>444</v>
      </c>
      <c r="D22" s="200" t="s">
        <v>29</v>
      </c>
      <c r="E22" s="201" t="s">
        <v>30</v>
      </c>
      <c r="F22" s="202"/>
      <c r="G22" s="202"/>
      <c r="H22" s="202"/>
      <c r="I22" s="202"/>
      <c r="J22" s="202"/>
      <c r="K22" s="208">
        <v>120.12</v>
      </c>
      <c r="L22" s="202"/>
      <c r="M22" s="202"/>
      <c r="N22" s="36"/>
    </row>
    <row r="23" spans="1:15">
      <c r="A23" s="206" t="s">
        <v>122</v>
      </c>
      <c r="B23" s="207" t="s">
        <v>302</v>
      </c>
      <c r="C23" s="199" t="s">
        <v>444</v>
      </c>
      <c r="D23" s="200" t="s">
        <v>29</v>
      </c>
      <c r="E23" s="201" t="s">
        <v>30</v>
      </c>
      <c r="F23" s="202"/>
      <c r="G23" s="202"/>
      <c r="H23" s="202"/>
      <c r="I23" s="202"/>
      <c r="J23" s="202"/>
      <c r="K23" s="208">
        <v>85.9</v>
      </c>
      <c r="L23" s="202"/>
      <c r="M23" s="202"/>
      <c r="N23" s="36"/>
    </row>
    <row r="24" spans="1:15">
      <c r="A24" s="206" t="s">
        <v>176</v>
      </c>
      <c r="B24" s="207" t="s">
        <v>177</v>
      </c>
      <c r="C24" s="199" t="s">
        <v>444</v>
      </c>
      <c r="D24" s="200" t="s">
        <v>29</v>
      </c>
      <c r="E24" s="201" t="s">
        <v>30</v>
      </c>
      <c r="F24" s="202"/>
      <c r="G24" s="202"/>
      <c r="H24" s="202"/>
      <c r="I24" s="202"/>
      <c r="J24" s="202"/>
      <c r="K24" s="208">
        <v>212.56</v>
      </c>
      <c r="L24" s="202"/>
      <c r="M24" s="202"/>
      <c r="N24" s="36"/>
    </row>
    <row r="25" spans="1:15">
      <c r="A25" s="206" t="s">
        <v>447</v>
      </c>
      <c r="B25" s="207" t="s">
        <v>448</v>
      </c>
      <c r="C25" s="199" t="s">
        <v>444</v>
      </c>
      <c r="D25" s="200" t="s">
        <v>29</v>
      </c>
      <c r="E25" s="201" t="s">
        <v>30</v>
      </c>
      <c r="F25" s="202"/>
      <c r="G25" s="202"/>
      <c r="H25" s="202"/>
      <c r="I25" s="202"/>
      <c r="J25" s="202"/>
      <c r="K25" s="208">
        <v>57.93</v>
      </c>
      <c r="L25" s="202"/>
      <c r="M25" s="202"/>
      <c r="N25" s="36"/>
    </row>
    <row r="26" spans="1:15">
      <c r="A26" s="206" t="s">
        <v>245</v>
      </c>
      <c r="B26" s="207" t="s">
        <v>246</v>
      </c>
      <c r="C26" s="199" t="s">
        <v>444</v>
      </c>
      <c r="D26" s="200" t="s">
        <v>29</v>
      </c>
      <c r="E26" s="201" t="s">
        <v>30</v>
      </c>
      <c r="F26" s="202"/>
      <c r="G26" s="202"/>
      <c r="H26" s="202"/>
      <c r="I26" s="202"/>
      <c r="J26" s="202"/>
      <c r="K26" s="208">
        <v>63.82</v>
      </c>
      <c r="L26" s="202"/>
      <c r="M26" s="202"/>
      <c r="N26" s="36"/>
    </row>
    <row r="27" spans="1:15">
      <c r="A27" s="206" t="s">
        <v>47</v>
      </c>
      <c r="B27" s="207" t="s">
        <v>48</v>
      </c>
      <c r="C27" s="199" t="s">
        <v>444</v>
      </c>
      <c r="D27" s="200" t="s">
        <v>29</v>
      </c>
      <c r="E27" s="201" t="s">
        <v>30</v>
      </c>
      <c r="F27" s="202"/>
      <c r="G27" s="202"/>
      <c r="H27" s="202"/>
      <c r="I27" s="202"/>
      <c r="J27" s="202"/>
      <c r="K27" s="208">
        <v>44.72</v>
      </c>
      <c r="L27" s="202"/>
      <c r="M27" s="202"/>
      <c r="N27" s="36"/>
    </row>
    <row r="28" spans="1:15">
      <c r="A28" s="206" t="s">
        <v>130</v>
      </c>
      <c r="B28" s="207" t="s">
        <v>131</v>
      </c>
      <c r="C28" s="199" t="s">
        <v>444</v>
      </c>
      <c r="D28" s="200" t="s">
        <v>29</v>
      </c>
      <c r="E28" s="201" t="s">
        <v>30</v>
      </c>
      <c r="F28" s="202"/>
      <c r="G28" s="202"/>
      <c r="H28" s="202"/>
      <c r="I28" s="202"/>
      <c r="J28" s="202"/>
      <c r="K28" s="208">
        <v>45.14</v>
      </c>
      <c r="L28" s="202"/>
      <c r="M28" s="202"/>
      <c r="N28" s="36"/>
    </row>
    <row r="29" spans="1:15">
      <c r="A29" s="206" t="s">
        <v>51</v>
      </c>
      <c r="B29" s="207" t="s">
        <v>52</v>
      </c>
      <c r="C29" s="199" t="s">
        <v>444</v>
      </c>
      <c r="D29" s="200" t="s">
        <v>29</v>
      </c>
      <c r="E29" s="201" t="s">
        <v>30</v>
      </c>
      <c r="F29" s="202"/>
      <c r="G29" s="202"/>
      <c r="H29" s="202"/>
      <c r="I29" s="202"/>
      <c r="J29" s="202"/>
      <c r="K29" s="208">
        <v>266.24</v>
      </c>
      <c r="L29" s="202"/>
      <c r="M29" s="202"/>
      <c r="N29" s="36"/>
    </row>
    <row r="30" spans="1:15">
      <c r="A30" s="206" t="s">
        <v>449</v>
      </c>
      <c r="B30" s="207" t="s">
        <v>450</v>
      </c>
      <c r="C30" s="199" t="s">
        <v>444</v>
      </c>
      <c r="D30" s="200" t="s">
        <v>29</v>
      </c>
      <c r="E30" s="201" t="s">
        <v>30</v>
      </c>
      <c r="F30" s="202"/>
      <c r="G30" s="202"/>
      <c r="H30" s="202"/>
      <c r="I30" s="202"/>
      <c r="J30" s="202"/>
      <c r="K30" s="208">
        <v>14.75</v>
      </c>
      <c r="L30" s="202"/>
      <c r="M30" s="202"/>
      <c r="N30" s="36"/>
    </row>
    <row r="31" spans="1:15">
      <c r="A31" s="206" t="s">
        <v>392</v>
      </c>
      <c r="B31" s="207" t="s">
        <v>393</v>
      </c>
      <c r="C31" s="199" t="s">
        <v>444</v>
      </c>
      <c r="D31" s="200" t="s">
        <v>29</v>
      </c>
      <c r="E31" s="201" t="s">
        <v>30</v>
      </c>
      <c r="F31" s="202"/>
      <c r="G31" s="202"/>
      <c r="H31" s="202"/>
      <c r="I31" s="202"/>
      <c r="J31" s="202"/>
      <c r="K31" s="208">
        <v>25.56</v>
      </c>
      <c r="L31" s="202"/>
      <c r="M31" s="202"/>
      <c r="N31" s="36"/>
    </row>
    <row r="32" spans="1:15">
      <c r="A32" s="206" t="s">
        <v>184</v>
      </c>
      <c r="B32" s="207" t="s">
        <v>185</v>
      </c>
      <c r="C32" s="199" t="s">
        <v>444</v>
      </c>
      <c r="D32" s="200" t="s">
        <v>29</v>
      </c>
      <c r="E32" s="201" t="s">
        <v>30</v>
      </c>
      <c r="F32" s="202"/>
      <c r="G32" s="202"/>
      <c r="H32" s="202"/>
      <c r="I32" s="202"/>
      <c r="J32" s="202"/>
      <c r="K32" s="208">
        <v>386</v>
      </c>
      <c r="L32" s="202"/>
      <c r="M32" s="202"/>
      <c r="N32" s="36"/>
    </row>
    <row r="33" spans="1:15">
      <c r="A33" s="206" t="s">
        <v>132</v>
      </c>
      <c r="B33" s="207" t="s">
        <v>57</v>
      </c>
      <c r="C33" s="199" t="s">
        <v>444</v>
      </c>
      <c r="D33" s="200" t="s">
        <v>29</v>
      </c>
      <c r="E33" s="201" t="s">
        <v>30</v>
      </c>
      <c r="F33" s="202"/>
      <c r="G33" s="202"/>
      <c r="H33" s="202"/>
      <c r="I33" s="202"/>
      <c r="J33" s="202"/>
      <c r="K33" s="208">
        <v>343.2</v>
      </c>
      <c r="L33" s="202"/>
      <c r="M33" s="202"/>
      <c r="N33" s="36"/>
    </row>
    <row r="34" spans="1:15">
      <c r="A34" s="206" t="s">
        <v>255</v>
      </c>
      <c r="B34" s="207" t="s">
        <v>256</v>
      </c>
      <c r="C34" s="199" t="s">
        <v>444</v>
      </c>
      <c r="D34" s="200" t="s">
        <v>29</v>
      </c>
      <c r="E34" s="201" t="s">
        <v>30</v>
      </c>
      <c r="F34" s="202"/>
      <c r="G34" s="202"/>
      <c r="H34" s="202"/>
      <c r="I34" s="202"/>
      <c r="J34" s="202"/>
      <c r="K34" s="208">
        <v>73.32</v>
      </c>
      <c r="L34" s="202"/>
      <c r="M34" s="202"/>
      <c r="N34" s="36"/>
    </row>
    <row r="35" spans="1:15">
      <c r="A35" s="206" t="s">
        <v>66</v>
      </c>
      <c r="B35" s="207" t="s">
        <v>67</v>
      </c>
      <c r="C35" s="199" t="s">
        <v>444</v>
      </c>
      <c r="D35" s="200" t="s">
        <v>29</v>
      </c>
      <c r="E35" s="201" t="s">
        <v>30</v>
      </c>
      <c r="F35" s="202"/>
      <c r="G35" s="202"/>
      <c r="H35" s="202"/>
      <c r="I35" s="202"/>
      <c r="J35" s="202"/>
      <c r="K35" s="208">
        <v>8.82</v>
      </c>
      <c r="L35" s="202"/>
      <c r="M35" s="202"/>
      <c r="N35" s="36"/>
    </row>
    <row r="36" spans="1:15">
      <c r="A36" s="206" t="s">
        <v>68</v>
      </c>
      <c r="B36" s="207" t="s">
        <v>69</v>
      </c>
      <c r="C36" s="199" t="s">
        <v>444</v>
      </c>
      <c r="D36" s="200" t="s">
        <v>29</v>
      </c>
      <c r="E36" s="201" t="s">
        <v>30</v>
      </c>
      <c r="F36" s="202"/>
      <c r="G36" s="202"/>
      <c r="H36" s="202"/>
      <c r="I36" s="202"/>
      <c r="J36" s="202"/>
      <c r="K36" s="208">
        <v>13.78</v>
      </c>
      <c r="L36" s="202"/>
      <c r="M36" s="202"/>
      <c r="N36" s="36"/>
    </row>
    <row r="37" spans="1:15">
      <c r="A37" s="206" t="s">
        <v>70</v>
      </c>
      <c r="B37" s="207" t="s">
        <v>71</v>
      </c>
      <c r="C37" s="199" t="s">
        <v>444</v>
      </c>
      <c r="D37" s="200" t="s">
        <v>29</v>
      </c>
      <c r="E37" s="201" t="s">
        <v>30</v>
      </c>
      <c r="F37" s="202"/>
      <c r="G37" s="202"/>
      <c r="H37" s="202"/>
      <c r="I37" s="202"/>
      <c r="J37" s="202"/>
      <c r="K37" s="208">
        <v>150.8</v>
      </c>
      <c r="L37" s="202"/>
      <c r="M37" s="202"/>
      <c r="N37" s="36"/>
    </row>
    <row r="38" spans="1:15">
      <c r="A38" s="206" t="s">
        <v>74</v>
      </c>
      <c r="B38" s="207" t="s">
        <v>75</v>
      </c>
      <c r="C38" s="199" t="s">
        <v>444</v>
      </c>
      <c r="D38" s="200" t="s">
        <v>29</v>
      </c>
      <c r="E38" s="201" t="s">
        <v>30</v>
      </c>
      <c r="F38" s="202"/>
      <c r="G38" s="202"/>
      <c r="H38" s="202"/>
      <c r="I38" s="202"/>
      <c r="J38" s="202"/>
      <c r="K38" s="208">
        <v>145.6</v>
      </c>
      <c r="L38" s="202"/>
      <c r="M38" s="202"/>
      <c r="N38" s="36"/>
    </row>
    <row r="39" spans="1:15">
      <c r="A39" s="206" t="s">
        <v>80</v>
      </c>
      <c r="B39" s="207" t="s">
        <v>81</v>
      </c>
      <c r="C39" s="199" t="s">
        <v>444</v>
      </c>
      <c r="D39" s="200" t="s">
        <v>29</v>
      </c>
      <c r="E39" s="201" t="s">
        <v>30</v>
      </c>
      <c r="F39" s="202"/>
      <c r="G39" s="202"/>
      <c r="H39" s="202"/>
      <c r="I39" s="202"/>
      <c r="J39" s="202"/>
      <c r="K39" s="208">
        <v>124.8</v>
      </c>
      <c r="L39" s="202"/>
      <c r="M39" s="202"/>
      <c r="N39" s="36"/>
    </row>
    <row r="40" spans="1:15">
      <c r="A40" s="206" t="s">
        <v>151</v>
      </c>
      <c r="B40" s="207" t="s">
        <v>152</v>
      </c>
      <c r="C40" s="199" t="s">
        <v>444</v>
      </c>
      <c r="D40" s="200" t="s">
        <v>29</v>
      </c>
      <c r="E40" s="201" t="s">
        <v>30</v>
      </c>
      <c r="F40" s="202"/>
      <c r="G40" s="202"/>
      <c r="H40" s="202"/>
      <c r="I40" s="202"/>
      <c r="J40" s="202"/>
      <c r="K40" s="208">
        <v>1114.88</v>
      </c>
      <c r="L40" s="202"/>
      <c r="M40" s="202"/>
      <c r="N40" s="36"/>
    </row>
    <row r="41" spans="1:15">
      <c r="A41" s="206"/>
      <c r="B41" s="207" t="s">
        <v>394</v>
      </c>
      <c r="C41" s="199" t="s">
        <v>444</v>
      </c>
      <c r="D41" s="200" t="s">
        <v>29</v>
      </c>
      <c r="E41" s="201" t="s">
        <v>30</v>
      </c>
      <c r="F41" s="202"/>
      <c r="G41" s="202"/>
      <c r="H41" s="202"/>
      <c r="I41" s="202"/>
      <c r="J41" s="202"/>
      <c r="K41" s="208">
        <v>340</v>
      </c>
      <c r="L41" s="202"/>
      <c r="M41" s="202"/>
      <c r="N41" s="36"/>
    </row>
    <row r="42" spans="1:15">
      <c r="A42" s="206"/>
      <c r="B42" s="207" t="s">
        <v>395</v>
      </c>
      <c r="C42" s="199" t="s">
        <v>444</v>
      </c>
      <c r="D42" s="200" t="s">
        <v>29</v>
      </c>
      <c r="E42" s="201" t="s">
        <v>30</v>
      </c>
      <c r="F42" s="202"/>
      <c r="G42" s="202"/>
      <c r="H42" s="202"/>
      <c r="I42" s="202"/>
      <c r="J42" s="202"/>
      <c r="K42" s="208">
        <v>2600</v>
      </c>
      <c r="L42" s="202"/>
      <c r="M42" s="202"/>
      <c r="N42" s="36"/>
    </row>
    <row r="43" spans="1:15">
      <c r="A43" s="206"/>
      <c r="B43" s="207" t="s">
        <v>396</v>
      </c>
      <c r="C43" s="199" t="s">
        <v>444</v>
      </c>
      <c r="D43" s="200" t="s">
        <v>29</v>
      </c>
      <c r="E43" s="201" t="s">
        <v>30</v>
      </c>
      <c r="F43" s="202"/>
      <c r="G43" s="202"/>
      <c r="H43" s="202"/>
      <c r="I43" s="202"/>
      <c r="J43" s="202"/>
      <c r="K43" s="208">
        <v>2550</v>
      </c>
      <c r="L43" s="202"/>
      <c r="M43" s="202"/>
      <c r="N43" s="36"/>
    </row>
    <row r="44" spans="1:15">
      <c r="A44" s="206"/>
      <c r="B44" s="207" t="s">
        <v>397</v>
      </c>
      <c r="C44" s="199" t="s">
        <v>444</v>
      </c>
      <c r="D44" s="200" t="s">
        <v>29</v>
      </c>
      <c r="E44" s="201" t="s">
        <v>30</v>
      </c>
      <c r="F44" s="202"/>
      <c r="G44" s="202"/>
      <c r="H44" s="202"/>
      <c r="I44" s="202"/>
      <c r="J44" s="202"/>
      <c r="K44" s="208">
        <v>796</v>
      </c>
      <c r="L44" s="202"/>
      <c r="M44" s="202"/>
      <c r="N44" s="36"/>
    </row>
    <row r="45" spans="1:15">
      <c r="A45" s="206"/>
      <c r="B45" s="207" t="s">
        <v>398</v>
      </c>
      <c r="C45" s="199" t="s">
        <v>444</v>
      </c>
      <c r="D45" s="200" t="s">
        <v>29</v>
      </c>
      <c r="E45" s="201" t="s">
        <v>30</v>
      </c>
      <c r="F45" s="202"/>
      <c r="G45" s="202"/>
      <c r="H45" s="202"/>
      <c r="I45" s="202"/>
      <c r="J45" s="202"/>
      <c r="K45" s="208">
        <v>796</v>
      </c>
      <c r="L45" s="202"/>
      <c r="M45" s="202"/>
      <c r="N45" s="36"/>
    </row>
    <row r="46" spans="1:15">
      <c r="A46" s="206"/>
      <c r="B46" s="207" t="s">
        <v>399</v>
      </c>
      <c r="C46" s="199" t="s">
        <v>444</v>
      </c>
      <c r="D46" s="200" t="s">
        <v>29</v>
      </c>
      <c r="E46" s="201" t="s">
        <v>30</v>
      </c>
      <c r="F46" s="202"/>
      <c r="G46" s="202"/>
      <c r="H46" s="202"/>
      <c r="I46" s="202"/>
      <c r="J46" s="202"/>
      <c r="K46" s="208">
        <v>796</v>
      </c>
      <c r="L46" s="202"/>
      <c r="M46" s="202"/>
      <c r="N46" s="36"/>
    </row>
    <row r="47" spans="1:15">
      <c r="A47" s="206"/>
      <c r="B47" s="207" t="s">
        <v>400</v>
      </c>
      <c r="C47" s="199" t="s">
        <v>444</v>
      </c>
      <c r="D47" s="200" t="s">
        <v>29</v>
      </c>
      <c r="E47" s="201" t="s">
        <v>30</v>
      </c>
      <c r="F47" s="202"/>
      <c r="G47" s="202"/>
      <c r="H47" s="202"/>
      <c r="I47" s="202"/>
      <c r="J47" s="202"/>
      <c r="K47" s="208">
        <v>796</v>
      </c>
      <c r="L47" s="202"/>
      <c r="M47" s="202"/>
      <c r="N47" s="36"/>
    </row>
    <row r="48" spans="1:15">
      <c r="A48" s="206"/>
      <c r="B48" s="207" t="s">
        <v>451</v>
      </c>
      <c r="C48" s="199" t="s">
        <v>444</v>
      </c>
      <c r="D48" s="200" t="s">
        <v>29</v>
      </c>
      <c r="E48" s="201" t="s">
        <v>30</v>
      </c>
      <c r="F48" s="202"/>
      <c r="G48" s="202"/>
      <c r="H48" s="202"/>
      <c r="I48" s="202"/>
      <c r="J48" s="202"/>
      <c r="K48" s="208">
        <v>796</v>
      </c>
      <c r="L48" s="202"/>
      <c r="M48" s="202"/>
      <c r="N48" s="36"/>
    </row>
    <row r="49" spans="1:15">
      <c r="A49" s="206"/>
      <c r="B49" s="207" t="s">
        <v>452</v>
      </c>
      <c r="C49" s="199" t="s">
        <v>444</v>
      </c>
      <c r="D49" s="200" t="s">
        <v>29</v>
      </c>
      <c r="E49" s="201" t="s">
        <v>30</v>
      </c>
      <c r="F49" s="202"/>
      <c r="G49" s="202"/>
      <c r="H49" s="202"/>
      <c r="I49" s="202"/>
      <c r="J49" s="202"/>
      <c r="K49" s="208">
        <v>700</v>
      </c>
      <c r="L49" s="202"/>
      <c r="M49" s="202"/>
      <c r="N49" s="36"/>
    </row>
    <row r="50" spans="1:15">
      <c r="A50" s="206"/>
      <c r="B50" s="207" t="s">
        <v>453</v>
      </c>
      <c r="C50" s="199" t="s">
        <v>444</v>
      </c>
      <c r="D50" s="200" t="s">
        <v>29</v>
      </c>
      <c r="E50" s="201" t="s">
        <v>30</v>
      </c>
      <c r="F50" s="202"/>
      <c r="G50" s="202"/>
      <c r="H50" s="202"/>
      <c r="I50" s="202"/>
      <c r="J50" s="202"/>
      <c r="K50" s="208">
        <v>300</v>
      </c>
      <c r="L50" s="202"/>
      <c r="M50" s="202"/>
      <c r="N50" s="36"/>
    </row>
    <row r="51" spans="1:15">
      <c r="A51" s="206"/>
      <c r="B51" s="207" t="s">
        <v>414</v>
      </c>
      <c r="C51" s="199" t="s">
        <v>444</v>
      </c>
      <c r="D51" s="200" t="s">
        <v>29</v>
      </c>
      <c r="E51" s="201" t="s">
        <v>30</v>
      </c>
      <c r="F51" s="202"/>
      <c r="G51" s="202"/>
      <c r="H51" s="202"/>
      <c r="I51" s="202"/>
      <c r="J51" s="202"/>
      <c r="K51" s="208">
        <v>3000</v>
      </c>
      <c r="L51" s="202"/>
      <c r="M51" s="202"/>
      <c r="N51" s="36"/>
    </row>
    <row r="52" spans="1:15">
      <c r="A52" s="206"/>
      <c r="B52" s="207" t="s">
        <v>415</v>
      </c>
      <c r="C52" s="199" t="s">
        <v>444</v>
      </c>
      <c r="D52" s="200" t="s">
        <v>29</v>
      </c>
      <c r="E52" s="201" t="s">
        <v>30</v>
      </c>
      <c r="F52" s="202"/>
      <c r="G52" s="202"/>
      <c r="H52" s="202"/>
      <c r="I52" s="202"/>
      <c r="J52" s="202"/>
      <c r="K52" s="208">
        <v>3799</v>
      </c>
      <c r="L52" s="202"/>
      <c r="M52" s="202"/>
      <c r="N52" s="36"/>
    </row>
    <row r="53" spans="1:15">
      <c r="A53" s="206"/>
      <c r="B53" s="207" t="s">
        <v>454</v>
      </c>
      <c r="C53" s="199" t="s">
        <v>444</v>
      </c>
      <c r="D53" s="200" t="s">
        <v>29</v>
      </c>
      <c r="E53" s="201" t="s">
        <v>30</v>
      </c>
      <c r="F53" s="202"/>
      <c r="G53" s="202"/>
      <c r="H53" s="202"/>
      <c r="I53" s="202"/>
      <c r="J53" s="202"/>
      <c r="K53" s="208">
        <v>700</v>
      </c>
      <c r="L53" s="202"/>
      <c r="M53" s="202"/>
      <c r="N53" s="36"/>
    </row>
    <row r="54" spans="1:15">
      <c r="A54" s="209"/>
      <c r="B54" s="210" t="s">
        <v>455</v>
      </c>
      <c r="C54" s="199" t="s">
        <v>444</v>
      </c>
      <c r="D54" s="200" t="s">
        <v>29</v>
      </c>
      <c r="E54" s="201" t="s">
        <v>30</v>
      </c>
      <c r="F54" s="202"/>
      <c r="G54" s="202"/>
      <c r="H54" s="202"/>
      <c r="I54" s="202"/>
      <c r="J54" s="202"/>
      <c r="K54" s="211">
        <v>310</v>
      </c>
      <c r="L54" s="202"/>
      <c r="M54" s="202"/>
      <c r="N54" s="36"/>
    </row>
    <row r="55" spans="1:15">
      <c r="A55" s="209"/>
      <c r="B55" s="210" t="s">
        <v>456</v>
      </c>
      <c r="C55" s="199" t="s">
        <v>444</v>
      </c>
      <c r="D55" s="200" t="s">
        <v>29</v>
      </c>
      <c r="E55" s="201" t="s">
        <v>30</v>
      </c>
      <c r="F55" s="202"/>
      <c r="G55" s="202"/>
      <c r="H55" s="202"/>
      <c r="I55" s="202"/>
      <c r="J55" s="202"/>
      <c r="K55" s="211">
        <v>343</v>
      </c>
      <c r="L55" s="202"/>
      <c r="M55" s="202"/>
      <c r="N55" s="36"/>
    </row>
    <row r="56" spans="1:15">
      <c r="A56" s="209"/>
      <c r="B56" s="210" t="s">
        <v>457</v>
      </c>
      <c r="C56" s="199" t="s">
        <v>444</v>
      </c>
      <c r="D56" s="200" t="s">
        <v>29</v>
      </c>
      <c r="E56" s="201" t="s">
        <v>30</v>
      </c>
      <c r="F56" s="202"/>
      <c r="G56" s="202"/>
      <c r="H56" s="202"/>
      <c r="I56" s="202"/>
      <c r="J56" s="202"/>
      <c r="K56" s="211">
        <v>56</v>
      </c>
      <c r="L56" s="202"/>
      <c r="M56" s="202"/>
      <c r="N56" s="36"/>
    </row>
    <row r="57" spans="1:15">
      <c r="A57" s="209"/>
      <c r="B57" s="210" t="s">
        <v>458</v>
      </c>
      <c r="C57" s="199" t="s">
        <v>444</v>
      </c>
      <c r="D57" s="200" t="s">
        <v>29</v>
      </c>
      <c r="E57" s="201" t="s">
        <v>30</v>
      </c>
      <c r="F57" s="202"/>
      <c r="G57" s="202"/>
      <c r="H57" s="202"/>
      <c r="I57" s="202"/>
      <c r="J57" s="202"/>
      <c r="K57" s="211">
        <v>750</v>
      </c>
      <c r="L57" s="202"/>
      <c r="M57" s="202"/>
      <c r="N57" s="36"/>
    </row>
    <row r="58" spans="1:15">
      <c r="A58" s="209"/>
      <c r="B58" s="210" t="s">
        <v>459</v>
      </c>
      <c r="C58" s="199" t="s">
        <v>444</v>
      </c>
      <c r="D58" s="200" t="s">
        <v>29</v>
      </c>
      <c r="E58" s="201" t="s">
        <v>30</v>
      </c>
      <c r="F58" s="202"/>
      <c r="G58" s="202"/>
      <c r="H58" s="202"/>
      <c r="I58" s="202"/>
      <c r="J58" s="202"/>
      <c r="K58" s="211">
        <v>95</v>
      </c>
      <c r="L58" s="202"/>
      <c r="M58" s="202"/>
      <c r="N58" s="36"/>
    </row>
    <row r="59" spans="1:15">
      <c r="A59" s="209"/>
      <c r="B59" s="210" t="s">
        <v>223</v>
      </c>
      <c r="C59" s="199" t="s">
        <v>444</v>
      </c>
      <c r="D59" s="200" t="s">
        <v>29</v>
      </c>
      <c r="E59" s="201" t="s">
        <v>30</v>
      </c>
      <c r="F59" s="202"/>
      <c r="G59" s="202"/>
      <c r="H59" s="202"/>
      <c r="I59" s="202"/>
      <c r="J59" s="202"/>
      <c r="K59" s="211">
        <v>800</v>
      </c>
      <c r="L59" s="202"/>
      <c r="M59" s="202"/>
      <c r="N59" s="36"/>
    </row>
    <row r="60" spans="1:15">
      <c r="A60" s="209"/>
      <c r="B60" s="210" t="s">
        <v>460</v>
      </c>
      <c r="C60" s="199" t="s">
        <v>444</v>
      </c>
      <c r="D60" s="200" t="s">
        <v>29</v>
      </c>
      <c r="E60" s="201" t="s">
        <v>30</v>
      </c>
      <c r="F60" s="202"/>
      <c r="G60" s="202"/>
      <c r="H60" s="202"/>
      <c r="I60" s="202"/>
      <c r="J60" s="202"/>
      <c r="K60" s="211">
        <v>3588</v>
      </c>
      <c r="L60" s="202"/>
      <c r="M60" s="202"/>
      <c r="N60" s="36"/>
    </row>
    <row r="61" spans="1:15">
      <c r="A61" s="209"/>
      <c r="B61" s="210" t="s">
        <v>461</v>
      </c>
      <c r="C61" s="199" t="s">
        <v>444</v>
      </c>
      <c r="D61" s="200" t="s">
        <v>29</v>
      </c>
      <c r="E61" s="201" t="s">
        <v>30</v>
      </c>
      <c r="F61" s="202"/>
      <c r="G61" s="202"/>
      <c r="H61" s="202"/>
      <c r="I61" s="202"/>
      <c r="J61" s="202"/>
      <c r="K61" s="211">
        <v>998</v>
      </c>
      <c r="L61" s="202"/>
      <c r="M61" s="202"/>
      <c r="N61" s="36"/>
    </row>
    <row r="62" spans="1:15">
      <c r="A62" s="209"/>
      <c r="B62" s="210" t="s">
        <v>462</v>
      </c>
      <c r="C62" s="199" t="s">
        <v>444</v>
      </c>
      <c r="D62" s="200" t="s">
        <v>29</v>
      </c>
      <c r="E62" s="201" t="s">
        <v>30</v>
      </c>
      <c r="F62" s="202"/>
      <c r="G62" s="202"/>
      <c r="H62" s="202"/>
      <c r="I62" s="202"/>
      <c r="J62" s="202"/>
      <c r="K62" s="211">
        <v>310</v>
      </c>
      <c r="L62" s="202"/>
      <c r="M62" s="202"/>
      <c r="N62" s="36"/>
    </row>
    <row r="63" spans="1:15">
      <c r="A63" s="209"/>
      <c r="B63" s="210" t="s">
        <v>463</v>
      </c>
      <c r="C63" s="199" t="s">
        <v>444</v>
      </c>
      <c r="D63" s="200" t="s">
        <v>29</v>
      </c>
      <c r="E63" s="201" t="s">
        <v>30</v>
      </c>
      <c r="F63" s="202"/>
      <c r="G63" s="202"/>
      <c r="H63" s="202"/>
      <c r="I63" s="202"/>
      <c r="J63" s="202"/>
      <c r="K63" s="211">
        <v>30</v>
      </c>
      <c r="L63" s="202"/>
      <c r="M63" s="202"/>
      <c r="N63" s="36"/>
    </row>
    <row r="64" spans="1:15">
      <c r="A64" s="209"/>
      <c r="B64" s="210" t="s">
        <v>464</v>
      </c>
      <c r="C64" s="199" t="s">
        <v>444</v>
      </c>
      <c r="D64" s="200" t="s">
        <v>29</v>
      </c>
      <c r="E64" s="201" t="s">
        <v>30</v>
      </c>
      <c r="F64" s="202"/>
      <c r="G64" s="202"/>
      <c r="H64" s="202"/>
      <c r="I64" s="202"/>
      <c r="J64" s="202"/>
      <c r="K64" s="211">
        <v>1500</v>
      </c>
      <c r="L64" s="202"/>
      <c r="M64" s="202"/>
      <c r="N64" s="36"/>
    </row>
    <row r="65" spans="1:15">
      <c r="A65" s="209"/>
      <c r="B65" s="210" t="s">
        <v>465</v>
      </c>
      <c r="C65" s="199" t="s">
        <v>444</v>
      </c>
      <c r="D65" s="200" t="s">
        <v>29</v>
      </c>
      <c r="E65" s="201" t="s">
        <v>30</v>
      </c>
      <c r="F65" s="202"/>
      <c r="G65" s="202"/>
      <c r="H65" s="202"/>
      <c r="I65" s="202"/>
      <c r="J65" s="202"/>
      <c r="K65" s="211">
        <v>192</v>
      </c>
      <c r="L65" s="202"/>
      <c r="M65" s="202"/>
      <c r="N65" s="36"/>
    </row>
    <row r="66" spans="1:15">
      <c r="A66" s="209"/>
      <c r="B66" s="210" t="s">
        <v>466</v>
      </c>
      <c r="C66" s="199" t="s">
        <v>444</v>
      </c>
      <c r="D66" s="200" t="s">
        <v>29</v>
      </c>
      <c r="E66" s="201" t="s">
        <v>30</v>
      </c>
      <c r="F66" s="202"/>
      <c r="G66" s="202"/>
      <c r="H66" s="202"/>
      <c r="I66" s="202"/>
      <c r="J66" s="202"/>
      <c r="K66" s="211">
        <v>486</v>
      </c>
      <c r="L66" s="202"/>
      <c r="M66" s="202"/>
      <c r="N66" s="36"/>
    </row>
    <row r="67" spans="1:15">
      <c r="A67" s="209"/>
      <c r="B67" s="210" t="s">
        <v>467</v>
      </c>
      <c r="C67" s="199" t="s">
        <v>444</v>
      </c>
      <c r="D67" s="200" t="s">
        <v>29</v>
      </c>
      <c r="E67" s="201" t="s">
        <v>30</v>
      </c>
      <c r="F67" s="202"/>
      <c r="G67" s="202"/>
      <c r="H67" s="202"/>
      <c r="I67" s="202"/>
      <c r="J67" s="202"/>
      <c r="K67" s="211">
        <v>2600</v>
      </c>
      <c r="L67" s="202"/>
      <c r="M67" s="202"/>
      <c r="N67" s="36"/>
    </row>
    <row r="68" spans="1:15">
      <c r="A68" s="209"/>
      <c r="B68" s="210" t="s">
        <v>468</v>
      </c>
      <c r="C68" s="199" t="s">
        <v>444</v>
      </c>
      <c r="D68" s="200" t="s">
        <v>29</v>
      </c>
      <c r="E68" s="201" t="s">
        <v>30</v>
      </c>
      <c r="F68" s="202"/>
      <c r="G68" s="202"/>
      <c r="H68" s="202"/>
      <c r="I68" s="202"/>
      <c r="J68" s="202"/>
      <c r="K68" s="211">
        <v>600</v>
      </c>
      <c r="L68" s="202"/>
      <c r="M68" s="202"/>
      <c r="N68" s="36"/>
    </row>
    <row r="69" spans="1:15">
      <c r="A69" s="209"/>
      <c r="B69" s="210" t="s">
        <v>165</v>
      </c>
      <c r="C69" s="199" t="s">
        <v>444</v>
      </c>
      <c r="D69" s="200" t="s">
        <v>29</v>
      </c>
      <c r="E69" s="201" t="s">
        <v>30</v>
      </c>
      <c r="F69" s="202"/>
      <c r="G69" s="202"/>
      <c r="H69" s="202"/>
      <c r="I69" s="202"/>
      <c r="J69" s="202"/>
      <c r="K69" s="211">
        <v>1000</v>
      </c>
      <c r="L69" s="202"/>
      <c r="M69" s="202"/>
      <c r="N69" s="36"/>
    </row>
    <row r="70" spans="1:15" s="187" customFormat="1">
      <c r="A70" s="212" t="s">
        <v>23</v>
      </c>
      <c r="B70" s="212"/>
      <c r="C70" s="212"/>
      <c r="D70" s="212"/>
      <c r="E70" s="212"/>
      <c r="F70" s="212"/>
      <c r="G70" s="212"/>
      <c r="H70" s="212"/>
      <c r="I70" s="212"/>
      <c r="J70" s="212"/>
      <c r="K70" s="213">
        <f>SUM(K12:K69)</f>
        <v>38203.84</v>
      </c>
      <c r="L70" s="212"/>
      <c r="M70" s="212"/>
      <c r="N70" s="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65"/>
  <sheetViews>
    <sheetView tabSelected="0" workbookViewId="0" zoomScale="80" zoomScaleNormal="80" showGridLines="true" showRowColHeaders="1">
      <selection activeCell="K165" sqref="K165"/>
    </sheetView>
  </sheetViews>
  <sheetFormatPr defaultRowHeight="14.4" defaultColWidth="20.7109375" outlineLevelRow="0" outlineLevelCol="0"/>
  <cols>
    <col min="1" max="1" width="20.85546875" customWidth="true" style="5"/>
    <col min="2" max="2" width="45.570312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20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8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344" t="s">
        <v>1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</row>
    <row r="4" spans="1:14">
      <c r="B4" s="6"/>
      <c r="C4" s="6"/>
      <c r="D4" s="6"/>
      <c r="E4" s="6"/>
    </row>
    <row r="5" spans="1:14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  <c r="G5" s="63"/>
    </row>
    <row r="6" spans="1:14">
      <c r="A6" s="69" t="s">
        <v>4</v>
      </c>
      <c r="B6" s="272" t="s">
        <v>5</v>
      </c>
      <c r="C6" s="70"/>
      <c r="D6" s="69" t="s">
        <v>6</v>
      </c>
      <c r="E6" s="70"/>
      <c r="F6" s="274" t="s">
        <v>469</v>
      </c>
      <c r="G6" s="63"/>
    </row>
    <row r="7" spans="1:14">
      <c r="A7" s="69" t="s">
        <v>8</v>
      </c>
      <c r="B7" s="273" t="s">
        <v>9</v>
      </c>
      <c r="C7" s="63"/>
      <c r="D7" s="63"/>
      <c r="E7" s="63"/>
      <c r="F7" s="63"/>
      <c r="G7" s="63"/>
    </row>
    <row r="9" spans="1:14" customHeight="1" ht="16.15"/>
    <row r="10" spans="1:14" customHeight="1" ht="15.6" s="3" customFormat="1">
      <c r="A10" s="345" t="s">
        <v>10</v>
      </c>
      <c r="B10" s="347" t="s">
        <v>11</v>
      </c>
      <c r="C10" s="347" t="s">
        <v>12</v>
      </c>
      <c r="D10" s="349" t="s">
        <v>13</v>
      </c>
      <c r="E10" s="347" t="s">
        <v>14</v>
      </c>
      <c r="F10" s="347" t="s">
        <v>15</v>
      </c>
      <c r="G10" s="347"/>
      <c r="H10" s="347"/>
      <c r="I10" s="347"/>
      <c r="J10" s="347" t="s">
        <v>16</v>
      </c>
      <c r="K10" s="347" t="s">
        <v>17</v>
      </c>
      <c r="L10" s="347"/>
      <c r="M10" s="347"/>
      <c r="N10" s="342" t="s">
        <v>18</v>
      </c>
    </row>
    <row r="11" spans="1:14" customHeight="1" ht="33.6" s="3" customFormat="1">
      <c r="A11" s="351"/>
      <c r="B11" s="352"/>
      <c r="C11" s="352"/>
      <c r="D11" s="362"/>
      <c r="E11" s="352"/>
      <c r="F11" s="38" t="s">
        <v>19</v>
      </c>
      <c r="G11" s="38" t="s">
        <v>20</v>
      </c>
      <c r="H11" s="38" t="s">
        <v>21</v>
      </c>
      <c r="I11" s="38" t="s">
        <v>22</v>
      </c>
      <c r="J11" s="352"/>
      <c r="K11" s="22" t="s">
        <v>23</v>
      </c>
      <c r="L11" s="22" t="s">
        <v>24</v>
      </c>
      <c r="M11" s="22" t="s">
        <v>25</v>
      </c>
      <c r="N11" s="343"/>
    </row>
    <row r="12" spans="1:14">
      <c r="A12" s="217" t="s">
        <v>110</v>
      </c>
      <c r="B12" s="218" t="s">
        <v>345</v>
      </c>
      <c r="C12" s="214" t="s">
        <v>470</v>
      </c>
      <c r="D12" s="215" t="s">
        <v>29</v>
      </c>
      <c r="E12" s="216" t="s">
        <v>30</v>
      </c>
      <c r="F12" s="214"/>
      <c r="G12" s="214"/>
      <c r="H12" s="214"/>
      <c r="I12" s="214"/>
      <c r="J12" s="214"/>
      <c r="K12" s="219">
        <v>39666</v>
      </c>
      <c r="L12" s="188"/>
      <c r="M12" s="7"/>
      <c r="N12" s="7"/>
    </row>
    <row r="13" spans="1:14">
      <c r="A13" s="217" t="s">
        <v>471</v>
      </c>
      <c r="B13" s="220" t="s">
        <v>472</v>
      </c>
      <c r="C13" s="214" t="s">
        <v>470</v>
      </c>
      <c r="D13" s="215" t="s">
        <v>29</v>
      </c>
      <c r="E13" s="216" t="s">
        <v>30</v>
      </c>
      <c r="F13" s="188"/>
      <c r="G13" s="188"/>
      <c r="H13" s="188"/>
      <c r="I13" s="188"/>
      <c r="J13" s="188"/>
      <c r="K13" s="219">
        <v>131.64</v>
      </c>
      <c r="L13" s="188"/>
      <c r="M13" s="7"/>
      <c r="N13" s="7"/>
    </row>
    <row r="14" spans="1:14">
      <c r="A14" s="217" t="s">
        <v>473</v>
      </c>
      <c r="B14" s="220" t="s">
        <v>474</v>
      </c>
      <c r="C14" s="214" t="s">
        <v>470</v>
      </c>
      <c r="D14" s="215" t="s">
        <v>29</v>
      </c>
      <c r="E14" s="216" t="s">
        <v>30</v>
      </c>
      <c r="F14" s="188"/>
      <c r="G14" s="188"/>
      <c r="H14" s="188"/>
      <c r="I14" s="188"/>
      <c r="J14" s="188"/>
      <c r="K14" s="219">
        <v>181.8</v>
      </c>
      <c r="L14" s="188"/>
      <c r="M14" s="7"/>
      <c r="N14" s="7"/>
    </row>
    <row r="15" spans="1:14">
      <c r="A15" s="217" t="s">
        <v>31</v>
      </c>
      <c r="B15" s="218" t="s">
        <v>32</v>
      </c>
      <c r="C15" s="214" t="s">
        <v>470</v>
      </c>
      <c r="D15" s="215" t="s">
        <v>29</v>
      </c>
      <c r="E15" s="216" t="s">
        <v>30</v>
      </c>
      <c r="F15" s="188"/>
      <c r="G15" s="188"/>
      <c r="H15" s="188"/>
      <c r="I15" s="188"/>
      <c r="J15" s="188"/>
      <c r="K15" s="219">
        <v>1864.8</v>
      </c>
      <c r="L15" s="188"/>
      <c r="M15" s="7"/>
      <c r="N15" s="7"/>
    </row>
    <row r="16" spans="1:14">
      <c r="A16" s="217" t="s">
        <v>239</v>
      </c>
      <c r="B16" s="218" t="s">
        <v>347</v>
      </c>
      <c r="C16" s="214" t="s">
        <v>470</v>
      </c>
      <c r="D16" s="215" t="s">
        <v>29</v>
      </c>
      <c r="E16" s="216" t="s">
        <v>30</v>
      </c>
      <c r="F16" s="188"/>
      <c r="G16" s="188"/>
      <c r="H16" s="188"/>
      <c r="I16" s="188"/>
      <c r="J16" s="188"/>
      <c r="K16" s="219">
        <v>88.8</v>
      </c>
      <c r="L16" s="188"/>
      <c r="M16" s="7"/>
      <c r="N16" s="7"/>
    </row>
    <row r="17" spans="1:14">
      <c r="A17" s="217" t="s">
        <v>348</v>
      </c>
      <c r="B17" s="218" t="s">
        <v>349</v>
      </c>
      <c r="C17" s="214" t="s">
        <v>470</v>
      </c>
      <c r="D17" s="215" t="s">
        <v>29</v>
      </c>
      <c r="E17" s="216" t="s">
        <v>30</v>
      </c>
      <c r="F17" s="188"/>
      <c r="G17" s="188"/>
      <c r="H17" s="188"/>
      <c r="I17" s="188"/>
      <c r="J17" s="188"/>
      <c r="K17" s="219">
        <v>88.8</v>
      </c>
      <c r="L17" s="188"/>
      <c r="M17" s="7"/>
      <c r="N17" s="7"/>
    </row>
    <row r="18" spans="1:14">
      <c r="A18" s="217" t="s">
        <v>33</v>
      </c>
      <c r="B18" s="218" t="s">
        <v>34</v>
      </c>
      <c r="C18" s="214" t="s">
        <v>470</v>
      </c>
      <c r="D18" s="215" t="s">
        <v>29</v>
      </c>
      <c r="E18" s="216" t="s">
        <v>30</v>
      </c>
      <c r="F18" s="188"/>
      <c r="G18" s="188"/>
      <c r="H18" s="188"/>
      <c r="I18" s="188"/>
      <c r="J18" s="188"/>
      <c r="K18" s="219">
        <v>1229.4</v>
      </c>
      <c r="L18" s="188"/>
      <c r="M18" s="7"/>
      <c r="N18" s="7"/>
    </row>
    <row r="19" spans="1:14">
      <c r="A19" s="217" t="s">
        <v>241</v>
      </c>
      <c r="B19" s="218" t="s">
        <v>242</v>
      </c>
      <c r="C19" s="214" t="s">
        <v>470</v>
      </c>
      <c r="D19" s="215" t="s">
        <v>29</v>
      </c>
      <c r="E19" s="216" t="s">
        <v>30</v>
      </c>
      <c r="F19" s="188"/>
      <c r="G19" s="188"/>
      <c r="H19" s="188"/>
      <c r="I19" s="188"/>
      <c r="J19" s="188"/>
      <c r="K19" s="219">
        <v>660.24</v>
      </c>
      <c r="L19" s="188"/>
      <c r="M19" s="7"/>
      <c r="N19" s="7"/>
    </row>
    <row r="20" spans="1:14">
      <c r="A20" s="217" t="s">
        <v>114</v>
      </c>
      <c r="B20" s="218" t="s">
        <v>171</v>
      </c>
      <c r="C20" s="214" t="s">
        <v>470</v>
      </c>
      <c r="D20" s="215" t="s">
        <v>29</v>
      </c>
      <c r="E20" s="216" t="s">
        <v>30</v>
      </c>
      <c r="F20" s="188"/>
      <c r="G20" s="188"/>
      <c r="H20" s="188"/>
      <c r="I20" s="188"/>
      <c r="J20" s="188"/>
      <c r="K20" s="219">
        <v>2939.04</v>
      </c>
      <c r="L20" s="188"/>
      <c r="M20" s="7"/>
      <c r="N20" s="7"/>
    </row>
    <row r="21" spans="1:14">
      <c r="A21" s="221" t="s">
        <v>35</v>
      </c>
      <c r="B21" s="218" t="s">
        <v>36</v>
      </c>
      <c r="C21" s="214" t="s">
        <v>470</v>
      </c>
      <c r="D21" s="215" t="s">
        <v>29</v>
      </c>
      <c r="E21" s="216" t="s">
        <v>30</v>
      </c>
      <c r="F21" s="188"/>
      <c r="G21" s="188"/>
      <c r="H21" s="188"/>
      <c r="I21" s="188"/>
      <c r="J21" s="188"/>
      <c r="K21" s="219">
        <v>8174.4</v>
      </c>
      <c r="L21" s="188"/>
      <c r="M21" s="7"/>
      <c r="N21" s="7"/>
    </row>
    <row r="22" spans="1:14">
      <c r="A22" s="221" t="s">
        <v>117</v>
      </c>
      <c r="B22" s="218" t="s">
        <v>417</v>
      </c>
      <c r="C22" s="214" t="s">
        <v>470</v>
      </c>
      <c r="D22" s="215" t="s">
        <v>29</v>
      </c>
      <c r="E22" s="216" t="s">
        <v>30</v>
      </c>
      <c r="F22" s="188"/>
      <c r="G22" s="188"/>
      <c r="H22" s="188"/>
      <c r="I22" s="188"/>
      <c r="J22" s="188"/>
      <c r="K22" s="219">
        <v>1366.8</v>
      </c>
      <c r="L22" s="188"/>
      <c r="M22" s="7"/>
      <c r="N22" s="7"/>
    </row>
    <row r="23" spans="1:14">
      <c r="A23" s="217" t="s">
        <v>119</v>
      </c>
      <c r="B23" s="218" t="s">
        <v>446</v>
      </c>
      <c r="C23" s="214" t="s">
        <v>470</v>
      </c>
      <c r="D23" s="215" t="s">
        <v>29</v>
      </c>
      <c r="E23" s="216" t="s">
        <v>30</v>
      </c>
      <c r="F23" s="188"/>
      <c r="G23" s="188"/>
      <c r="H23" s="188"/>
      <c r="I23" s="188"/>
      <c r="J23" s="188"/>
      <c r="K23" s="219">
        <v>9984</v>
      </c>
      <c r="L23" s="188"/>
      <c r="M23" s="7"/>
      <c r="N23" s="7"/>
    </row>
    <row r="24" spans="1:14">
      <c r="A24" s="217" t="s">
        <v>475</v>
      </c>
      <c r="B24" s="218" t="s">
        <v>476</v>
      </c>
      <c r="C24" s="214" t="s">
        <v>470</v>
      </c>
      <c r="D24" s="215" t="s">
        <v>29</v>
      </c>
      <c r="E24" s="216" t="s">
        <v>30</v>
      </c>
      <c r="F24" s="188"/>
      <c r="G24" s="188"/>
      <c r="H24" s="188"/>
      <c r="I24" s="188"/>
      <c r="J24" s="188"/>
      <c r="K24" s="219">
        <v>4305.6</v>
      </c>
      <c r="L24" s="188"/>
      <c r="M24" s="7"/>
      <c r="N24" s="7"/>
    </row>
    <row r="25" spans="1:14">
      <c r="A25" s="217" t="s">
        <v>350</v>
      </c>
      <c r="B25" s="218" t="s">
        <v>351</v>
      </c>
      <c r="C25" s="214" t="s">
        <v>470</v>
      </c>
      <c r="D25" s="215" t="s">
        <v>29</v>
      </c>
      <c r="E25" s="216" t="s">
        <v>30</v>
      </c>
      <c r="F25" s="188"/>
      <c r="G25" s="188"/>
      <c r="H25" s="188"/>
      <c r="I25" s="188"/>
      <c r="J25" s="188"/>
      <c r="K25" s="219">
        <v>996</v>
      </c>
      <c r="L25" s="188"/>
      <c r="M25" s="7"/>
      <c r="N25" s="7"/>
    </row>
    <row r="26" spans="1:14">
      <c r="A26" s="217" t="s">
        <v>172</v>
      </c>
      <c r="B26" s="218" t="s">
        <v>173</v>
      </c>
      <c r="C26" s="214" t="s">
        <v>470</v>
      </c>
      <c r="D26" s="215" t="s">
        <v>29</v>
      </c>
      <c r="E26" s="216" t="s">
        <v>30</v>
      </c>
      <c r="F26" s="188"/>
      <c r="G26" s="188"/>
      <c r="H26" s="188"/>
      <c r="I26" s="188"/>
      <c r="J26" s="188"/>
      <c r="K26" s="219">
        <v>12979.2</v>
      </c>
      <c r="L26" s="188"/>
      <c r="M26" s="7"/>
      <c r="N26" s="7"/>
    </row>
    <row r="27" spans="1:14">
      <c r="A27" s="221" t="s">
        <v>37</v>
      </c>
      <c r="B27" s="218" t="s">
        <v>38</v>
      </c>
      <c r="C27" s="214" t="s">
        <v>470</v>
      </c>
      <c r="D27" s="215" t="s">
        <v>29</v>
      </c>
      <c r="E27" s="216" t="s">
        <v>30</v>
      </c>
      <c r="F27" s="188"/>
      <c r="G27" s="188"/>
      <c r="H27" s="188"/>
      <c r="I27" s="188"/>
      <c r="J27" s="188"/>
      <c r="K27" s="219">
        <v>8393.4</v>
      </c>
      <c r="L27" s="188"/>
      <c r="M27" s="7"/>
      <c r="N27" s="7"/>
    </row>
    <row r="28" spans="1:14">
      <c r="A28" s="222" t="s">
        <v>174</v>
      </c>
      <c r="B28" s="223" t="s">
        <v>175</v>
      </c>
      <c r="C28" s="214" t="s">
        <v>470</v>
      </c>
      <c r="D28" s="215" t="s">
        <v>29</v>
      </c>
      <c r="E28" s="216" t="s">
        <v>30</v>
      </c>
      <c r="F28" s="188"/>
      <c r="G28" s="188"/>
      <c r="H28" s="188"/>
      <c r="I28" s="188"/>
      <c r="J28" s="188"/>
      <c r="K28" s="219">
        <v>469.88</v>
      </c>
      <c r="L28" s="188"/>
      <c r="M28" s="7"/>
      <c r="N28" s="7"/>
    </row>
    <row r="29" spans="1:14">
      <c r="A29" s="224" t="s">
        <v>477</v>
      </c>
      <c r="B29" s="225" t="s">
        <v>478</v>
      </c>
      <c r="C29" s="214" t="s">
        <v>470</v>
      </c>
      <c r="D29" s="215" t="s">
        <v>29</v>
      </c>
      <c r="E29" s="216" t="s">
        <v>30</v>
      </c>
      <c r="F29" s="188"/>
      <c r="G29" s="188"/>
      <c r="H29" s="188"/>
      <c r="I29" s="188"/>
      <c r="J29" s="188"/>
      <c r="K29" s="219">
        <v>1239.04</v>
      </c>
      <c r="L29" s="188"/>
      <c r="M29" s="7"/>
      <c r="N29" s="7"/>
    </row>
    <row r="30" spans="1:14">
      <c r="A30" s="226" t="s">
        <v>39</v>
      </c>
      <c r="B30" s="227" t="s">
        <v>40</v>
      </c>
      <c r="C30" s="214" t="s">
        <v>470</v>
      </c>
      <c r="D30" s="215" t="s">
        <v>29</v>
      </c>
      <c r="E30" s="216" t="s">
        <v>30</v>
      </c>
      <c r="F30" s="188"/>
      <c r="G30" s="188"/>
      <c r="H30" s="188"/>
      <c r="I30" s="188"/>
      <c r="J30" s="188"/>
      <c r="K30" s="219">
        <v>1921.92</v>
      </c>
      <c r="L30" s="188"/>
      <c r="M30" s="7"/>
      <c r="N30" s="7"/>
    </row>
    <row r="31" spans="1:14">
      <c r="A31" s="217" t="s">
        <v>122</v>
      </c>
      <c r="B31" s="228" t="s">
        <v>302</v>
      </c>
      <c r="C31" s="214" t="s">
        <v>470</v>
      </c>
      <c r="D31" s="215" t="s">
        <v>29</v>
      </c>
      <c r="E31" s="216" t="s">
        <v>30</v>
      </c>
      <c r="F31" s="188"/>
      <c r="G31" s="188"/>
      <c r="H31" s="188"/>
      <c r="I31" s="188"/>
      <c r="J31" s="188"/>
      <c r="K31" s="219">
        <v>859</v>
      </c>
      <c r="L31" s="188"/>
      <c r="M31" s="7"/>
      <c r="N31" s="7"/>
    </row>
    <row r="32" spans="1:14">
      <c r="A32" s="217" t="s">
        <v>124</v>
      </c>
      <c r="B32" s="218" t="s">
        <v>479</v>
      </c>
      <c r="C32" s="214" t="s">
        <v>470</v>
      </c>
      <c r="D32" s="215" t="s">
        <v>29</v>
      </c>
      <c r="E32" s="216" t="s">
        <v>30</v>
      </c>
      <c r="F32" s="188"/>
      <c r="G32" s="188"/>
      <c r="H32" s="188"/>
      <c r="I32" s="188"/>
      <c r="J32" s="188"/>
      <c r="K32" s="219">
        <v>2288</v>
      </c>
      <c r="L32" s="188"/>
      <c r="M32" s="7"/>
      <c r="N32" s="7"/>
    </row>
    <row r="33" spans="1:14">
      <c r="A33" s="222" t="s">
        <v>480</v>
      </c>
      <c r="B33" s="223" t="s">
        <v>481</v>
      </c>
      <c r="C33" s="214" t="s">
        <v>470</v>
      </c>
      <c r="D33" s="215" t="s">
        <v>29</v>
      </c>
      <c r="E33" s="216" t="s">
        <v>30</v>
      </c>
      <c r="F33" s="188"/>
      <c r="G33" s="188"/>
      <c r="H33" s="188"/>
      <c r="I33" s="188"/>
      <c r="J33" s="188"/>
      <c r="K33" s="219">
        <v>499.2</v>
      </c>
      <c r="L33" s="188"/>
      <c r="M33" s="7"/>
      <c r="N33" s="7"/>
    </row>
    <row r="34" spans="1:14">
      <c r="A34" s="224" t="s">
        <v>176</v>
      </c>
      <c r="B34" s="225" t="s">
        <v>177</v>
      </c>
      <c r="C34" s="214" t="s">
        <v>470</v>
      </c>
      <c r="D34" s="215" t="s">
        <v>29</v>
      </c>
      <c r="E34" s="216" t="s">
        <v>30</v>
      </c>
      <c r="F34" s="188"/>
      <c r="G34" s="188"/>
      <c r="H34" s="188"/>
      <c r="I34" s="188"/>
      <c r="J34" s="188"/>
      <c r="K34" s="219">
        <v>425.12</v>
      </c>
      <c r="L34" s="188"/>
      <c r="M34" s="7"/>
      <c r="N34" s="7"/>
    </row>
    <row r="35" spans="1:14">
      <c r="A35" s="217" t="s">
        <v>126</v>
      </c>
      <c r="B35" s="218" t="s">
        <v>127</v>
      </c>
      <c r="C35" s="214" t="s">
        <v>470</v>
      </c>
      <c r="D35" s="215" t="s">
        <v>29</v>
      </c>
      <c r="E35" s="216" t="s">
        <v>30</v>
      </c>
      <c r="F35" s="188"/>
      <c r="G35" s="188"/>
      <c r="H35" s="188"/>
      <c r="I35" s="188"/>
      <c r="J35" s="188"/>
      <c r="K35" s="219">
        <v>17284.8</v>
      </c>
      <c r="L35" s="188"/>
      <c r="M35" s="7"/>
      <c r="N35" s="7"/>
    </row>
    <row r="36" spans="1:14">
      <c r="A36" s="217" t="s">
        <v>245</v>
      </c>
      <c r="B36" s="218" t="s">
        <v>246</v>
      </c>
      <c r="C36" s="214" t="s">
        <v>470</v>
      </c>
      <c r="D36" s="215" t="s">
        <v>29</v>
      </c>
      <c r="E36" s="216" t="s">
        <v>30</v>
      </c>
      <c r="F36" s="188"/>
      <c r="G36" s="188"/>
      <c r="H36" s="188"/>
      <c r="I36" s="188"/>
      <c r="J36" s="188"/>
      <c r="K36" s="219">
        <v>765.84</v>
      </c>
      <c r="L36" s="188"/>
      <c r="M36" s="7"/>
      <c r="N36" s="7"/>
    </row>
    <row r="37" spans="1:14">
      <c r="A37" s="217" t="s">
        <v>178</v>
      </c>
      <c r="B37" s="218" t="s">
        <v>179</v>
      </c>
      <c r="C37" s="214" t="s">
        <v>470</v>
      </c>
      <c r="D37" s="215" t="s">
        <v>29</v>
      </c>
      <c r="E37" s="216" t="s">
        <v>30</v>
      </c>
      <c r="F37" s="188"/>
      <c r="G37" s="188"/>
      <c r="H37" s="188"/>
      <c r="I37" s="188"/>
      <c r="J37" s="188"/>
      <c r="K37" s="219">
        <v>693.84</v>
      </c>
      <c r="L37" s="188"/>
      <c r="M37" s="7"/>
      <c r="N37" s="7"/>
    </row>
    <row r="38" spans="1:14">
      <c r="A38" s="217" t="s">
        <v>482</v>
      </c>
      <c r="B38" s="229" t="s">
        <v>483</v>
      </c>
      <c r="C38" s="214" t="s">
        <v>470</v>
      </c>
      <c r="D38" s="215" t="s">
        <v>29</v>
      </c>
      <c r="E38" s="216" t="s">
        <v>30</v>
      </c>
      <c r="F38" s="188"/>
      <c r="G38" s="188"/>
      <c r="H38" s="188"/>
      <c r="I38" s="188"/>
      <c r="J38" s="188"/>
      <c r="K38" s="219">
        <v>3720</v>
      </c>
      <c r="L38" s="188"/>
      <c r="M38" s="7"/>
      <c r="N38" s="7"/>
    </row>
    <row r="39" spans="1:14">
      <c r="A39" s="217" t="s">
        <v>247</v>
      </c>
      <c r="B39" s="218" t="s">
        <v>248</v>
      </c>
      <c r="C39" s="214" t="s">
        <v>470</v>
      </c>
      <c r="D39" s="215" t="s">
        <v>29</v>
      </c>
      <c r="E39" s="216" t="s">
        <v>30</v>
      </c>
      <c r="F39" s="188"/>
      <c r="G39" s="188"/>
      <c r="H39" s="188"/>
      <c r="I39" s="188"/>
      <c r="J39" s="188"/>
      <c r="K39" s="219">
        <v>954.16</v>
      </c>
      <c r="L39" s="188"/>
      <c r="M39" s="7"/>
      <c r="N39" s="7"/>
    </row>
    <row r="40" spans="1:14">
      <c r="A40" s="217" t="s">
        <v>484</v>
      </c>
      <c r="B40" s="218" t="s">
        <v>485</v>
      </c>
      <c r="C40" s="214" t="s">
        <v>470</v>
      </c>
      <c r="D40" s="215" t="s">
        <v>29</v>
      </c>
      <c r="E40" s="216" t="s">
        <v>30</v>
      </c>
      <c r="F40" s="188"/>
      <c r="G40" s="188"/>
      <c r="H40" s="188"/>
      <c r="I40" s="188"/>
      <c r="J40" s="188"/>
      <c r="K40" s="219">
        <v>1139.36</v>
      </c>
      <c r="L40" s="188"/>
      <c r="M40" s="7"/>
      <c r="N40" s="7"/>
    </row>
    <row r="41" spans="1:14">
      <c r="A41" s="217" t="s">
        <v>486</v>
      </c>
      <c r="B41" s="218" t="s">
        <v>487</v>
      </c>
      <c r="C41" s="214" t="s">
        <v>470</v>
      </c>
      <c r="D41" s="215" t="s">
        <v>29</v>
      </c>
      <c r="E41" s="216" t="s">
        <v>30</v>
      </c>
      <c r="F41" s="188"/>
      <c r="G41" s="188"/>
      <c r="H41" s="188"/>
      <c r="I41" s="188"/>
      <c r="J41" s="188"/>
      <c r="K41" s="219">
        <v>41689.2</v>
      </c>
      <c r="L41" s="188"/>
      <c r="M41" s="7"/>
      <c r="N41" s="7"/>
    </row>
    <row r="42" spans="1:14">
      <c r="A42" s="217" t="s">
        <v>488</v>
      </c>
      <c r="B42" s="218" t="s">
        <v>489</v>
      </c>
      <c r="C42" s="214" t="s">
        <v>470</v>
      </c>
      <c r="D42" s="215" t="s">
        <v>29</v>
      </c>
      <c r="E42" s="216" t="s">
        <v>30</v>
      </c>
      <c r="F42" s="188"/>
      <c r="G42" s="188"/>
      <c r="H42" s="188"/>
      <c r="I42" s="188"/>
      <c r="J42" s="188"/>
      <c r="K42" s="219">
        <v>2570.58</v>
      </c>
      <c r="L42" s="188"/>
      <c r="M42" s="7"/>
      <c r="N42" s="7"/>
    </row>
    <row r="43" spans="1:14">
      <c r="A43" s="217" t="s">
        <v>41</v>
      </c>
      <c r="B43" s="218" t="s">
        <v>42</v>
      </c>
      <c r="C43" s="214" t="s">
        <v>470</v>
      </c>
      <c r="D43" s="215" t="s">
        <v>29</v>
      </c>
      <c r="E43" s="216" t="s">
        <v>30</v>
      </c>
      <c r="F43" s="188"/>
      <c r="G43" s="188"/>
      <c r="H43" s="188"/>
      <c r="I43" s="188"/>
      <c r="J43" s="188"/>
      <c r="K43" s="219">
        <v>2792.4</v>
      </c>
      <c r="L43" s="188"/>
      <c r="M43" s="7"/>
      <c r="N43" s="7"/>
    </row>
    <row r="44" spans="1:14">
      <c r="A44" s="217" t="s">
        <v>490</v>
      </c>
      <c r="B44" s="230" t="s">
        <v>491</v>
      </c>
      <c r="C44" s="214" t="s">
        <v>470</v>
      </c>
      <c r="D44" s="215" t="s">
        <v>29</v>
      </c>
      <c r="E44" s="216" t="s">
        <v>30</v>
      </c>
      <c r="F44" s="188"/>
      <c r="G44" s="188"/>
      <c r="H44" s="188"/>
      <c r="I44" s="188"/>
      <c r="J44" s="188"/>
      <c r="K44" s="219">
        <v>0</v>
      </c>
      <c r="L44" s="188"/>
      <c r="M44" s="7"/>
      <c r="N44" s="7"/>
    </row>
    <row r="45" spans="1:14">
      <c r="A45" s="217" t="s">
        <v>492</v>
      </c>
      <c r="B45" s="231" t="s">
        <v>493</v>
      </c>
      <c r="C45" s="214" t="s">
        <v>470</v>
      </c>
      <c r="D45" s="215" t="s">
        <v>29</v>
      </c>
      <c r="E45" s="216" t="s">
        <v>30</v>
      </c>
      <c r="F45" s="188"/>
      <c r="G45" s="188"/>
      <c r="H45" s="188"/>
      <c r="I45" s="188"/>
      <c r="J45" s="188"/>
      <c r="K45" s="219">
        <v>46800</v>
      </c>
      <c r="L45" s="188"/>
      <c r="M45" s="7"/>
      <c r="N45" s="7"/>
    </row>
    <row r="46" spans="1:14">
      <c r="A46" s="221" t="s">
        <v>249</v>
      </c>
      <c r="B46" s="230" t="s">
        <v>250</v>
      </c>
      <c r="C46" s="214" t="s">
        <v>470</v>
      </c>
      <c r="D46" s="215" t="s">
        <v>29</v>
      </c>
      <c r="E46" s="216" t="s">
        <v>30</v>
      </c>
      <c r="F46" s="188"/>
      <c r="G46" s="188"/>
      <c r="H46" s="188"/>
      <c r="I46" s="188"/>
      <c r="J46" s="188"/>
      <c r="K46" s="219">
        <v>599.04</v>
      </c>
      <c r="L46" s="188"/>
      <c r="M46" s="7"/>
      <c r="N46" s="7"/>
    </row>
    <row r="47" spans="1:14">
      <c r="A47" s="221" t="s">
        <v>494</v>
      </c>
      <c r="B47" s="230" t="s">
        <v>495</v>
      </c>
      <c r="C47" s="214" t="s">
        <v>470</v>
      </c>
      <c r="D47" s="215" t="s">
        <v>29</v>
      </c>
      <c r="E47" s="216" t="s">
        <v>30</v>
      </c>
      <c r="F47" s="188"/>
      <c r="G47" s="188"/>
      <c r="H47" s="188"/>
      <c r="I47" s="188"/>
      <c r="J47" s="188"/>
      <c r="K47" s="219">
        <v>4536.6</v>
      </c>
      <c r="L47" s="188"/>
      <c r="M47" s="7"/>
      <c r="N47" s="7"/>
    </row>
    <row r="48" spans="1:14">
      <c r="A48" s="217" t="s">
        <v>496</v>
      </c>
      <c r="B48" s="230" t="s">
        <v>497</v>
      </c>
      <c r="C48" s="214" t="s">
        <v>470</v>
      </c>
      <c r="D48" s="215" t="s">
        <v>29</v>
      </c>
      <c r="E48" s="216" t="s">
        <v>30</v>
      </c>
      <c r="F48" s="188"/>
      <c r="G48" s="188"/>
      <c r="H48" s="188"/>
      <c r="I48" s="188"/>
      <c r="J48" s="188"/>
      <c r="K48" s="219">
        <v>7409.52</v>
      </c>
      <c r="L48" s="188"/>
      <c r="M48" s="7"/>
      <c r="N48" s="7"/>
    </row>
    <row r="49" spans="1:14">
      <c r="A49" s="217" t="s">
        <v>43</v>
      </c>
      <c r="B49" s="230" t="s">
        <v>44</v>
      </c>
      <c r="C49" s="214" t="s">
        <v>470</v>
      </c>
      <c r="D49" s="215" t="s">
        <v>29</v>
      </c>
      <c r="E49" s="216" t="s">
        <v>30</v>
      </c>
      <c r="F49" s="188"/>
      <c r="G49" s="188"/>
      <c r="H49" s="188"/>
      <c r="I49" s="188"/>
      <c r="J49" s="188"/>
      <c r="K49" s="219">
        <v>565.76</v>
      </c>
      <c r="L49" s="188"/>
      <c r="M49" s="7"/>
      <c r="N49" s="7"/>
    </row>
    <row r="50" spans="1:14">
      <c r="A50" s="217" t="s">
        <v>128</v>
      </c>
      <c r="B50" s="230" t="s">
        <v>129</v>
      </c>
      <c r="C50" s="214" t="s">
        <v>470</v>
      </c>
      <c r="D50" s="215" t="s">
        <v>29</v>
      </c>
      <c r="E50" s="216" t="s">
        <v>30</v>
      </c>
      <c r="F50" s="188"/>
      <c r="G50" s="188"/>
      <c r="H50" s="188"/>
      <c r="I50" s="188"/>
      <c r="J50" s="188"/>
      <c r="K50" s="219">
        <v>541.2</v>
      </c>
      <c r="L50" s="188"/>
      <c r="M50" s="7"/>
      <c r="N50" s="7"/>
    </row>
    <row r="51" spans="1:14">
      <c r="A51" s="217" t="s">
        <v>45</v>
      </c>
      <c r="B51" s="230" t="s">
        <v>46</v>
      </c>
      <c r="C51" s="214" t="s">
        <v>470</v>
      </c>
      <c r="D51" s="215" t="s">
        <v>29</v>
      </c>
      <c r="E51" s="216" t="s">
        <v>30</v>
      </c>
      <c r="F51" s="188"/>
      <c r="G51" s="188"/>
      <c r="H51" s="188"/>
      <c r="I51" s="188"/>
      <c r="J51" s="188"/>
      <c r="K51" s="219">
        <v>1140.48</v>
      </c>
      <c r="L51" s="188"/>
      <c r="M51" s="7"/>
      <c r="N51" s="7"/>
    </row>
    <row r="52" spans="1:14">
      <c r="A52" s="217" t="s">
        <v>303</v>
      </c>
      <c r="B52" s="230" t="s">
        <v>304</v>
      </c>
      <c r="C52" s="214" t="s">
        <v>470</v>
      </c>
      <c r="D52" s="215" t="s">
        <v>29</v>
      </c>
      <c r="E52" s="216" t="s">
        <v>30</v>
      </c>
      <c r="F52" s="188"/>
      <c r="G52" s="188"/>
      <c r="H52" s="188"/>
      <c r="I52" s="188"/>
      <c r="J52" s="188"/>
      <c r="K52" s="219">
        <v>466.8</v>
      </c>
      <c r="L52" s="188"/>
      <c r="M52" s="7"/>
      <c r="N52" s="7"/>
    </row>
    <row r="53" spans="1:14">
      <c r="A53" s="217" t="s">
        <v>180</v>
      </c>
      <c r="B53" s="230" t="s">
        <v>181</v>
      </c>
      <c r="C53" s="214" t="s">
        <v>470</v>
      </c>
      <c r="D53" s="215" t="s">
        <v>29</v>
      </c>
      <c r="E53" s="216" t="s">
        <v>30</v>
      </c>
      <c r="F53" s="188"/>
      <c r="G53" s="188"/>
      <c r="H53" s="188"/>
      <c r="I53" s="188"/>
      <c r="J53" s="188"/>
      <c r="K53" s="219">
        <v>1485.12</v>
      </c>
      <c r="L53" s="188"/>
      <c r="M53" s="7"/>
      <c r="N53" s="7"/>
    </row>
    <row r="54" spans="1:14">
      <c r="A54" s="217" t="s">
        <v>182</v>
      </c>
      <c r="B54" s="230" t="s">
        <v>183</v>
      </c>
      <c r="C54" s="214" t="s">
        <v>470</v>
      </c>
      <c r="D54" s="215" t="s">
        <v>29</v>
      </c>
      <c r="E54" s="216" t="s">
        <v>30</v>
      </c>
      <c r="F54" s="188"/>
      <c r="G54" s="188"/>
      <c r="H54" s="188"/>
      <c r="I54" s="188"/>
      <c r="J54" s="188"/>
      <c r="K54" s="219">
        <v>2907.84</v>
      </c>
      <c r="L54" s="188"/>
      <c r="M54" s="7"/>
      <c r="N54" s="7"/>
    </row>
    <row r="55" spans="1:14">
      <c r="A55" s="217" t="s">
        <v>305</v>
      </c>
      <c r="B55" s="230" t="s">
        <v>306</v>
      </c>
      <c r="C55" s="214" t="s">
        <v>470</v>
      </c>
      <c r="D55" s="215" t="s">
        <v>29</v>
      </c>
      <c r="E55" s="216" t="s">
        <v>30</v>
      </c>
      <c r="F55" s="188"/>
      <c r="G55" s="188"/>
      <c r="H55" s="188"/>
      <c r="I55" s="188"/>
      <c r="J55" s="188"/>
      <c r="K55" s="219">
        <v>0</v>
      </c>
      <c r="L55" s="188"/>
      <c r="M55" s="7"/>
      <c r="N55" s="7"/>
    </row>
    <row r="56" spans="1:14">
      <c r="A56" s="217" t="s">
        <v>47</v>
      </c>
      <c r="B56" s="230" t="s">
        <v>48</v>
      </c>
      <c r="C56" s="214" t="s">
        <v>470</v>
      </c>
      <c r="D56" s="215" t="s">
        <v>29</v>
      </c>
      <c r="E56" s="216" t="s">
        <v>30</v>
      </c>
      <c r="F56" s="188"/>
      <c r="G56" s="188"/>
      <c r="H56" s="188"/>
      <c r="I56" s="188"/>
      <c r="J56" s="188"/>
      <c r="K56" s="219">
        <v>268.32</v>
      </c>
      <c r="L56" s="188"/>
      <c r="M56" s="7"/>
      <c r="N56" s="7"/>
    </row>
    <row r="57" spans="1:14">
      <c r="A57" s="217" t="s">
        <v>130</v>
      </c>
      <c r="B57" s="230" t="s">
        <v>131</v>
      </c>
      <c r="C57" s="214" t="s">
        <v>470</v>
      </c>
      <c r="D57" s="215" t="s">
        <v>29</v>
      </c>
      <c r="E57" s="216" t="s">
        <v>30</v>
      </c>
      <c r="F57" s="188"/>
      <c r="G57" s="188"/>
      <c r="H57" s="188"/>
      <c r="I57" s="188"/>
      <c r="J57" s="188"/>
      <c r="K57" s="219">
        <v>0</v>
      </c>
      <c r="L57" s="188"/>
      <c r="M57" s="7"/>
      <c r="N57" s="7"/>
    </row>
    <row r="58" spans="1:14">
      <c r="A58" s="217" t="s">
        <v>498</v>
      </c>
      <c r="B58" s="230" t="s">
        <v>499</v>
      </c>
      <c r="C58" s="214" t="s">
        <v>470</v>
      </c>
      <c r="D58" s="215" t="s">
        <v>29</v>
      </c>
      <c r="E58" s="216" t="s">
        <v>30</v>
      </c>
      <c r="F58" s="188"/>
      <c r="G58" s="188"/>
      <c r="H58" s="188"/>
      <c r="I58" s="188"/>
      <c r="J58" s="188"/>
      <c r="K58" s="219">
        <v>1065.92</v>
      </c>
      <c r="L58" s="188"/>
      <c r="M58" s="7"/>
      <c r="N58" s="7"/>
    </row>
    <row r="59" spans="1:14">
      <c r="A59" s="217" t="s">
        <v>49</v>
      </c>
      <c r="B59" s="230" t="s">
        <v>50</v>
      </c>
      <c r="C59" s="214" t="s">
        <v>470</v>
      </c>
      <c r="D59" s="215" t="s">
        <v>29</v>
      </c>
      <c r="E59" s="216" t="s">
        <v>30</v>
      </c>
      <c r="F59" s="188"/>
      <c r="G59" s="188"/>
      <c r="H59" s="188"/>
      <c r="I59" s="188"/>
      <c r="J59" s="188"/>
      <c r="K59" s="219">
        <v>133.12</v>
      </c>
      <c r="L59" s="188"/>
      <c r="M59" s="7"/>
      <c r="N59" s="7"/>
    </row>
    <row r="60" spans="1:14">
      <c r="A60" s="217" t="s">
        <v>500</v>
      </c>
      <c r="B60" s="230" t="s">
        <v>501</v>
      </c>
      <c r="C60" s="214" t="s">
        <v>470</v>
      </c>
      <c r="D60" s="215" t="s">
        <v>29</v>
      </c>
      <c r="E60" s="216" t="s">
        <v>30</v>
      </c>
      <c r="F60" s="188"/>
      <c r="G60" s="188"/>
      <c r="H60" s="188"/>
      <c r="I60" s="188"/>
      <c r="J60" s="188"/>
      <c r="K60" s="219">
        <v>118.56</v>
      </c>
      <c r="L60" s="188"/>
      <c r="M60" s="7"/>
      <c r="N60" s="7"/>
    </row>
    <row r="61" spans="1:14">
      <c r="A61" s="217" t="s">
        <v>51</v>
      </c>
      <c r="B61" s="230" t="s">
        <v>52</v>
      </c>
      <c r="C61" s="214" t="s">
        <v>470</v>
      </c>
      <c r="D61" s="215" t="s">
        <v>29</v>
      </c>
      <c r="E61" s="216" t="s">
        <v>30</v>
      </c>
      <c r="F61" s="188"/>
      <c r="G61" s="188"/>
      <c r="H61" s="188"/>
      <c r="I61" s="188"/>
      <c r="J61" s="188"/>
      <c r="K61" s="219">
        <v>2662.4</v>
      </c>
      <c r="L61" s="188"/>
      <c r="M61" s="7"/>
      <c r="N61" s="7"/>
    </row>
    <row r="62" spans="1:14">
      <c r="A62" s="217" t="s">
        <v>502</v>
      </c>
      <c r="B62" s="230" t="s">
        <v>503</v>
      </c>
      <c r="C62" s="214" t="s">
        <v>470</v>
      </c>
      <c r="D62" s="215" t="s">
        <v>29</v>
      </c>
      <c r="E62" s="216" t="s">
        <v>30</v>
      </c>
      <c r="F62" s="188"/>
      <c r="G62" s="188"/>
      <c r="H62" s="188"/>
      <c r="I62" s="188"/>
      <c r="J62" s="188"/>
      <c r="K62" s="219">
        <v>1046.4</v>
      </c>
      <c r="L62" s="188"/>
      <c r="M62" s="7"/>
      <c r="N62" s="7"/>
    </row>
    <row r="63" spans="1:14">
      <c r="A63" s="217" t="s">
        <v>449</v>
      </c>
      <c r="B63" s="230" t="s">
        <v>450</v>
      </c>
      <c r="C63" s="214" t="s">
        <v>470</v>
      </c>
      <c r="D63" s="215" t="s">
        <v>29</v>
      </c>
      <c r="E63" s="216" t="s">
        <v>30</v>
      </c>
      <c r="F63" s="188"/>
      <c r="G63" s="188"/>
      <c r="H63" s="188"/>
      <c r="I63" s="188"/>
      <c r="J63" s="188"/>
      <c r="K63" s="219">
        <v>885</v>
      </c>
      <c r="L63" s="188"/>
      <c r="M63" s="7"/>
      <c r="N63" s="7"/>
    </row>
    <row r="64" spans="1:14">
      <c r="A64" s="217" t="s">
        <v>392</v>
      </c>
      <c r="B64" s="230" t="s">
        <v>393</v>
      </c>
      <c r="C64" s="214" t="s">
        <v>470</v>
      </c>
      <c r="D64" s="215" t="s">
        <v>29</v>
      </c>
      <c r="E64" s="216" t="s">
        <v>30</v>
      </c>
      <c r="F64" s="188"/>
      <c r="G64" s="188"/>
      <c r="H64" s="188"/>
      <c r="I64" s="188"/>
      <c r="J64" s="188"/>
      <c r="K64" s="219">
        <v>1533.6</v>
      </c>
      <c r="L64" s="188"/>
      <c r="M64" s="7"/>
      <c r="N64" s="7"/>
    </row>
    <row r="65" spans="1:14">
      <c r="A65" s="222" t="s">
        <v>55</v>
      </c>
      <c r="B65" s="223" t="s">
        <v>56</v>
      </c>
      <c r="C65" s="214" t="s">
        <v>470</v>
      </c>
      <c r="D65" s="215" t="s">
        <v>29</v>
      </c>
      <c r="E65" s="216" t="s">
        <v>30</v>
      </c>
      <c r="F65" s="188"/>
      <c r="G65" s="188"/>
      <c r="H65" s="188"/>
      <c r="I65" s="188"/>
      <c r="J65" s="188"/>
      <c r="K65" s="219">
        <v>2767.2</v>
      </c>
      <c r="L65" s="188"/>
      <c r="M65" s="7"/>
      <c r="N65" s="7"/>
    </row>
    <row r="66" spans="1:14">
      <c r="A66" s="226" t="s">
        <v>307</v>
      </c>
      <c r="B66" s="227" t="s">
        <v>308</v>
      </c>
      <c r="C66" s="214" t="s">
        <v>470</v>
      </c>
      <c r="D66" s="215" t="s">
        <v>29</v>
      </c>
      <c r="E66" s="216" t="s">
        <v>30</v>
      </c>
      <c r="F66" s="188"/>
      <c r="G66" s="188"/>
      <c r="H66" s="188"/>
      <c r="I66" s="188"/>
      <c r="J66" s="188"/>
      <c r="K66" s="219">
        <v>401.16</v>
      </c>
      <c r="L66" s="188"/>
      <c r="M66" s="7"/>
      <c r="N66" s="7"/>
    </row>
    <row r="67" spans="1:14">
      <c r="A67" s="217" t="s">
        <v>184</v>
      </c>
      <c r="B67" s="230" t="s">
        <v>185</v>
      </c>
      <c r="C67" s="214" t="s">
        <v>470</v>
      </c>
      <c r="D67" s="215" t="s">
        <v>29</v>
      </c>
      <c r="E67" s="216" t="s">
        <v>30</v>
      </c>
      <c r="F67" s="188"/>
      <c r="G67" s="188"/>
      <c r="H67" s="188"/>
      <c r="I67" s="188"/>
      <c r="J67" s="188"/>
      <c r="K67" s="219">
        <v>1544</v>
      </c>
      <c r="L67" s="188"/>
      <c r="M67" s="7"/>
      <c r="N67" s="7"/>
    </row>
    <row r="68" spans="1:14">
      <c r="A68" s="217" t="s">
        <v>132</v>
      </c>
      <c r="B68" s="230" t="s">
        <v>57</v>
      </c>
      <c r="C68" s="214" t="s">
        <v>470</v>
      </c>
      <c r="D68" s="215" t="s">
        <v>29</v>
      </c>
      <c r="E68" s="216" t="s">
        <v>30</v>
      </c>
      <c r="F68" s="188"/>
      <c r="G68" s="188"/>
      <c r="H68" s="188"/>
      <c r="I68" s="188"/>
      <c r="J68" s="188"/>
      <c r="K68" s="219">
        <v>1372.8</v>
      </c>
      <c r="L68" s="188"/>
      <c r="M68" s="7"/>
      <c r="N68" s="7"/>
    </row>
    <row r="69" spans="1:14">
      <c r="A69" s="221" t="s">
        <v>137</v>
      </c>
      <c r="B69" s="230" t="s">
        <v>138</v>
      </c>
      <c r="C69" s="214" t="s">
        <v>470</v>
      </c>
      <c r="D69" s="215" t="s">
        <v>29</v>
      </c>
      <c r="E69" s="216" t="s">
        <v>30</v>
      </c>
      <c r="F69" s="188"/>
      <c r="G69" s="188"/>
      <c r="H69" s="188"/>
      <c r="I69" s="188"/>
      <c r="J69" s="188"/>
      <c r="K69" s="219">
        <v>3922.88</v>
      </c>
      <c r="L69" s="188"/>
      <c r="M69" s="7"/>
      <c r="N69" s="7"/>
    </row>
    <row r="70" spans="1:14">
      <c r="A70" s="217" t="s">
        <v>341</v>
      </c>
      <c r="B70" s="230" t="s">
        <v>418</v>
      </c>
      <c r="C70" s="214" t="s">
        <v>470</v>
      </c>
      <c r="D70" s="215" t="s">
        <v>29</v>
      </c>
      <c r="E70" s="216" t="s">
        <v>30</v>
      </c>
      <c r="F70" s="188"/>
      <c r="G70" s="188"/>
      <c r="H70" s="188"/>
      <c r="I70" s="188"/>
      <c r="J70" s="188"/>
      <c r="K70" s="219">
        <v>1476.8</v>
      </c>
      <c r="L70" s="188"/>
      <c r="M70" s="7"/>
      <c r="N70" s="7"/>
    </row>
    <row r="71" spans="1:14">
      <c r="A71" s="217" t="s">
        <v>186</v>
      </c>
      <c r="B71" s="230" t="s">
        <v>187</v>
      </c>
      <c r="C71" s="214" t="s">
        <v>470</v>
      </c>
      <c r="D71" s="215" t="s">
        <v>29</v>
      </c>
      <c r="E71" s="216" t="s">
        <v>30</v>
      </c>
      <c r="F71" s="188"/>
      <c r="G71" s="188"/>
      <c r="H71" s="188"/>
      <c r="I71" s="188"/>
      <c r="J71" s="188"/>
      <c r="K71" s="219">
        <v>609.8</v>
      </c>
      <c r="L71" s="188"/>
      <c r="M71" s="7"/>
      <c r="N71" s="7"/>
    </row>
    <row r="72" spans="1:14">
      <c r="A72" s="221" t="s">
        <v>188</v>
      </c>
      <c r="B72" s="230" t="s">
        <v>189</v>
      </c>
      <c r="C72" s="214" t="s">
        <v>470</v>
      </c>
      <c r="D72" s="215" t="s">
        <v>29</v>
      </c>
      <c r="E72" s="216" t="s">
        <v>30</v>
      </c>
      <c r="F72" s="188"/>
      <c r="G72" s="188"/>
      <c r="H72" s="188"/>
      <c r="I72" s="188"/>
      <c r="J72" s="188"/>
      <c r="K72" s="219">
        <v>1297.56</v>
      </c>
      <c r="L72" s="188"/>
      <c r="M72" s="7"/>
      <c r="N72" s="7"/>
    </row>
    <row r="73" spans="1:14">
      <c r="A73" s="222" t="s">
        <v>419</v>
      </c>
      <c r="B73" s="223" t="s">
        <v>420</v>
      </c>
      <c r="C73" s="214" t="s">
        <v>470</v>
      </c>
      <c r="D73" s="215" t="s">
        <v>29</v>
      </c>
      <c r="E73" s="216" t="s">
        <v>30</v>
      </c>
      <c r="F73" s="188"/>
      <c r="G73" s="188"/>
      <c r="H73" s="188"/>
      <c r="I73" s="188"/>
      <c r="J73" s="188"/>
      <c r="K73" s="219">
        <v>977.6</v>
      </c>
      <c r="L73" s="188"/>
      <c r="M73" s="7"/>
      <c r="N73" s="7"/>
    </row>
    <row r="74" spans="1:14">
      <c r="A74" s="224" t="s">
        <v>139</v>
      </c>
      <c r="B74" s="225" t="s">
        <v>140</v>
      </c>
      <c r="C74" s="214" t="s">
        <v>470</v>
      </c>
      <c r="D74" s="215" t="s">
        <v>29</v>
      </c>
      <c r="E74" s="216" t="s">
        <v>30</v>
      </c>
      <c r="F74" s="188"/>
      <c r="G74" s="188"/>
      <c r="H74" s="188"/>
      <c r="I74" s="188"/>
      <c r="J74" s="188"/>
      <c r="K74" s="219">
        <v>182.56</v>
      </c>
      <c r="L74" s="188"/>
      <c r="M74" s="7"/>
      <c r="N74" s="7"/>
    </row>
    <row r="75" spans="1:14">
      <c r="A75" s="226" t="s">
        <v>504</v>
      </c>
      <c r="B75" s="227" t="s">
        <v>505</v>
      </c>
      <c r="C75" s="214" t="s">
        <v>470</v>
      </c>
      <c r="D75" s="215" t="s">
        <v>29</v>
      </c>
      <c r="E75" s="216" t="s">
        <v>30</v>
      </c>
      <c r="F75" s="188"/>
      <c r="G75" s="188"/>
      <c r="H75" s="188"/>
      <c r="I75" s="188"/>
      <c r="J75" s="188"/>
      <c r="K75" s="219">
        <v>0</v>
      </c>
      <c r="L75" s="188"/>
      <c r="M75" s="7"/>
      <c r="N75" s="7"/>
    </row>
    <row r="76" spans="1:14">
      <c r="A76" s="221" t="s">
        <v>58</v>
      </c>
      <c r="B76" s="228" t="s">
        <v>59</v>
      </c>
      <c r="C76" s="214" t="s">
        <v>470</v>
      </c>
      <c r="D76" s="215" t="s">
        <v>29</v>
      </c>
      <c r="E76" s="216" t="s">
        <v>30</v>
      </c>
      <c r="F76" s="188"/>
      <c r="G76" s="188"/>
      <c r="H76" s="188"/>
      <c r="I76" s="188"/>
      <c r="J76" s="188"/>
      <c r="K76" s="219">
        <v>3407.04</v>
      </c>
      <c r="L76" s="188"/>
      <c r="M76" s="7"/>
      <c r="N76" s="7"/>
    </row>
    <row r="77" spans="1:14">
      <c r="A77" s="221" t="s">
        <v>506</v>
      </c>
      <c r="B77" s="230" t="s">
        <v>507</v>
      </c>
      <c r="C77" s="214" t="s">
        <v>470</v>
      </c>
      <c r="D77" s="215" t="s">
        <v>29</v>
      </c>
      <c r="E77" s="216" t="s">
        <v>30</v>
      </c>
      <c r="F77" s="188"/>
      <c r="G77" s="188"/>
      <c r="H77" s="188"/>
      <c r="I77" s="188"/>
      <c r="J77" s="188"/>
      <c r="K77" s="219">
        <v>681.6</v>
      </c>
      <c r="L77" s="188"/>
      <c r="M77" s="7"/>
      <c r="N77" s="7"/>
    </row>
    <row r="78" spans="1:14">
      <c r="A78" s="217" t="s">
        <v>251</v>
      </c>
      <c r="B78" s="230" t="s">
        <v>252</v>
      </c>
      <c r="C78" s="214" t="s">
        <v>470</v>
      </c>
      <c r="D78" s="215" t="s">
        <v>29</v>
      </c>
      <c r="E78" s="216" t="s">
        <v>30</v>
      </c>
      <c r="F78" s="188"/>
      <c r="G78" s="188"/>
      <c r="H78" s="188"/>
      <c r="I78" s="188"/>
      <c r="J78" s="188"/>
      <c r="K78" s="219">
        <v>133.56</v>
      </c>
      <c r="L78" s="188"/>
      <c r="M78" s="7"/>
      <c r="N78" s="7"/>
    </row>
    <row r="79" spans="1:14">
      <c r="A79" s="217" t="s">
        <v>253</v>
      </c>
      <c r="B79" s="230" t="s">
        <v>254</v>
      </c>
      <c r="C79" s="214" t="s">
        <v>470</v>
      </c>
      <c r="D79" s="215" t="s">
        <v>29</v>
      </c>
      <c r="E79" s="216" t="s">
        <v>30</v>
      </c>
      <c r="F79" s="188"/>
      <c r="G79" s="188"/>
      <c r="H79" s="188"/>
      <c r="I79" s="188"/>
      <c r="J79" s="188"/>
      <c r="K79" s="219">
        <v>113.84</v>
      </c>
      <c r="L79" s="188"/>
      <c r="M79" s="7"/>
      <c r="N79" s="7"/>
    </row>
    <row r="80" spans="1:14">
      <c r="A80" s="217" t="s">
        <v>508</v>
      </c>
      <c r="B80" s="230" t="s">
        <v>509</v>
      </c>
      <c r="C80" s="214" t="s">
        <v>470</v>
      </c>
      <c r="D80" s="215" t="s">
        <v>29</v>
      </c>
      <c r="E80" s="216" t="s">
        <v>30</v>
      </c>
      <c r="F80" s="188"/>
      <c r="G80" s="188"/>
      <c r="H80" s="188"/>
      <c r="I80" s="188"/>
      <c r="J80" s="188"/>
      <c r="K80" s="219">
        <v>0</v>
      </c>
      <c r="L80" s="188"/>
      <c r="M80" s="7"/>
      <c r="N80" s="7"/>
    </row>
    <row r="81" spans="1:14">
      <c r="A81" s="217" t="s">
        <v>309</v>
      </c>
      <c r="B81" s="230" t="s">
        <v>310</v>
      </c>
      <c r="C81" s="214" t="s">
        <v>470</v>
      </c>
      <c r="D81" s="215" t="s">
        <v>29</v>
      </c>
      <c r="E81" s="216" t="s">
        <v>30</v>
      </c>
      <c r="F81" s="188"/>
      <c r="G81" s="188"/>
      <c r="H81" s="188"/>
      <c r="I81" s="188"/>
      <c r="J81" s="188"/>
      <c r="K81" s="219">
        <v>573.04</v>
      </c>
      <c r="L81" s="188"/>
      <c r="M81" s="7"/>
      <c r="N81" s="7"/>
    </row>
    <row r="82" spans="1:14">
      <c r="A82" s="217" t="s">
        <v>141</v>
      </c>
      <c r="B82" s="230" t="s">
        <v>142</v>
      </c>
      <c r="C82" s="214" t="s">
        <v>470</v>
      </c>
      <c r="D82" s="215" t="s">
        <v>29</v>
      </c>
      <c r="E82" s="216" t="s">
        <v>30</v>
      </c>
      <c r="F82" s="188"/>
      <c r="G82" s="188"/>
      <c r="H82" s="188"/>
      <c r="I82" s="188"/>
      <c r="J82" s="188"/>
      <c r="K82" s="219">
        <v>0</v>
      </c>
      <c r="L82" s="188"/>
      <c r="M82" s="7"/>
      <c r="N82" s="7"/>
    </row>
    <row r="83" spans="1:14">
      <c r="A83" s="221" t="s">
        <v>143</v>
      </c>
      <c r="B83" s="230" t="s">
        <v>144</v>
      </c>
      <c r="C83" s="214" t="s">
        <v>470</v>
      </c>
      <c r="D83" s="215" t="s">
        <v>29</v>
      </c>
      <c r="E83" s="216" t="s">
        <v>30</v>
      </c>
      <c r="F83" s="188"/>
      <c r="G83" s="188"/>
      <c r="H83" s="188"/>
      <c r="I83" s="188"/>
      <c r="J83" s="188"/>
      <c r="K83" s="219">
        <v>477.14</v>
      </c>
      <c r="L83" s="188"/>
      <c r="M83" s="7"/>
      <c r="N83" s="7"/>
    </row>
    <row r="84" spans="1:14">
      <c r="A84" s="217" t="s">
        <v>510</v>
      </c>
      <c r="B84" s="230" t="s">
        <v>511</v>
      </c>
      <c r="C84" s="214" t="s">
        <v>470</v>
      </c>
      <c r="D84" s="215" t="s">
        <v>29</v>
      </c>
      <c r="E84" s="216" t="s">
        <v>30</v>
      </c>
      <c r="F84" s="188"/>
      <c r="G84" s="188"/>
      <c r="H84" s="188"/>
      <c r="I84" s="188"/>
      <c r="J84" s="188"/>
      <c r="K84" s="219">
        <v>0</v>
      </c>
      <c r="L84" s="188"/>
      <c r="M84" s="7"/>
      <c r="N84" s="7"/>
    </row>
    <row r="85" spans="1:14">
      <c r="A85" s="221" t="s">
        <v>60</v>
      </c>
      <c r="B85" s="230" t="s">
        <v>61</v>
      </c>
      <c r="C85" s="214" t="s">
        <v>470</v>
      </c>
      <c r="D85" s="215" t="s">
        <v>29</v>
      </c>
      <c r="E85" s="216" t="s">
        <v>30</v>
      </c>
      <c r="F85" s="188"/>
      <c r="G85" s="188"/>
      <c r="H85" s="188"/>
      <c r="I85" s="188"/>
      <c r="J85" s="188"/>
      <c r="K85" s="219">
        <v>0</v>
      </c>
      <c r="L85" s="188"/>
      <c r="M85" s="7"/>
      <c r="N85" s="7"/>
    </row>
    <row r="86" spans="1:14">
      <c r="A86" s="221" t="s">
        <v>62</v>
      </c>
      <c r="B86" s="230" t="s">
        <v>63</v>
      </c>
      <c r="C86" s="214" t="s">
        <v>470</v>
      </c>
      <c r="D86" s="215" t="s">
        <v>29</v>
      </c>
      <c r="E86" s="216" t="s">
        <v>30</v>
      </c>
      <c r="F86" s="188"/>
      <c r="G86" s="188"/>
      <c r="H86" s="188"/>
      <c r="I86" s="188"/>
      <c r="J86" s="188"/>
      <c r="K86" s="219">
        <v>9997.8</v>
      </c>
      <c r="L86" s="188"/>
      <c r="M86" s="7"/>
      <c r="N86" s="7"/>
    </row>
    <row r="87" spans="1:14">
      <c r="A87" s="221" t="s">
        <v>512</v>
      </c>
      <c r="B87" s="230" t="s">
        <v>513</v>
      </c>
      <c r="C87" s="214" t="s">
        <v>470</v>
      </c>
      <c r="D87" s="215" t="s">
        <v>29</v>
      </c>
      <c r="E87" s="216" t="s">
        <v>30</v>
      </c>
      <c r="F87" s="188"/>
      <c r="G87" s="188"/>
      <c r="H87" s="188"/>
      <c r="I87" s="188"/>
      <c r="J87" s="188"/>
      <c r="K87" s="219">
        <v>0</v>
      </c>
      <c r="L87" s="188"/>
      <c r="M87" s="7"/>
      <c r="N87" s="7"/>
    </row>
    <row r="88" spans="1:14">
      <c r="A88" s="217" t="s">
        <v>421</v>
      </c>
      <c r="B88" s="230" t="s">
        <v>422</v>
      </c>
      <c r="C88" s="214" t="s">
        <v>470</v>
      </c>
      <c r="D88" s="215" t="s">
        <v>29</v>
      </c>
      <c r="E88" s="216" t="s">
        <v>30</v>
      </c>
      <c r="F88" s="188"/>
      <c r="G88" s="188"/>
      <c r="H88" s="188"/>
      <c r="I88" s="188"/>
      <c r="J88" s="188"/>
      <c r="K88" s="219">
        <v>1248</v>
      </c>
      <c r="L88" s="188"/>
      <c r="M88" s="7"/>
      <c r="N88" s="7"/>
    </row>
    <row r="89" spans="1:14">
      <c r="A89" s="217" t="s">
        <v>255</v>
      </c>
      <c r="B89" s="230" t="s">
        <v>256</v>
      </c>
      <c r="C89" s="214" t="s">
        <v>470</v>
      </c>
      <c r="D89" s="215" t="s">
        <v>29</v>
      </c>
      <c r="E89" s="216" t="s">
        <v>30</v>
      </c>
      <c r="F89" s="188"/>
      <c r="G89" s="188"/>
      <c r="H89" s="188"/>
      <c r="I89" s="188"/>
      <c r="J89" s="188"/>
      <c r="K89" s="219">
        <v>1099.8</v>
      </c>
      <c r="L89" s="188"/>
      <c r="M89" s="7"/>
      <c r="N89" s="7"/>
    </row>
    <row r="90" spans="1:14">
      <c r="A90" s="221" t="s">
        <v>64</v>
      </c>
      <c r="B90" s="230" t="s">
        <v>65</v>
      </c>
      <c r="C90" s="214" t="s">
        <v>470</v>
      </c>
      <c r="D90" s="215" t="s">
        <v>29</v>
      </c>
      <c r="E90" s="216" t="s">
        <v>30</v>
      </c>
      <c r="F90" s="188"/>
      <c r="G90" s="188"/>
      <c r="H90" s="188"/>
      <c r="I90" s="188"/>
      <c r="J90" s="188"/>
      <c r="K90" s="219">
        <v>896.4</v>
      </c>
      <c r="L90" s="188"/>
      <c r="M90" s="7"/>
      <c r="N90" s="7"/>
    </row>
    <row r="91" spans="1:14">
      <c r="A91" s="221" t="s">
        <v>257</v>
      </c>
      <c r="B91" s="230" t="s">
        <v>258</v>
      </c>
      <c r="C91" s="214" t="s">
        <v>470</v>
      </c>
      <c r="D91" s="215" t="s">
        <v>29</v>
      </c>
      <c r="E91" s="216" t="s">
        <v>30</v>
      </c>
      <c r="F91" s="188"/>
      <c r="G91" s="188"/>
      <c r="H91" s="188"/>
      <c r="I91" s="188"/>
      <c r="J91" s="188"/>
      <c r="K91" s="219">
        <v>0</v>
      </c>
      <c r="L91" s="188"/>
      <c r="M91" s="7"/>
      <c r="N91" s="7"/>
    </row>
    <row r="92" spans="1:14">
      <c r="A92" s="221" t="s">
        <v>311</v>
      </c>
      <c r="B92" s="230" t="s">
        <v>312</v>
      </c>
      <c r="C92" s="214" t="s">
        <v>470</v>
      </c>
      <c r="D92" s="215" t="s">
        <v>29</v>
      </c>
      <c r="E92" s="216" t="s">
        <v>30</v>
      </c>
      <c r="F92" s="188"/>
      <c r="G92" s="188"/>
      <c r="H92" s="188"/>
      <c r="I92" s="188"/>
      <c r="J92" s="188"/>
      <c r="K92" s="219">
        <v>0</v>
      </c>
      <c r="L92" s="188"/>
      <c r="M92" s="7"/>
      <c r="N92" s="7"/>
    </row>
    <row r="93" spans="1:14">
      <c r="A93" s="221" t="s">
        <v>145</v>
      </c>
      <c r="B93" s="230" t="s">
        <v>146</v>
      </c>
      <c r="C93" s="214" t="s">
        <v>470</v>
      </c>
      <c r="D93" s="215" t="s">
        <v>29</v>
      </c>
      <c r="E93" s="216" t="s">
        <v>30</v>
      </c>
      <c r="F93" s="188"/>
      <c r="G93" s="188"/>
      <c r="H93" s="188"/>
      <c r="I93" s="188"/>
      <c r="J93" s="188"/>
      <c r="K93" s="219">
        <v>1158</v>
      </c>
      <c r="L93" s="188"/>
      <c r="M93" s="7"/>
      <c r="N93" s="7"/>
    </row>
    <row r="94" spans="1:14">
      <c r="A94" s="221" t="s">
        <v>514</v>
      </c>
      <c r="B94" s="230" t="s">
        <v>515</v>
      </c>
      <c r="C94" s="214" t="s">
        <v>470</v>
      </c>
      <c r="D94" s="215" t="s">
        <v>29</v>
      </c>
      <c r="E94" s="216" t="s">
        <v>30</v>
      </c>
      <c r="F94" s="188"/>
      <c r="G94" s="188"/>
      <c r="H94" s="188"/>
      <c r="I94" s="188"/>
      <c r="J94" s="188"/>
      <c r="K94" s="219">
        <v>0</v>
      </c>
      <c r="L94" s="188"/>
      <c r="M94" s="7"/>
      <c r="N94" s="7"/>
    </row>
    <row r="95" spans="1:14">
      <c r="A95" s="221" t="s">
        <v>423</v>
      </c>
      <c r="B95" s="230" t="s">
        <v>424</v>
      </c>
      <c r="C95" s="214" t="s">
        <v>470</v>
      </c>
      <c r="D95" s="215" t="s">
        <v>29</v>
      </c>
      <c r="E95" s="216" t="s">
        <v>30</v>
      </c>
      <c r="F95" s="188"/>
      <c r="G95" s="188"/>
      <c r="H95" s="188"/>
      <c r="I95" s="188"/>
      <c r="J95" s="188"/>
      <c r="K95" s="219">
        <v>0</v>
      </c>
      <c r="L95" s="188"/>
      <c r="M95" s="7"/>
      <c r="N95" s="7"/>
    </row>
    <row r="96" spans="1:14">
      <c r="A96" s="217" t="s">
        <v>66</v>
      </c>
      <c r="B96" s="230" t="s">
        <v>67</v>
      </c>
      <c r="C96" s="214" t="s">
        <v>470</v>
      </c>
      <c r="D96" s="215" t="s">
        <v>29</v>
      </c>
      <c r="E96" s="216" t="s">
        <v>30</v>
      </c>
      <c r="F96" s="188"/>
      <c r="G96" s="188"/>
      <c r="H96" s="188"/>
      <c r="I96" s="188"/>
      <c r="J96" s="188"/>
      <c r="K96" s="219">
        <v>2116.8</v>
      </c>
      <c r="L96" s="188"/>
      <c r="M96" s="7"/>
      <c r="N96" s="7"/>
    </row>
    <row r="97" spans="1:14">
      <c r="A97" s="217" t="s">
        <v>68</v>
      </c>
      <c r="B97" s="230" t="s">
        <v>69</v>
      </c>
      <c r="C97" s="214" t="s">
        <v>470</v>
      </c>
      <c r="D97" s="215" t="s">
        <v>29</v>
      </c>
      <c r="E97" s="216" t="s">
        <v>30</v>
      </c>
      <c r="F97" s="188"/>
      <c r="G97" s="188"/>
      <c r="H97" s="188"/>
      <c r="I97" s="188"/>
      <c r="J97" s="188"/>
      <c r="K97" s="219">
        <v>3307.2</v>
      </c>
      <c r="L97" s="188"/>
      <c r="M97" s="7"/>
      <c r="N97" s="7"/>
    </row>
    <row r="98" spans="1:14">
      <c r="A98" s="222" t="s">
        <v>516</v>
      </c>
      <c r="B98" s="223" t="s">
        <v>517</v>
      </c>
      <c r="C98" s="214" t="s">
        <v>470</v>
      </c>
      <c r="D98" s="215" t="s">
        <v>29</v>
      </c>
      <c r="E98" s="216" t="s">
        <v>30</v>
      </c>
      <c r="F98" s="188"/>
      <c r="G98" s="188"/>
      <c r="H98" s="188"/>
      <c r="I98" s="188"/>
      <c r="J98" s="188"/>
      <c r="K98" s="219">
        <v>0</v>
      </c>
      <c r="L98" s="188"/>
      <c r="M98" s="7"/>
      <c r="N98" s="7"/>
    </row>
    <row r="99" spans="1:14">
      <c r="A99" s="226" t="s">
        <v>147</v>
      </c>
      <c r="B99" s="227" t="s">
        <v>148</v>
      </c>
      <c r="C99" s="214" t="s">
        <v>470</v>
      </c>
      <c r="D99" s="215" t="s">
        <v>29</v>
      </c>
      <c r="E99" s="216" t="s">
        <v>30</v>
      </c>
      <c r="F99" s="188"/>
      <c r="G99" s="188"/>
      <c r="H99" s="188"/>
      <c r="I99" s="188"/>
      <c r="J99" s="188"/>
      <c r="K99" s="219">
        <v>1247.4</v>
      </c>
      <c r="L99" s="188"/>
      <c r="M99" s="7"/>
      <c r="N99" s="7"/>
    </row>
    <row r="100" spans="1:14">
      <c r="A100" s="221" t="s">
        <v>259</v>
      </c>
      <c r="B100" s="230" t="s">
        <v>260</v>
      </c>
      <c r="C100" s="214" t="s">
        <v>470</v>
      </c>
      <c r="D100" s="215" t="s">
        <v>29</v>
      </c>
      <c r="E100" s="216" t="s">
        <v>30</v>
      </c>
      <c r="F100" s="188"/>
      <c r="G100" s="188"/>
      <c r="H100" s="188"/>
      <c r="I100" s="188"/>
      <c r="J100" s="188"/>
      <c r="K100" s="219">
        <v>0</v>
      </c>
      <c r="L100" s="188"/>
      <c r="M100" s="7"/>
      <c r="N100" s="7"/>
    </row>
    <row r="101" spans="1:14">
      <c r="A101" s="217" t="s">
        <v>70</v>
      </c>
      <c r="B101" s="230" t="s">
        <v>71</v>
      </c>
      <c r="C101" s="214" t="s">
        <v>470</v>
      </c>
      <c r="D101" s="215" t="s">
        <v>29</v>
      </c>
      <c r="E101" s="216" t="s">
        <v>30</v>
      </c>
      <c r="F101" s="188"/>
      <c r="G101" s="188"/>
      <c r="H101" s="188"/>
      <c r="I101" s="188"/>
      <c r="J101" s="188"/>
      <c r="K101" s="219">
        <v>1206.4</v>
      </c>
      <c r="L101" s="188"/>
      <c r="M101" s="7"/>
      <c r="N101" s="7"/>
    </row>
    <row r="102" spans="1:14">
      <c r="A102" s="221" t="s">
        <v>261</v>
      </c>
      <c r="B102" s="230" t="s">
        <v>262</v>
      </c>
      <c r="C102" s="214" t="s">
        <v>470</v>
      </c>
      <c r="D102" s="215" t="s">
        <v>29</v>
      </c>
      <c r="E102" s="216" t="s">
        <v>30</v>
      </c>
      <c r="F102" s="188"/>
      <c r="G102" s="188"/>
      <c r="H102" s="188"/>
      <c r="I102" s="188"/>
      <c r="J102" s="188"/>
      <c r="K102" s="219">
        <v>0</v>
      </c>
      <c r="L102" s="188"/>
      <c r="M102" s="7"/>
      <c r="N102" s="7"/>
    </row>
    <row r="103" spans="1:14">
      <c r="A103" s="217" t="s">
        <v>263</v>
      </c>
      <c r="B103" s="230" t="s">
        <v>264</v>
      </c>
      <c r="C103" s="214" t="s">
        <v>470</v>
      </c>
      <c r="D103" s="215" t="s">
        <v>29</v>
      </c>
      <c r="E103" s="216" t="s">
        <v>30</v>
      </c>
      <c r="F103" s="188"/>
      <c r="G103" s="188"/>
      <c r="H103" s="188"/>
      <c r="I103" s="188"/>
      <c r="J103" s="188"/>
      <c r="K103" s="219">
        <v>540.8</v>
      </c>
      <c r="L103" s="188"/>
      <c r="M103" s="7"/>
      <c r="N103" s="7"/>
    </row>
    <row r="104" spans="1:14">
      <c r="A104" s="217" t="s">
        <v>72</v>
      </c>
      <c r="B104" s="230" t="s">
        <v>73</v>
      </c>
      <c r="C104" s="214" t="s">
        <v>470</v>
      </c>
      <c r="D104" s="215" t="s">
        <v>29</v>
      </c>
      <c r="E104" s="216" t="s">
        <v>30</v>
      </c>
      <c r="F104" s="188"/>
      <c r="G104" s="188"/>
      <c r="H104" s="188"/>
      <c r="I104" s="188"/>
      <c r="J104" s="188"/>
      <c r="K104" s="219">
        <v>239.52</v>
      </c>
      <c r="L104" s="188"/>
      <c r="M104" s="7"/>
      <c r="N104" s="7"/>
    </row>
    <row r="105" spans="1:14">
      <c r="A105" s="221" t="s">
        <v>190</v>
      </c>
      <c r="B105" s="230" t="s">
        <v>191</v>
      </c>
      <c r="C105" s="214" t="s">
        <v>470</v>
      </c>
      <c r="D105" s="215" t="s">
        <v>29</v>
      </c>
      <c r="E105" s="216" t="s">
        <v>30</v>
      </c>
      <c r="F105" s="188"/>
      <c r="G105" s="188"/>
      <c r="H105" s="188"/>
      <c r="I105" s="188"/>
      <c r="J105" s="188"/>
      <c r="K105" s="219">
        <v>533.92</v>
      </c>
      <c r="L105" s="188"/>
      <c r="M105" s="7"/>
      <c r="N105" s="7"/>
    </row>
    <row r="106" spans="1:14">
      <c r="A106" s="217" t="s">
        <v>74</v>
      </c>
      <c r="B106" s="230" t="s">
        <v>75</v>
      </c>
      <c r="C106" s="214" t="s">
        <v>470</v>
      </c>
      <c r="D106" s="215" t="s">
        <v>29</v>
      </c>
      <c r="E106" s="216" t="s">
        <v>30</v>
      </c>
      <c r="F106" s="188"/>
      <c r="G106" s="188"/>
      <c r="H106" s="188"/>
      <c r="I106" s="188"/>
      <c r="J106" s="188"/>
      <c r="K106" s="219">
        <v>2912</v>
      </c>
      <c r="L106" s="188"/>
      <c r="M106" s="7"/>
      <c r="N106" s="7"/>
    </row>
    <row r="107" spans="1:14">
      <c r="A107" s="221" t="s">
        <v>390</v>
      </c>
      <c r="B107" s="223" t="s">
        <v>391</v>
      </c>
      <c r="C107" s="214" t="s">
        <v>470</v>
      </c>
      <c r="D107" s="215" t="s">
        <v>29</v>
      </c>
      <c r="E107" s="216" t="s">
        <v>30</v>
      </c>
      <c r="F107" s="188"/>
      <c r="G107" s="188"/>
      <c r="H107" s="188"/>
      <c r="I107" s="188"/>
      <c r="J107" s="188"/>
      <c r="K107" s="219">
        <v>1776.32</v>
      </c>
      <c r="L107" s="188"/>
      <c r="M107" s="7"/>
      <c r="N107" s="7"/>
    </row>
    <row r="108" spans="1:14">
      <c r="A108" s="221" t="s">
        <v>265</v>
      </c>
      <c r="B108" s="225" t="s">
        <v>266</v>
      </c>
      <c r="C108" s="214" t="s">
        <v>470</v>
      </c>
      <c r="D108" s="215" t="s">
        <v>29</v>
      </c>
      <c r="E108" s="216" t="s">
        <v>30</v>
      </c>
      <c r="F108" s="188"/>
      <c r="G108" s="188"/>
      <c r="H108" s="188"/>
      <c r="I108" s="188"/>
      <c r="J108" s="188"/>
      <c r="K108" s="219">
        <v>222.96</v>
      </c>
      <c r="L108" s="188"/>
      <c r="M108" s="7"/>
      <c r="N108" s="7"/>
    </row>
    <row r="109" spans="1:14">
      <c r="A109" s="221" t="s">
        <v>149</v>
      </c>
      <c r="B109" s="227" t="s">
        <v>150</v>
      </c>
      <c r="C109" s="214" t="s">
        <v>470</v>
      </c>
      <c r="D109" s="215" t="s">
        <v>29</v>
      </c>
      <c r="E109" s="216" t="s">
        <v>30</v>
      </c>
      <c r="F109" s="188"/>
      <c r="G109" s="188"/>
      <c r="H109" s="188"/>
      <c r="I109" s="188"/>
      <c r="J109" s="188"/>
      <c r="K109" s="219">
        <v>582.4</v>
      </c>
      <c r="L109" s="188"/>
      <c r="M109" s="7"/>
      <c r="N109" s="7"/>
    </row>
    <row r="110" spans="1:14">
      <c r="A110" s="217" t="s">
        <v>425</v>
      </c>
      <c r="B110" s="230" t="s">
        <v>426</v>
      </c>
      <c r="C110" s="214" t="s">
        <v>470</v>
      </c>
      <c r="D110" s="215" t="s">
        <v>29</v>
      </c>
      <c r="E110" s="216" t="s">
        <v>30</v>
      </c>
      <c r="F110" s="188"/>
      <c r="G110" s="188"/>
      <c r="H110" s="188"/>
      <c r="I110" s="188"/>
      <c r="J110" s="188"/>
      <c r="K110" s="219">
        <v>0</v>
      </c>
      <c r="L110" s="188"/>
      <c r="M110" s="7"/>
      <c r="N110" s="7"/>
    </row>
    <row r="111" spans="1:14">
      <c r="A111" s="217" t="s">
        <v>518</v>
      </c>
      <c r="B111" s="230" t="s">
        <v>519</v>
      </c>
      <c r="C111" s="214" t="s">
        <v>470</v>
      </c>
      <c r="D111" s="215" t="s">
        <v>29</v>
      </c>
      <c r="E111" s="216" t="s">
        <v>30</v>
      </c>
      <c r="F111" s="188"/>
      <c r="G111" s="188"/>
      <c r="H111" s="188"/>
      <c r="I111" s="188"/>
      <c r="J111" s="188"/>
      <c r="K111" s="219">
        <v>0</v>
      </c>
      <c r="L111" s="188"/>
      <c r="M111" s="7"/>
      <c r="N111" s="7"/>
    </row>
    <row r="112" spans="1:14">
      <c r="A112" s="217" t="s">
        <v>76</v>
      </c>
      <c r="B112" s="230" t="s">
        <v>77</v>
      </c>
      <c r="C112" s="214" t="s">
        <v>470</v>
      </c>
      <c r="D112" s="215" t="s">
        <v>29</v>
      </c>
      <c r="E112" s="216" t="s">
        <v>30</v>
      </c>
      <c r="F112" s="188"/>
      <c r="G112" s="188"/>
      <c r="H112" s="188"/>
      <c r="I112" s="188"/>
      <c r="J112" s="188"/>
      <c r="K112" s="219">
        <v>4447.2</v>
      </c>
      <c r="L112" s="188"/>
      <c r="M112" s="7"/>
      <c r="N112" s="7"/>
    </row>
    <row r="113" spans="1:14">
      <c r="A113" s="217" t="s">
        <v>192</v>
      </c>
      <c r="B113" s="230" t="s">
        <v>193</v>
      </c>
      <c r="C113" s="214" t="s">
        <v>470</v>
      </c>
      <c r="D113" s="215" t="s">
        <v>29</v>
      </c>
      <c r="E113" s="216" t="s">
        <v>30</v>
      </c>
      <c r="F113" s="188"/>
      <c r="G113" s="188"/>
      <c r="H113" s="188"/>
      <c r="I113" s="188"/>
      <c r="J113" s="188"/>
      <c r="K113" s="219">
        <v>7113.6</v>
      </c>
      <c r="L113" s="188"/>
      <c r="M113" s="7"/>
      <c r="N113" s="7"/>
    </row>
    <row r="114" spans="1:14">
      <c r="A114" s="217" t="s">
        <v>194</v>
      </c>
      <c r="B114" s="230" t="s">
        <v>195</v>
      </c>
      <c r="C114" s="214" t="s">
        <v>470</v>
      </c>
      <c r="D114" s="215" t="s">
        <v>29</v>
      </c>
      <c r="E114" s="216" t="s">
        <v>30</v>
      </c>
      <c r="F114" s="188"/>
      <c r="G114" s="188"/>
      <c r="H114" s="188"/>
      <c r="I114" s="188"/>
      <c r="J114" s="188"/>
      <c r="K114" s="219">
        <v>3120</v>
      </c>
      <c r="L114" s="188"/>
      <c r="M114" s="7"/>
      <c r="N114" s="7"/>
    </row>
    <row r="115" spans="1:14">
      <c r="A115" s="217" t="s">
        <v>267</v>
      </c>
      <c r="B115" s="230" t="s">
        <v>268</v>
      </c>
      <c r="C115" s="214" t="s">
        <v>470</v>
      </c>
      <c r="D115" s="215" t="s">
        <v>29</v>
      </c>
      <c r="E115" s="216" t="s">
        <v>30</v>
      </c>
      <c r="F115" s="188"/>
      <c r="G115" s="188"/>
      <c r="H115" s="188"/>
      <c r="I115" s="188"/>
      <c r="J115" s="188"/>
      <c r="K115" s="219">
        <v>0</v>
      </c>
      <c r="L115" s="188"/>
      <c r="M115" s="7"/>
      <c r="N115" s="7"/>
    </row>
    <row r="116" spans="1:14">
      <c r="A116" s="217"/>
      <c r="B116" s="230" t="s">
        <v>520</v>
      </c>
      <c r="C116" s="214" t="s">
        <v>470</v>
      </c>
      <c r="D116" s="215" t="s">
        <v>29</v>
      </c>
      <c r="E116" s="216" t="s">
        <v>30</v>
      </c>
      <c r="F116" s="188"/>
      <c r="G116" s="188"/>
      <c r="H116" s="188"/>
      <c r="I116" s="188"/>
      <c r="J116" s="188"/>
      <c r="K116" s="219">
        <v>18600</v>
      </c>
      <c r="L116" s="188"/>
      <c r="M116" s="7"/>
      <c r="N116" s="7"/>
    </row>
    <row r="117" spans="1:14">
      <c r="A117" s="217" t="s">
        <v>269</v>
      </c>
      <c r="B117" s="230" t="s">
        <v>270</v>
      </c>
      <c r="C117" s="214" t="s">
        <v>470</v>
      </c>
      <c r="D117" s="215" t="s">
        <v>29</v>
      </c>
      <c r="E117" s="216" t="s">
        <v>30</v>
      </c>
      <c r="F117" s="188"/>
      <c r="G117" s="188"/>
      <c r="H117" s="188"/>
      <c r="I117" s="188"/>
      <c r="J117" s="188"/>
      <c r="K117" s="219">
        <v>23853.6</v>
      </c>
      <c r="L117" s="188"/>
      <c r="M117" s="7"/>
      <c r="N117" s="7"/>
    </row>
    <row r="118" spans="1:14">
      <c r="A118" s="217" t="s">
        <v>427</v>
      </c>
      <c r="B118" s="230" t="s">
        <v>428</v>
      </c>
      <c r="C118" s="214" t="s">
        <v>470</v>
      </c>
      <c r="D118" s="215" t="s">
        <v>29</v>
      </c>
      <c r="E118" s="216" t="s">
        <v>30</v>
      </c>
      <c r="F118" s="188"/>
      <c r="G118" s="188"/>
      <c r="H118" s="188"/>
      <c r="I118" s="188"/>
      <c r="J118" s="188"/>
      <c r="K118" s="219">
        <v>34052.4</v>
      </c>
      <c r="L118" s="188"/>
      <c r="M118" s="7"/>
      <c r="N118" s="7"/>
    </row>
    <row r="119" spans="1:14">
      <c r="A119" s="217" t="s">
        <v>271</v>
      </c>
      <c r="B119" s="230" t="s">
        <v>272</v>
      </c>
      <c r="C119" s="214" t="s">
        <v>470</v>
      </c>
      <c r="D119" s="215" t="s">
        <v>29</v>
      </c>
      <c r="E119" s="216" t="s">
        <v>30</v>
      </c>
      <c r="F119" s="188"/>
      <c r="G119" s="188"/>
      <c r="H119" s="188"/>
      <c r="I119" s="188"/>
      <c r="J119" s="188"/>
      <c r="K119" s="219">
        <v>4545.42</v>
      </c>
      <c r="L119" s="188"/>
      <c r="M119" s="7"/>
      <c r="N119" s="7"/>
    </row>
    <row r="120" spans="1:14">
      <c r="A120" s="217" t="s">
        <v>78</v>
      </c>
      <c r="B120" s="230" t="s">
        <v>79</v>
      </c>
      <c r="C120" s="214" t="s">
        <v>470</v>
      </c>
      <c r="D120" s="215" t="s">
        <v>29</v>
      </c>
      <c r="E120" s="216" t="s">
        <v>30</v>
      </c>
      <c r="F120" s="188"/>
      <c r="G120" s="188"/>
      <c r="H120" s="188"/>
      <c r="I120" s="188"/>
      <c r="J120" s="188"/>
      <c r="K120" s="219">
        <v>9534.6</v>
      </c>
      <c r="L120" s="188"/>
      <c r="M120" s="7"/>
      <c r="N120" s="7"/>
    </row>
    <row r="121" spans="1:14">
      <c r="A121" s="217" t="s">
        <v>352</v>
      </c>
      <c r="B121" s="232" t="s">
        <v>353</v>
      </c>
      <c r="C121" s="214" t="s">
        <v>470</v>
      </c>
      <c r="D121" s="215" t="s">
        <v>29</v>
      </c>
      <c r="E121" s="216" t="s">
        <v>30</v>
      </c>
      <c r="F121" s="188"/>
      <c r="G121" s="188"/>
      <c r="H121" s="188"/>
      <c r="I121" s="188"/>
      <c r="J121" s="188"/>
      <c r="K121" s="219">
        <v>0</v>
      </c>
      <c r="L121" s="188"/>
      <c r="M121" s="7"/>
      <c r="N121" s="7"/>
    </row>
    <row r="122" spans="1:14">
      <c r="A122" s="217" t="s">
        <v>521</v>
      </c>
      <c r="B122" s="232" t="s">
        <v>522</v>
      </c>
      <c r="C122" s="214" t="s">
        <v>470</v>
      </c>
      <c r="D122" s="215" t="s">
        <v>29</v>
      </c>
      <c r="E122" s="216" t="s">
        <v>30</v>
      </c>
      <c r="F122" s="188"/>
      <c r="G122" s="188"/>
      <c r="H122" s="188"/>
      <c r="I122" s="188"/>
      <c r="J122" s="188"/>
      <c r="K122" s="219">
        <v>1961</v>
      </c>
      <c r="L122" s="188"/>
      <c r="M122" s="7"/>
      <c r="N122" s="7"/>
    </row>
    <row r="123" spans="1:14">
      <c r="A123" s="217" t="s">
        <v>80</v>
      </c>
      <c r="B123" s="230" t="s">
        <v>81</v>
      </c>
      <c r="C123" s="214" t="s">
        <v>470</v>
      </c>
      <c r="D123" s="215" t="s">
        <v>29</v>
      </c>
      <c r="E123" s="216" t="s">
        <v>30</v>
      </c>
      <c r="F123" s="188"/>
      <c r="G123" s="188"/>
      <c r="H123" s="188"/>
      <c r="I123" s="188"/>
      <c r="J123" s="188"/>
      <c r="K123" s="219">
        <v>2496</v>
      </c>
      <c r="L123" s="188"/>
      <c r="M123" s="7"/>
      <c r="N123" s="7"/>
    </row>
    <row r="124" spans="1:14">
      <c r="A124" s="217" t="s">
        <v>82</v>
      </c>
      <c r="B124" s="230" t="s">
        <v>83</v>
      </c>
      <c r="C124" s="214" t="s">
        <v>470</v>
      </c>
      <c r="D124" s="215" t="s">
        <v>29</v>
      </c>
      <c r="E124" s="216" t="s">
        <v>30</v>
      </c>
      <c r="F124" s="188"/>
      <c r="G124" s="188"/>
      <c r="H124" s="188"/>
      <c r="I124" s="188"/>
      <c r="J124" s="188"/>
      <c r="K124" s="219">
        <v>4160</v>
      </c>
      <c r="L124" s="188"/>
      <c r="M124" s="7"/>
      <c r="N124" s="7"/>
    </row>
    <row r="125" spans="1:14">
      <c r="A125" s="217" t="s">
        <v>523</v>
      </c>
      <c r="B125" s="232" t="s">
        <v>524</v>
      </c>
      <c r="C125" s="214" t="s">
        <v>470</v>
      </c>
      <c r="D125" s="215" t="s">
        <v>29</v>
      </c>
      <c r="E125" s="216" t="s">
        <v>30</v>
      </c>
      <c r="F125" s="188"/>
      <c r="G125" s="188"/>
      <c r="H125" s="188"/>
      <c r="I125" s="188"/>
      <c r="J125" s="188"/>
      <c r="K125" s="219">
        <v>0</v>
      </c>
      <c r="L125" s="188"/>
      <c r="M125" s="7"/>
      <c r="N125" s="7"/>
    </row>
    <row r="126" spans="1:14">
      <c r="A126" s="217" t="s">
        <v>196</v>
      </c>
      <c r="B126" s="230" t="s">
        <v>197</v>
      </c>
      <c r="C126" s="214" t="s">
        <v>470</v>
      </c>
      <c r="D126" s="215" t="s">
        <v>29</v>
      </c>
      <c r="E126" s="216" t="s">
        <v>30</v>
      </c>
      <c r="F126" s="188"/>
      <c r="G126" s="188"/>
      <c r="H126" s="188"/>
      <c r="I126" s="188"/>
      <c r="J126" s="188"/>
      <c r="K126" s="219">
        <v>4056</v>
      </c>
      <c r="L126" s="188"/>
      <c r="M126" s="7"/>
      <c r="N126" s="7"/>
    </row>
    <row r="127" spans="1:14">
      <c r="A127" s="217" t="s">
        <v>84</v>
      </c>
      <c r="B127" s="230" t="s">
        <v>85</v>
      </c>
      <c r="C127" s="214" t="s">
        <v>470</v>
      </c>
      <c r="D127" s="215" t="s">
        <v>29</v>
      </c>
      <c r="E127" s="216" t="s">
        <v>30</v>
      </c>
      <c r="F127" s="188"/>
      <c r="G127" s="188"/>
      <c r="H127" s="188"/>
      <c r="I127" s="188"/>
      <c r="J127" s="188"/>
      <c r="K127" s="219">
        <v>20716.8</v>
      </c>
      <c r="L127" s="188"/>
      <c r="M127" s="7"/>
      <c r="N127" s="7"/>
    </row>
    <row r="128" spans="1:14">
      <c r="A128" s="217" t="s">
        <v>273</v>
      </c>
      <c r="B128" s="230" t="s">
        <v>274</v>
      </c>
      <c r="C128" s="214" t="s">
        <v>470</v>
      </c>
      <c r="D128" s="215" t="s">
        <v>29</v>
      </c>
      <c r="E128" s="216" t="s">
        <v>30</v>
      </c>
      <c r="F128" s="188"/>
      <c r="G128" s="188"/>
      <c r="H128" s="188"/>
      <c r="I128" s="188"/>
      <c r="J128" s="188"/>
      <c r="K128" s="219">
        <v>19404</v>
      </c>
      <c r="L128" s="188"/>
      <c r="M128" s="7"/>
      <c r="N128" s="7"/>
    </row>
    <row r="129" spans="1:14">
      <c r="A129" s="217" t="s">
        <v>151</v>
      </c>
      <c r="B129" s="230" t="s">
        <v>152</v>
      </c>
      <c r="C129" s="214" t="s">
        <v>470</v>
      </c>
      <c r="D129" s="215" t="s">
        <v>29</v>
      </c>
      <c r="E129" s="216" t="s">
        <v>30</v>
      </c>
      <c r="F129" s="188"/>
      <c r="G129" s="188"/>
      <c r="H129" s="188"/>
      <c r="I129" s="188"/>
      <c r="J129" s="188"/>
      <c r="K129" s="219">
        <v>1951.04</v>
      </c>
      <c r="L129" s="188"/>
      <c r="M129" s="7"/>
      <c r="N129" s="7"/>
    </row>
    <row r="130" spans="1:14">
      <c r="A130" s="217"/>
      <c r="B130" s="230" t="s">
        <v>525</v>
      </c>
      <c r="C130" s="214" t="s">
        <v>470</v>
      </c>
      <c r="D130" s="215" t="s">
        <v>29</v>
      </c>
      <c r="E130" s="216" t="s">
        <v>30</v>
      </c>
      <c r="F130" s="188"/>
      <c r="G130" s="188"/>
      <c r="H130" s="188"/>
      <c r="I130" s="188"/>
      <c r="J130" s="188"/>
      <c r="K130" s="219">
        <v>60000</v>
      </c>
      <c r="L130" s="188"/>
      <c r="M130" s="7"/>
      <c r="N130" s="7"/>
    </row>
    <row r="131" spans="1:14">
      <c r="A131" s="217"/>
      <c r="B131" s="230" t="s">
        <v>526</v>
      </c>
      <c r="C131" s="214" t="s">
        <v>470</v>
      </c>
      <c r="D131" s="215" t="s">
        <v>29</v>
      </c>
      <c r="E131" s="216" t="s">
        <v>30</v>
      </c>
      <c r="F131" s="188"/>
      <c r="G131" s="188"/>
      <c r="H131" s="188"/>
      <c r="I131" s="188"/>
      <c r="J131" s="188"/>
      <c r="K131" s="219">
        <v>40500</v>
      </c>
      <c r="L131" s="188"/>
      <c r="M131" s="7"/>
      <c r="N131" s="7"/>
    </row>
    <row r="132" spans="1:14">
      <c r="A132" s="222"/>
      <c r="B132" s="223" t="s">
        <v>527</v>
      </c>
      <c r="C132" s="214" t="s">
        <v>470</v>
      </c>
      <c r="D132" s="215" t="s">
        <v>29</v>
      </c>
      <c r="E132" s="216" t="s">
        <v>30</v>
      </c>
      <c r="F132" s="188"/>
      <c r="G132" s="188"/>
      <c r="H132" s="188"/>
      <c r="I132" s="188"/>
      <c r="J132" s="188"/>
      <c r="K132" s="219">
        <v>40500</v>
      </c>
      <c r="L132" s="188"/>
      <c r="M132" s="7"/>
      <c r="N132" s="7"/>
    </row>
    <row r="133" spans="1:14">
      <c r="A133" s="226"/>
      <c r="B133" s="227" t="s">
        <v>528</v>
      </c>
      <c r="C133" s="214" t="s">
        <v>470</v>
      </c>
      <c r="D133" s="215" t="s">
        <v>29</v>
      </c>
      <c r="E133" s="216" t="s">
        <v>30</v>
      </c>
      <c r="F133" s="188"/>
      <c r="G133" s="188"/>
      <c r="H133" s="188"/>
      <c r="I133" s="188"/>
      <c r="J133" s="188"/>
      <c r="K133" s="219">
        <v>40500</v>
      </c>
      <c r="L133" s="188"/>
      <c r="M133" s="7"/>
      <c r="N133" s="7"/>
    </row>
    <row r="134" spans="1:14">
      <c r="A134" s="217"/>
      <c r="B134" s="230" t="s">
        <v>529</v>
      </c>
      <c r="C134" s="214" t="s">
        <v>470</v>
      </c>
      <c r="D134" s="215" t="s">
        <v>29</v>
      </c>
      <c r="E134" s="216" t="s">
        <v>30</v>
      </c>
      <c r="F134" s="188"/>
      <c r="G134" s="188"/>
      <c r="H134" s="188"/>
      <c r="I134" s="188"/>
      <c r="J134" s="188"/>
      <c r="K134" s="219">
        <v>24000</v>
      </c>
      <c r="L134" s="188"/>
      <c r="M134" s="7"/>
      <c r="N134" s="7"/>
    </row>
    <row r="135" spans="1:14">
      <c r="A135" s="217"/>
      <c r="B135" s="230" t="s">
        <v>530</v>
      </c>
      <c r="C135" s="214" t="s">
        <v>470</v>
      </c>
      <c r="D135" s="215" t="s">
        <v>29</v>
      </c>
      <c r="E135" s="216" t="s">
        <v>30</v>
      </c>
      <c r="F135" s="188"/>
      <c r="G135" s="188"/>
      <c r="H135" s="188"/>
      <c r="I135" s="188"/>
      <c r="J135" s="188"/>
      <c r="K135" s="219">
        <v>21600</v>
      </c>
      <c r="L135" s="188"/>
      <c r="M135" s="7"/>
      <c r="N135" s="7"/>
    </row>
    <row r="136" spans="1:14">
      <c r="A136" s="217"/>
      <c r="B136" s="230" t="s">
        <v>531</v>
      </c>
      <c r="C136" s="214" t="s">
        <v>470</v>
      </c>
      <c r="D136" s="215" t="s">
        <v>29</v>
      </c>
      <c r="E136" s="216" t="s">
        <v>30</v>
      </c>
      <c r="F136" s="188"/>
      <c r="G136" s="188"/>
      <c r="H136" s="188"/>
      <c r="I136" s="188"/>
      <c r="J136" s="188"/>
      <c r="K136" s="219">
        <v>21600</v>
      </c>
      <c r="L136" s="188"/>
      <c r="M136" s="7"/>
      <c r="N136" s="7"/>
    </row>
    <row r="137" spans="1:14">
      <c r="A137" s="217"/>
      <c r="B137" s="230" t="s">
        <v>532</v>
      </c>
      <c r="C137" s="214" t="s">
        <v>470</v>
      </c>
      <c r="D137" s="215" t="s">
        <v>29</v>
      </c>
      <c r="E137" s="216" t="s">
        <v>30</v>
      </c>
      <c r="F137" s="188"/>
      <c r="G137" s="188"/>
      <c r="H137" s="188"/>
      <c r="I137" s="188"/>
      <c r="J137" s="188"/>
      <c r="K137" s="219">
        <v>21600</v>
      </c>
      <c r="L137" s="188"/>
      <c r="M137" s="7"/>
      <c r="N137" s="7"/>
    </row>
    <row r="138" spans="1:14">
      <c r="A138" s="217"/>
      <c r="B138" s="230" t="s">
        <v>533</v>
      </c>
      <c r="C138" s="214" t="s">
        <v>470</v>
      </c>
      <c r="D138" s="215" t="s">
        <v>29</v>
      </c>
      <c r="E138" s="216" t="s">
        <v>30</v>
      </c>
      <c r="F138" s="188"/>
      <c r="G138" s="188"/>
      <c r="H138" s="188"/>
      <c r="I138" s="188"/>
      <c r="J138" s="188"/>
      <c r="K138" s="219">
        <v>15000</v>
      </c>
      <c r="L138" s="188"/>
      <c r="M138" s="7"/>
      <c r="N138" s="7"/>
    </row>
    <row r="139" spans="1:14">
      <c r="A139" s="217"/>
      <c r="B139" s="230" t="s">
        <v>534</v>
      </c>
      <c r="C139" s="214" t="s">
        <v>470</v>
      </c>
      <c r="D139" s="215" t="s">
        <v>29</v>
      </c>
      <c r="E139" s="216" t="s">
        <v>30</v>
      </c>
      <c r="F139" s="188"/>
      <c r="G139" s="188"/>
      <c r="H139" s="188"/>
      <c r="I139" s="188"/>
      <c r="J139" s="188"/>
      <c r="K139" s="219">
        <v>94800</v>
      </c>
      <c r="L139" s="188"/>
      <c r="M139" s="7"/>
      <c r="N139" s="7"/>
    </row>
    <row r="140" spans="1:14">
      <c r="A140" s="217"/>
      <c r="B140" s="230" t="s">
        <v>535</v>
      </c>
      <c r="C140" s="214" t="s">
        <v>470</v>
      </c>
      <c r="D140" s="215" t="s">
        <v>29</v>
      </c>
      <c r="E140" s="216" t="s">
        <v>30</v>
      </c>
      <c r="F140" s="188"/>
      <c r="G140" s="188"/>
      <c r="H140" s="188"/>
      <c r="I140" s="188"/>
      <c r="J140" s="188"/>
      <c r="K140" s="219">
        <v>22400</v>
      </c>
      <c r="L140" s="188"/>
      <c r="M140" s="7"/>
      <c r="N140" s="7"/>
    </row>
    <row r="141" spans="1:14">
      <c r="A141" s="217"/>
      <c r="B141" s="230" t="s">
        <v>536</v>
      </c>
      <c r="C141" s="214" t="s">
        <v>470</v>
      </c>
      <c r="D141" s="215" t="s">
        <v>29</v>
      </c>
      <c r="E141" s="216" t="s">
        <v>30</v>
      </c>
      <c r="F141" s="188"/>
      <c r="G141" s="188"/>
      <c r="H141" s="188"/>
      <c r="I141" s="188"/>
      <c r="J141" s="188"/>
      <c r="K141" s="219">
        <v>8400</v>
      </c>
      <c r="L141" s="188"/>
      <c r="M141" s="7"/>
      <c r="N141" s="7"/>
    </row>
    <row r="142" spans="1:14">
      <c r="A142" s="226"/>
      <c r="B142" s="233" t="s">
        <v>537</v>
      </c>
      <c r="C142" s="214" t="s">
        <v>470</v>
      </c>
      <c r="D142" s="215" t="s">
        <v>29</v>
      </c>
      <c r="E142" s="216" t="s">
        <v>30</v>
      </c>
      <c r="F142" s="188"/>
      <c r="G142" s="188"/>
      <c r="H142" s="188"/>
      <c r="I142" s="188"/>
      <c r="J142" s="188"/>
      <c r="K142" s="219">
        <v>156000</v>
      </c>
      <c r="L142" s="188"/>
      <c r="M142" s="7"/>
      <c r="N142" s="7"/>
    </row>
    <row r="143" spans="1:14">
      <c r="A143" s="217"/>
      <c r="B143" s="234" t="s">
        <v>538</v>
      </c>
      <c r="C143" s="214" t="s">
        <v>470</v>
      </c>
      <c r="D143" s="215" t="s">
        <v>29</v>
      </c>
      <c r="E143" s="216" t="s">
        <v>30</v>
      </c>
      <c r="F143" s="188"/>
      <c r="G143" s="188"/>
      <c r="H143" s="188"/>
      <c r="I143" s="188"/>
      <c r="J143" s="188"/>
      <c r="K143" s="219">
        <v>96000</v>
      </c>
      <c r="L143" s="188"/>
      <c r="M143" s="7"/>
      <c r="N143" s="7"/>
    </row>
    <row r="144" spans="1:14">
      <c r="A144" s="217"/>
      <c r="B144" s="234" t="s">
        <v>539</v>
      </c>
      <c r="C144" s="214" t="s">
        <v>470</v>
      </c>
      <c r="D144" s="215" t="s">
        <v>29</v>
      </c>
      <c r="E144" s="216" t="s">
        <v>30</v>
      </c>
      <c r="F144" s="188"/>
      <c r="G144" s="188"/>
      <c r="H144" s="188"/>
      <c r="I144" s="188"/>
      <c r="J144" s="188"/>
      <c r="K144" s="219">
        <v>216000</v>
      </c>
      <c r="L144" s="188"/>
      <c r="M144" s="7"/>
      <c r="N144" s="7"/>
    </row>
    <row r="145" spans="1:14">
      <c r="A145" s="217"/>
      <c r="B145" s="234" t="s">
        <v>540</v>
      </c>
      <c r="C145" s="214" t="s">
        <v>470</v>
      </c>
      <c r="D145" s="215" t="s">
        <v>29</v>
      </c>
      <c r="E145" s="216" t="s">
        <v>30</v>
      </c>
      <c r="F145" s="188"/>
      <c r="G145" s="188"/>
      <c r="H145" s="188"/>
      <c r="I145" s="188"/>
      <c r="J145" s="188"/>
      <c r="K145" s="219">
        <v>156000</v>
      </c>
      <c r="L145" s="188"/>
      <c r="M145" s="7"/>
      <c r="N145" s="7"/>
    </row>
    <row r="146" spans="1:14">
      <c r="A146" s="217"/>
      <c r="B146" s="234" t="s">
        <v>541</v>
      </c>
      <c r="C146" s="214" t="s">
        <v>470</v>
      </c>
      <c r="D146" s="215" t="s">
        <v>29</v>
      </c>
      <c r="E146" s="216" t="s">
        <v>30</v>
      </c>
      <c r="F146" s="188"/>
      <c r="G146" s="188"/>
      <c r="H146" s="188"/>
      <c r="I146" s="188"/>
      <c r="J146" s="188"/>
      <c r="K146" s="219">
        <v>57000</v>
      </c>
      <c r="L146" s="188"/>
      <c r="M146" s="7"/>
      <c r="N146" s="7"/>
    </row>
    <row r="147" spans="1:14">
      <c r="A147" s="217"/>
      <c r="B147" s="234" t="s">
        <v>542</v>
      </c>
      <c r="C147" s="214" t="s">
        <v>470</v>
      </c>
      <c r="D147" s="215" t="s">
        <v>29</v>
      </c>
      <c r="E147" s="216" t="s">
        <v>30</v>
      </c>
      <c r="F147" s="188"/>
      <c r="G147" s="188"/>
      <c r="H147" s="188"/>
      <c r="I147" s="188"/>
      <c r="J147" s="188"/>
      <c r="K147" s="219">
        <v>25000</v>
      </c>
      <c r="L147" s="188"/>
      <c r="M147" s="7"/>
      <c r="N147" s="7"/>
    </row>
    <row r="148" spans="1:14">
      <c r="A148" s="217"/>
      <c r="B148" s="234" t="s">
        <v>543</v>
      </c>
      <c r="C148" s="214" t="s">
        <v>470</v>
      </c>
      <c r="D148" s="215" t="s">
        <v>29</v>
      </c>
      <c r="E148" s="216" t="s">
        <v>30</v>
      </c>
      <c r="F148" s="188"/>
      <c r="G148" s="188"/>
      <c r="H148" s="188"/>
      <c r="I148" s="188"/>
      <c r="J148" s="188"/>
      <c r="K148" s="219">
        <v>27000</v>
      </c>
      <c r="L148" s="188"/>
      <c r="M148" s="7"/>
      <c r="N148" s="7"/>
    </row>
    <row r="149" spans="1:14">
      <c r="A149" s="217"/>
      <c r="B149" s="234" t="s">
        <v>544</v>
      </c>
      <c r="C149" s="214" t="s">
        <v>470</v>
      </c>
      <c r="D149" s="215" t="s">
        <v>29</v>
      </c>
      <c r="E149" s="216" t="s">
        <v>30</v>
      </c>
      <c r="F149" s="188"/>
      <c r="G149" s="188"/>
      <c r="H149" s="188"/>
      <c r="I149" s="188"/>
      <c r="J149" s="188"/>
      <c r="K149" s="219">
        <v>25000</v>
      </c>
      <c r="L149" s="188"/>
      <c r="M149" s="7"/>
      <c r="N149" s="7"/>
    </row>
    <row r="150" spans="1:14">
      <c r="A150" s="217"/>
      <c r="B150" s="234" t="s">
        <v>545</v>
      </c>
      <c r="C150" s="214" t="s">
        <v>470</v>
      </c>
      <c r="D150" s="215" t="s">
        <v>29</v>
      </c>
      <c r="E150" s="216" t="s">
        <v>30</v>
      </c>
      <c r="F150" s="188"/>
      <c r="G150" s="188"/>
      <c r="H150" s="188"/>
      <c r="I150" s="188"/>
      <c r="J150" s="188"/>
      <c r="K150" s="219">
        <v>16500</v>
      </c>
      <c r="L150" s="188"/>
      <c r="M150" s="7"/>
      <c r="N150" s="7"/>
    </row>
    <row r="151" spans="1:14">
      <c r="A151" s="217"/>
      <c r="B151" s="235" t="s">
        <v>546</v>
      </c>
      <c r="C151" s="214" t="s">
        <v>470</v>
      </c>
      <c r="D151" s="215" t="s">
        <v>29</v>
      </c>
      <c r="E151" s="216" t="s">
        <v>30</v>
      </c>
      <c r="F151" s="188"/>
      <c r="G151" s="188"/>
      <c r="H151" s="188"/>
      <c r="I151" s="188"/>
      <c r="J151" s="188"/>
      <c r="K151" s="219">
        <v>2500</v>
      </c>
      <c r="L151" s="188"/>
      <c r="M151" s="7"/>
      <c r="N151" s="7"/>
    </row>
    <row r="152" spans="1:14">
      <c r="A152" s="236"/>
      <c r="B152" s="234" t="s">
        <v>547</v>
      </c>
      <c r="C152" s="214" t="s">
        <v>470</v>
      </c>
      <c r="D152" s="215" t="s">
        <v>29</v>
      </c>
      <c r="E152" s="216" t="s">
        <v>30</v>
      </c>
      <c r="F152" s="188"/>
      <c r="G152" s="188"/>
      <c r="H152" s="188"/>
      <c r="I152" s="188"/>
      <c r="J152" s="188"/>
      <c r="K152" s="219">
        <v>6500</v>
      </c>
      <c r="L152" s="188"/>
      <c r="M152" s="7"/>
      <c r="N152" s="7"/>
    </row>
    <row r="153" spans="1:14">
      <c r="A153" s="236"/>
      <c r="B153" s="234" t="s">
        <v>548</v>
      </c>
      <c r="C153" s="214" t="s">
        <v>470</v>
      </c>
      <c r="D153" s="215" t="s">
        <v>29</v>
      </c>
      <c r="E153" s="216" t="s">
        <v>30</v>
      </c>
      <c r="F153" s="188"/>
      <c r="G153" s="188"/>
      <c r="H153" s="188"/>
      <c r="I153" s="188"/>
      <c r="J153" s="188"/>
      <c r="K153" s="219">
        <v>10500</v>
      </c>
      <c r="L153" s="188"/>
      <c r="M153" s="7"/>
      <c r="N153" s="7"/>
    </row>
    <row r="154" spans="1:14">
      <c r="A154" s="236"/>
      <c r="B154" s="234" t="s">
        <v>549</v>
      </c>
      <c r="C154" s="214" t="s">
        <v>470</v>
      </c>
      <c r="D154" s="215" t="s">
        <v>29</v>
      </c>
      <c r="E154" s="216" t="s">
        <v>30</v>
      </c>
      <c r="F154" s="188"/>
      <c r="G154" s="188"/>
      <c r="H154" s="188"/>
      <c r="I154" s="188"/>
      <c r="J154" s="188"/>
      <c r="K154" s="219">
        <v>6000</v>
      </c>
      <c r="L154" s="188"/>
      <c r="M154" s="7"/>
      <c r="N154" s="7"/>
    </row>
    <row r="155" spans="1:14">
      <c r="A155" s="236"/>
      <c r="B155" s="234" t="s">
        <v>550</v>
      </c>
      <c r="C155" s="214" t="s">
        <v>470</v>
      </c>
      <c r="D155" s="215" t="s">
        <v>29</v>
      </c>
      <c r="E155" s="216" t="s">
        <v>30</v>
      </c>
      <c r="F155" s="188"/>
      <c r="G155" s="188"/>
      <c r="H155" s="188"/>
      <c r="I155" s="188"/>
      <c r="J155" s="188"/>
      <c r="K155" s="219">
        <v>80000</v>
      </c>
      <c r="L155" s="188"/>
      <c r="M155" s="7"/>
      <c r="N155" s="7"/>
    </row>
    <row r="156" spans="1:14">
      <c r="A156" s="236"/>
      <c r="B156" s="234" t="s">
        <v>551</v>
      </c>
      <c r="C156" s="214" t="s">
        <v>470</v>
      </c>
      <c r="D156" s="215" t="s">
        <v>29</v>
      </c>
      <c r="E156" s="216" t="s">
        <v>30</v>
      </c>
      <c r="F156" s="188"/>
      <c r="G156" s="188"/>
      <c r="H156" s="188"/>
      <c r="I156" s="188"/>
      <c r="J156" s="188"/>
      <c r="K156" s="219">
        <v>3500</v>
      </c>
      <c r="L156" s="188"/>
      <c r="M156" s="7"/>
      <c r="N156" s="7"/>
    </row>
    <row r="157" spans="1:14">
      <c r="A157" s="236"/>
      <c r="B157" s="234" t="s">
        <v>552</v>
      </c>
      <c r="C157" s="214" t="s">
        <v>470</v>
      </c>
      <c r="D157" s="215" t="s">
        <v>29</v>
      </c>
      <c r="E157" s="216" t="s">
        <v>30</v>
      </c>
      <c r="F157" s="188"/>
      <c r="G157" s="188"/>
      <c r="H157" s="188"/>
      <c r="I157" s="188"/>
      <c r="J157" s="188"/>
      <c r="K157" s="219">
        <v>28000</v>
      </c>
      <c r="L157" s="188"/>
      <c r="M157" s="7"/>
      <c r="N157" s="7"/>
    </row>
    <row r="158" spans="1:14">
      <c r="A158" s="236"/>
      <c r="B158" s="234" t="s">
        <v>553</v>
      </c>
      <c r="C158" s="214" t="s">
        <v>470</v>
      </c>
      <c r="D158" s="215" t="s">
        <v>29</v>
      </c>
      <c r="E158" s="216" t="s">
        <v>30</v>
      </c>
      <c r="F158" s="188"/>
      <c r="G158" s="188"/>
      <c r="H158" s="188"/>
      <c r="I158" s="188"/>
      <c r="J158" s="188"/>
      <c r="K158" s="219">
        <v>144000</v>
      </c>
      <c r="L158" s="188"/>
      <c r="M158" s="7"/>
      <c r="N158" s="7"/>
    </row>
    <row r="159" spans="1:14">
      <c r="A159" s="236"/>
      <c r="B159" s="234" t="s">
        <v>554</v>
      </c>
      <c r="C159" s="214" t="s">
        <v>470</v>
      </c>
      <c r="D159" s="215" t="s">
        <v>29</v>
      </c>
      <c r="E159" s="216" t="s">
        <v>30</v>
      </c>
      <c r="F159" s="188"/>
      <c r="G159" s="188"/>
      <c r="H159" s="188"/>
      <c r="I159" s="188"/>
      <c r="J159" s="188"/>
      <c r="K159" s="219">
        <v>133000</v>
      </c>
      <c r="L159" s="188"/>
      <c r="M159" s="7"/>
      <c r="N159" s="7"/>
    </row>
    <row r="160" spans="1:14">
      <c r="A160" s="188"/>
      <c r="B160" s="234" t="s">
        <v>555</v>
      </c>
      <c r="C160" s="214" t="s">
        <v>470</v>
      </c>
      <c r="D160" s="215" t="s">
        <v>29</v>
      </c>
      <c r="E160" s="216" t="s">
        <v>30</v>
      </c>
      <c r="F160" s="188"/>
      <c r="G160" s="188"/>
      <c r="H160" s="188"/>
      <c r="I160" s="188"/>
      <c r="J160" s="188"/>
      <c r="K160" s="219">
        <v>16000</v>
      </c>
      <c r="L160" s="188"/>
      <c r="M160" s="7"/>
      <c r="N160" s="7"/>
    </row>
    <row r="161" spans="1:14">
      <c r="A161" s="188"/>
      <c r="B161" s="234" t="s">
        <v>556</v>
      </c>
      <c r="C161" s="214" t="s">
        <v>470</v>
      </c>
      <c r="D161" s="215" t="s">
        <v>29</v>
      </c>
      <c r="E161" s="216" t="s">
        <v>30</v>
      </c>
      <c r="F161" s="188"/>
      <c r="G161" s="188"/>
      <c r="H161" s="188"/>
      <c r="I161" s="188"/>
      <c r="J161" s="188"/>
      <c r="K161" s="219">
        <v>68800</v>
      </c>
      <c r="L161" s="188"/>
      <c r="M161" s="7"/>
      <c r="N161" s="7"/>
    </row>
    <row r="162" spans="1:14">
      <c r="A162" s="188"/>
      <c r="B162" s="234" t="s">
        <v>557</v>
      </c>
      <c r="C162" s="214" t="s">
        <v>470</v>
      </c>
      <c r="D162" s="215" t="s">
        <v>29</v>
      </c>
      <c r="E162" s="216" t="s">
        <v>30</v>
      </c>
      <c r="F162" s="188"/>
      <c r="G162" s="188"/>
      <c r="H162" s="188"/>
      <c r="I162" s="188"/>
      <c r="J162" s="188"/>
      <c r="K162" s="219">
        <v>500000</v>
      </c>
      <c r="L162" s="188"/>
      <c r="M162" s="7"/>
      <c r="N162" s="7"/>
    </row>
    <row r="163" spans="1:14">
      <c r="A163" s="188"/>
      <c r="B163" s="234" t="s">
        <v>558</v>
      </c>
      <c r="C163" s="214" t="s">
        <v>470</v>
      </c>
      <c r="D163" s="215" t="s">
        <v>29</v>
      </c>
      <c r="E163" s="216" t="s">
        <v>30</v>
      </c>
      <c r="F163" s="188"/>
      <c r="G163" s="188"/>
      <c r="H163" s="188"/>
      <c r="I163" s="188"/>
      <c r="J163" s="188"/>
      <c r="K163" s="219">
        <v>20000</v>
      </c>
      <c r="L163" s="188"/>
      <c r="M163" s="7"/>
      <c r="N163" s="7"/>
    </row>
    <row r="164" spans="1:14">
      <c r="A164" s="188"/>
      <c r="B164" s="234" t="s">
        <v>559</v>
      </c>
      <c r="C164" s="214" t="s">
        <v>470</v>
      </c>
      <c r="D164" s="215" t="s">
        <v>29</v>
      </c>
      <c r="E164" s="216" t="s">
        <v>30</v>
      </c>
      <c r="F164" s="188"/>
      <c r="G164" s="188"/>
      <c r="H164" s="188"/>
      <c r="I164" s="188"/>
      <c r="J164" s="188"/>
      <c r="K164" s="219">
        <v>2500</v>
      </c>
      <c r="L164" s="188"/>
      <c r="M164" s="7"/>
      <c r="N164" s="7"/>
    </row>
    <row r="165" spans="1:14" s="155" customFormat="1">
      <c r="A165" s="237" t="s">
        <v>560</v>
      </c>
      <c r="B165" s="237"/>
      <c r="C165" s="237"/>
      <c r="D165" s="237"/>
      <c r="E165" s="237"/>
      <c r="F165" s="237"/>
      <c r="G165" s="237"/>
      <c r="H165" s="237"/>
      <c r="I165" s="237"/>
      <c r="J165" s="237"/>
      <c r="K165" s="238">
        <f>SUM(K12:K164)</f>
        <v>2662263.9</v>
      </c>
      <c r="L165" s="237"/>
      <c r="M165" s="107"/>
      <c r="N165" s="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180"/>
  <sheetViews>
    <sheetView tabSelected="0" workbookViewId="0" zoomScale="80" zoomScaleNormal="80" showGridLines="true" showRowColHeaders="1">
      <selection activeCell="K180" sqref="K180"/>
    </sheetView>
  </sheetViews>
  <sheetFormatPr defaultRowHeight="14.4" defaultColWidth="20.7109375" outlineLevelRow="0" outlineLevelCol="0"/>
  <cols>
    <col min="1" max="1" width="27.28515625" customWidth="true" style="63"/>
    <col min="2" max="2" width="35.42578125" customWidth="true" style="63"/>
    <col min="3" max="3" width="20.7109375" style="63"/>
    <col min="4" max="4" width="15.7109375" customWidth="true" style="63"/>
    <col min="5" max="5" width="15.7109375" customWidth="true" style="63"/>
    <col min="6" max="6" width="15.7109375" customWidth="true" style="63"/>
    <col min="7" max="7" width="15.7109375" customWidth="true" style="63"/>
    <col min="8" max="8" width="15.7109375" customWidth="true" style="63"/>
    <col min="9" max="9" width="15.7109375" customWidth="true" style="63"/>
    <col min="10" max="10" width="15.7109375" customWidth="true" style="63"/>
    <col min="11" max="11" width="15.7109375" customWidth="true" style="63"/>
    <col min="12" max="12" width="15.7109375" customWidth="true" style="63"/>
    <col min="13" max="13" width="24" customWidth="true" style="63"/>
    <col min="14" max="14" width="20.7109375" style="63"/>
    <col min="15" max="15" width="20.7109375" style="64"/>
  </cols>
  <sheetData>
    <row r="1" spans="1:15">
      <c r="A1" s="61" t="s">
        <v>0</v>
      </c>
      <c r="B1" s="62"/>
      <c r="C1" s="62"/>
      <c r="D1" s="62"/>
      <c r="E1" s="62"/>
    </row>
    <row r="2" spans="1:15">
      <c r="A2" s="65"/>
      <c r="B2" s="62"/>
      <c r="C2" s="62"/>
      <c r="D2" s="62"/>
      <c r="E2" s="62"/>
    </row>
    <row r="3" spans="1:15">
      <c r="A3" s="364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5">
      <c r="B4" s="66"/>
      <c r="C4" s="66"/>
      <c r="D4" s="66"/>
      <c r="E4" s="66"/>
    </row>
    <row r="5" spans="1:15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</row>
    <row r="6" spans="1:15">
      <c r="A6" s="69" t="s">
        <v>4</v>
      </c>
      <c r="B6" s="272" t="s">
        <v>5</v>
      </c>
      <c r="C6" s="70"/>
      <c r="D6" s="69" t="s">
        <v>6</v>
      </c>
      <c r="E6" s="70"/>
      <c r="F6" s="274" t="s">
        <v>561</v>
      </c>
    </row>
    <row r="7" spans="1:15">
      <c r="A7" s="69" t="s">
        <v>8</v>
      </c>
      <c r="B7" s="273" t="s">
        <v>9</v>
      </c>
    </row>
    <row r="9" spans="1:15" customHeight="1" ht="16.15"/>
    <row r="10" spans="1:15" customHeight="1" ht="15.6" s="65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5" customHeight="1" ht="33.6" s="65" customFormat="1">
      <c r="A11" s="356"/>
      <c r="B11" s="358"/>
      <c r="C11" s="358"/>
      <c r="D11" s="360"/>
      <c r="E11" s="358"/>
      <c r="F11" s="45" t="s">
        <v>19</v>
      </c>
      <c r="G11" s="45" t="s">
        <v>20</v>
      </c>
      <c r="H11" s="45" t="s">
        <v>21</v>
      </c>
      <c r="I11" s="45" t="s">
        <v>22</v>
      </c>
      <c r="J11" s="358"/>
      <c r="K11" s="46" t="s">
        <v>23</v>
      </c>
      <c r="L11" s="46" t="s">
        <v>24</v>
      </c>
      <c r="M11" s="46" t="s">
        <v>25</v>
      </c>
      <c r="N11" s="354"/>
    </row>
    <row r="12" spans="1:15">
      <c r="A12" s="241" t="s">
        <v>110</v>
      </c>
      <c r="B12" s="242" t="s">
        <v>345</v>
      </c>
      <c r="C12" s="239" t="s">
        <v>561</v>
      </c>
      <c r="D12" s="239" t="s">
        <v>29</v>
      </c>
      <c r="E12" s="240" t="s">
        <v>30</v>
      </c>
      <c r="F12" s="202"/>
      <c r="G12" s="202"/>
      <c r="H12" s="202"/>
      <c r="I12" s="202"/>
      <c r="J12" s="202"/>
      <c r="K12" s="243">
        <v>6611</v>
      </c>
      <c r="L12" s="202"/>
      <c r="M12" s="202"/>
      <c r="N12" s="36"/>
    </row>
    <row r="13" spans="1:15">
      <c r="A13" s="206" t="s">
        <v>31</v>
      </c>
      <c r="B13" s="207" t="s">
        <v>32</v>
      </c>
      <c r="C13" s="239" t="s">
        <v>561</v>
      </c>
      <c r="D13" s="239" t="s">
        <v>29</v>
      </c>
      <c r="E13" s="240" t="s">
        <v>30</v>
      </c>
      <c r="F13" s="202"/>
      <c r="G13" s="202"/>
      <c r="H13" s="202"/>
      <c r="I13" s="202"/>
      <c r="J13" s="202"/>
      <c r="K13" s="208">
        <v>1776</v>
      </c>
      <c r="L13" s="202"/>
      <c r="M13" s="202"/>
      <c r="N13" s="36"/>
    </row>
    <row r="14" spans="1:15">
      <c r="A14" s="206" t="s">
        <v>239</v>
      </c>
      <c r="B14" s="207" t="s">
        <v>347</v>
      </c>
      <c r="C14" s="239" t="s">
        <v>561</v>
      </c>
      <c r="D14" s="239" t="s">
        <v>29</v>
      </c>
      <c r="E14" s="240" t="s">
        <v>30</v>
      </c>
      <c r="F14" s="202"/>
      <c r="G14" s="202"/>
      <c r="H14" s="202"/>
      <c r="I14" s="202"/>
      <c r="J14" s="202"/>
      <c r="K14" s="208">
        <v>1776</v>
      </c>
      <c r="L14" s="202"/>
      <c r="M14" s="202"/>
      <c r="N14" s="36"/>
    </row>
    <row r="15" spans="1:15">
      <c r="A15" s="206" t="s">
        <v>348</v>
      </c>
      <c r="B15" s="207" t="s">
        <v>349</v>
      </c>
      <c r="C15" s="239" t="s">
        <v>561</v>
      </c>
      <c r="D15" s="239" t="s">
        <v>29</v>
      </c>
      <c r="E15" s="240" t="s">
        <v>30</v>
      </c>
      <c r="F15" s="202"/>
      <c r="G15" s="202"/>
      <c r="H15" s="202"/>
      <c r="I15" s="202"/>
      <c r="J15" s="202"/>
      <c r="K15" s="208">
        <v>444</v>
      </c>
      <c r="L15" s="202"/>
      <c r="M15" s="202"/>
      <c r="N15" s="36"/>
    </row>
    <row r="16" spans="1:15" customHeight="1" ht="31.5">
      <c r="A16" s="206" t="s">
        <v>33</v>
      </c>
      <c r="B16" s="207" t="s">
        <v>34</v>
      </c>
      <c r="C16" s="239" t="s">
        <v>561</v>
      </c>
      <c r="D16" s="239" t="s">
        <v>29</v>
      </c>
      <c r="E16" s="240" t="s">
        <v>30</v>
      </c>
      <c r="F16" s="202"/>
      <c r="G16" s="202"/>
      <c r="H16" s="202"/>
      <c r="I16" s="202"/>
      <c r="J16" s="202"/>
      <c r="K16" s="208">
        <v>286.86</v>
      </c>
      <c r="L16" s="202"/>
      <c r="M16" s="202"/>
      <c r="N16" s="36"/>
    </row>
    <row r="17" spans="1:15" customHeight="1" ht="31.5">
      <c r="A17" s="206" t="s">
        <v>241</v>
      </c>
      <c r="B17" s="207" t="s">
        <v>242</v>
      </c>
      <c r="C17" s="239" t="s">
        <v>561</v>
      </c>
      <c r="D17" s="239" t="s">
        <v>29</v>
      </c>
      <c r="E17" s="240" t="s">
        <v>30</v>
      </c>
      <c r="F17" s="202"/>
      <c r="G17" s="202"/>
      <c r="H17" s="202"/>
      <c r="I17" s="202"/>
      <c r="J17" s="202"/>
      <c r="K17" s="208">
        <v>256.76</v>
      </c>
      <c r="L17" s="202"/>
      <c r="M17" s="202"/>
      <c r="N17" s="36"/>
    </row>
    <row r="18" spans="1:15" customHeight="1" ht="31.5">
      <c r="A18" s="206" t="s">
        <v>562</v>
      </c>
      <c r="B18" s="207" t="s">
        <v>563</v>
      </c>
      <c r="C18" s="239" t="s">
        <v>561</v>
      </c>
      <c r="D18" s="239" t="s">
        <v>29</v>
      </c>
      <c r="E18" s="240" t="s">
        <v>30</v>
      </c>
      <c r="F18" s="202"/>
      <c r="G18" s="202"/>
      <c r="H18" s="202"/>
      <c r="I18" s="202"/>
      <c r="J18" s="202"/>
      <c r="K18" s="208">
        <v>653.12</v>
      </c>
      <c r="L18" s="202"/>
      <c r="M18" s="202"/>
      <c r="N18" s="36"/>
    </row>
    <row r="19" spans="1:15">
      <c r="A19" s="206" t="s">
        <v>35</v>
      </c>
      <c r="B19" s="207" t="s">
        <v>36</v>
      </c>
      <c r="C19" s="239" t="s">
        <v>561</v>
      </c>
      <c r="D19" s="239" t="s">
        <v>29</v>
      </c>
      <c r="E19" s="240" t="s">
        <v>30</v>
      </c>
      <c r="F19" s="202"/>
      <c r="G19" s="202"/>
      <c r="H19" s="202"/>
      <c r="I19" s="202"/>
      <c r="J19" s="202"/>
      <c r="K19" s="208">
        <v>2043.6</v>
      </c>
      <c r="L19" s="202"/>
      <c r="M19" s="202"/>
      <c r="N19" s="36"/>
    </row>
    <row r="20" spans="1:15">
      <c r="A20" s="206" t="s">
        <v>117</v>
      </c>
      <c r="B20" s="207" t="s">
        <v>564</v>
      </c>
      <c r="C20" s="239" t="s">
        <v>561</v>
      </c>
      <c r="D20" s="239" t="s">
        <v>29</v>
      </c>
      <c r="E20" s="240" t="s">
        <v>30</v>
      </c>
      <c r="F20" s="202"/>
      <c r="G20" s="202"/>
      <c r="H20" s="202"/>
      <c r="I20" s="202"/>
      <c r="J20" s="202"/>
      <c r="K20" s="208">
        <v>341.7</v>
      </c>
      <c r="L20" s="202"/>
      <c r="M20" s="202"/>
      <c r="N20" s="36"/>
    </row>
    <row r="21" spans="1:15" customHeight="1" ht="31.5">
      <c r="A21" s="206" t="s">
        <v>119</v>
      </c>
      <c r="B21" s="207" t="s">
        <v>565</v>
      </c>
      <c r="C21" s="239" t="s">
        <v>561</v>
      </c>
      <c r="D21" s="239" t="s">
        <v>29</v>
      </c>
      <c r="E21" s="240" t="s">
        <v>30</v>
      </c>
      <c r="F21" s="202"/>
      <c r="G21" s="202"/>
      <c r="H21" s="202"/>
      <c r="I21" s="202"/>
      <c r="J21" s="202"/>
      <c r="K21" s="208">
        <v>832</v>
      </c>
      <c r="L21" s="202"/>
      <c r="M21" s="202"/>
      <c r="N21" s="36"/>
    </row>
    <row r="22" spans="1:15" customHeight="1" ht="31.5">
      <c r="A22" s="244" t="s">
        <v>566</v>
      </c>
      <c r="B22" s="245" t="s">
        <v>173</v>
      </c>
      <c r="C22" s="239" t="s">
        <v>561</v>
      </c>
      <c r="D22" s="239" t="s">
        <v>29</v>
      </c>
      <c r="E22" s="240" t="s">
        <v>30</v>
      </c>
      <c r="F22" s="202"/>
      <c r="G22" s="202"/>
      <c r="H22" s="202"/>
      <c r="I22" s="202"/>
      <c r="J22" s="202"/>
      <c r="K22" s="208">
        <v>1081.6</v>
      </c>
      <c r="L22" s="202"/>
      <c r="M22" s="202"/>
      <c r="N22" s="36"/>
    </row>
    <row r="23" spans="1:15" customHeight="1" ht="31.5">
      <c r="A23" s="206" t="s">
        <v>37</v>
      </c>
      <c r="B23" s="207" t="s">
        <v>38</v>
      </c>
      <c r="C23" s="239" t="s">
        <v>561</v>
      </c>
      <c r="D23" s="239" t="s">
        <v>29</v>
      </c>
      <c r="E23" s="240" t="s">
        <v>30</v>
      </c>
      <c r="F23" s="202"/>
      <c r="G23" s="202"/>
      <c r="H23" s="202"/>
      <c r="I23" s="202"/>
      <c r="J23" s="202"/>
      <c r="K23" s="208">
        <v>2098.35</v>
      </c>
      <c r="L23" s="202"/>
      <c r="M23" s="202"/>
      <c r="N23" s="36"/>
    </row>
    <row r="24" spans="1:15" customHeight="1" ht="31.5">
      <c r="A24" s="206" t="s">
        <v>174</v>
      </c>
      <c r="B24" s="207" t="s">
        <v>175</v>
      </c>
      <c r="C24" s="239" t="s">
        <v>561</v>
      </c>
      <c r="D24" s="239" t="s">
        <v>29</v>
      </c>
      <c r="E24" s="240" t="s">
        <v>30</v>
      </c>
      <c r="F24" s="202"/>
      <c r="G24" s="202"/>
      <c r="H24" s="202"/>
      <c r="I24" s="202"/>
      <c r="J24" s="202"/>
      <c r="K24" s="208">
        <v>276.4</v>
      </c>
      <c r="L24" s="202"/>
      <c r="M24" s="202"/>
      <c r="N24" s="36"/>
    </row>
    <row r="25" spans="1:15" customHeight="1" ht="31.5">
      <c r="A25" s="206" t="s">
        <v>39</v>
      </c>
      <c r="B25" s="207" t="s">
        <v>40</v>
      </c>
      <c r="C25" s="239" t="s">
        <v>561</v>
      </c>
      <c r="D25" s="239" t="s">
        <v>29</v>
      </c>
      <c r="E25" s="240" t="s">
        <v>30</v>
      </c>
      <c r="F25" s="202"/>
      <c r="G25" s="202"/>
      <c r="H25" s="202"/>
      <c r="I25" s="202"/>
      <c r="J25" s="202"/>
      <c r="K25" s="208">
        <v>960.96</v>
      </c>
      <c r="L25" s="202"/>
      <c r="M25" s="202"/>
      <c r="N25" s="36"/>
    </row>
    <row r="26" spans="1:15">
      <c r="A26" s="206" t="s">
        <v>122</v>
      </c>
      <c r="B26" s="207" t="s">
        <v>302</v>
      </c>
      <c r="C26" s="239" t="s">
        <v>561</v>
      </c>
      <c r="D26" s="239" t="s">
        <v>29</v>
      </c>
      <c r="E26" s="240" t="s">
        <v>30</v>
      </c>
      <c r="F26" s="202"/>
      <c r="G26" s="202"/>
      <c r="H26" s="202"/>
      <c r="I26" s="202"/>
      <c r="J26" s="202"/>
      <c r="K26" s="208">
        <v>386.55</v>
      </c>
      <c r="L26" s="202"/>
      <c r="M26" s="202"/>
      <c r="N26" s="36"/>
    </row>
    <row r="27" spans="1:15">
      <c r="A27" s="206" t="s">
        <v>480</v>
      </c>
      <c r="B27" s="207" t="s">
        <v>481</v>
      </c>
      <c r="C27" s="239" t="s">
        <v>561</v>
      </c>
      <c r="D27" s="239" t="s">
        <v>29</v>
      </c>
      <c r="E27" s="240" t="s">
        <v>30</v>
      </c>
      <c r="F27" s="202"/>
      <c r="G27" s="202"/>
      <c r="H27" s="202"/>
      <c r="I27" s="202"/>
      <c r="J27" s="202"/>
      <c r="K27" s="208">
        <v>624</v>
      </c>
      <c r="L27" s="202"/>
      <c r="M27" s="202"/>
      <c r="N27" s="36"/>
    </row>
    <row r="28" spans="1:15">
      <c r="A28" s="206" t="s">
        <v>243</v>
      </c>
      <c r="B28" s="207" t="s">
        <v>567</v>
      </c>
      <c r="C28" s="239" t="s">
        <v>561</v>
      </c>
      <c r="D28" s="239" t="s">
        <v>29</v>
      </c>
      <c r="E28" s="240" t="s">
        <v>30</v>
      </c>
      <c r="F28" s="202"/>
      <c r="G28" s="202"/>
      <c r="H28" s="202"/>
      <c r="I28" s="202"/>
      <c r="J28" s="202"/>
      <c r="K28" s="208">
        <v>612.55</v>
      </c>
      <c r="L28" s="202"/>
      <c r="M28" s="202"/>
      <c r="N28" s="36"/>
    </row>
    <row r="29" spans="1:15">
      <c r="A29" s="206" t="s">
        <v>176</v>
      </c>
      <c r="B29" s="207" t="s">
        <v>177</v>
      </c>
      <c r="C29" s="239" t="s">
        <v>561</v>
      </c>
      <c r="D29" s="239" t="s">
        <v>29</v>
      </c>
      <c r="E29" s="240" t="s">
        <v>30</v>
      </c>
      <c r="F29" s="202"/>
      <c r="G29" s="202"/>
      <c r="H29" s="202"/>
      <c r="I29" s="202"/>
      <c r="J29" s="202"/>
      <c r="K29" s="208">
        <v>2125.6</v>
      </c>
      <c r="L29" s="202"/>
      <c r="M29" s="202"/>
      <c r="N29" s="36"/>
    </row>
    <row r="30" spans="1:15" customHeight="1" ht="31.5">
      <c r="A30" s="206" t="s">
        <v>126</v>
      </c>
      <c r="B30" s="207" t="s">
        <v>568</v>
      </c>
      <c r="C30" s="239" t="s">
        <v>561</v>
      </c>
      <c r="D30" s="239" t="s">
        <v>29</v>
      </c>
      <c r="E30" s="240" t="s">
        <v>30</v>
      </c>
      <c r="F30" s="202"/>
      <c r="G30" s="202"/>
      <c r="H30" s="202"/>
      <c r="I30" s="202"/>
      <c r="J30" s="202"/>
      <c r="K30" s="208">
        <v>1728.48</v>
      </c>
      <c r="L30" s="202"/>
      <c r="M30" s="202"/>
      <c r="N30" s="36"/>
    </row>
    <row r="31" spans="1:15">
      <c r="A31" s="206" t="s">
        <v>245</v>
      </c>
      <c r="B31" s="207" t="s">
        <v>569</v>
      </c>
      <c r="C31" s="239" t="s">
        <v>561</v>
      </c>
      <c r="D31" s="239" t="s">
        <v>29</v>
      </c>
      <c r="E31" s="240" t="s">
        <v>30</v>
      </c>
      <c r="F31" s="202"/>
      <c r="G31" s="202"/>
      <c r="H31" s="202"/>
      <c r="I31" s="202"/>
      <c r="J31" s="202"/>
      <c r="K31" s="208">
        <v>351.01</v>
      </c>
      <c r="L31" s="202"/>
      <c r="M31" s="202"/>
      <c r="N31" s="36"/>
    </row>
    <row r="32" spans="1:15">
      <c r="A32" s="246" t="s">
        <v>178</v>
      </c>
      <c r="B32" s="247" t="s">
        <v>179</v>
      </c>
      <c r="C32" s="239" t="s">
        <v>561</v>
      </c>
      <c r="D32" s="239" t="s">
        <v>29</v>
      </c>
      <c r="E32" s="240" t="s">
        <v>30</v>
      </c>
      <c r="F32" s="202"/>
      <c r="G32" s="202"/>
      <c r="H32" s="202"/>
      <c r="I32" s="202"/>
      <c r="J32" s="202"/>
      <c r="K32" s="208">
        <v>60.9</v>
      </c>
      <c r="L32" s="202"/>
      <c r="M32" s="202"/>
      <c r="N32" s="36"/>
    </row>
    <row r="33" spans="1:15">
      <c r="A33" s="246" t="s">
        <v>247</v>
      </c>
      <c r="B33" s="247" t="s">
        <v>248</v>
      </c>
      <c r="C33" s="239" t="s">
        <v>561</v>
      </c>
      <c r="D33" s="239" t="s">
        <v>29</v>
      </c>
      <c r="E33" s="240" t="s">
        <v>30</v>
      </c>
      <c r="F33" s="202"/>
      <c r="G33" s="202"/>
      <c r="H33" s="202"/>
      <c r="I33" s="202"/>
      <c r="J33" s="202"/>
      <c r="K33" s="208">
        <v>715.62</v>
      </c>
      <c r="L33" s="202"/>
      <c r="M33" s="202"/>
      <c r="N33" s="36"/>
    </row>
    <row r="34" spans="1:15">
      <c r="A34" s="246" t="s">
        <v>41</v>
      </c>
      <c r="B34" s="247" t="s">
        <v>42</v>
      </c>
      <c r="C34" s="239" t="s">
        <v>561</v>
      </c>
      <c r="D34" s="239" t="s">
        <v>29</v>
      </c>
      <c r="E34" s="240" t="s">
        <v>30</v>
      </c>
      <c r="F34" s="202"/>
      <c r="G34" s="202"/>
      <c r="H34" s="202"/>
      <c r="I34" s="202"/>
      <c r="J34" s="202"/>
      <c r="K34" s="208">
        <v>13962</v>
      </c>
      <c r="L34" s="202"/>
      <c r="M34" s="202"/>
      <c r="N34" s="36"/>
    </row>
    <row r="35" spans="1:15">
      <c r="A35" s="246" t="s">
        <v>128</v>
      </c>
      <c r="B35" s="247" t="s">
        <v>129</v>
      </c>
      <c r="C35" s="239" t="s">
        <v>561</v>
      </c>
      <c r="D35" s="239" t="s">
        <v>29</v>
      </c>
      <c r="E35" s="240" t="s">
        <v>30</v>
      </c>
      <c r="F35" s="202"/>
      <c r="G35" s="202"/>
      <c r="H35" s="202"/>
      <c r="I35" s="202"/>
      <c r="J35" s="202"/>
      <c r="K35" s="208">
        <v>451</v>
      </c>
      <c r="L35" s="202"/>
      <c r="M35" s="202"/>
      <c r="N35" s="36"/>
    </row>
    <row r="36" spans="1:15">
      <c r="A36" s="246" t="s">
        <v>45</v>
      </c>
      <c r="B36" s="247" t="s">
        <v>46</v>
      </c>
      <c r="C36" s="239" t="s">
        <v>561</v>
      </c>
      <c r="D36" s="239" t="s">
        <v>29</v>
      </c>
      <c r="E36" s="240" t="s">
        <v>30</v>
      </c>
      <c r="F36" s="202"/>
      <c r="G36" s="202"/>
      <c r="H36" s="202"/>
      <c r="I36" s="202"/>
      <c r="J36" s="202"/>
      <c r="K36" s="208">
        <v>356.4</v>
      </c>
      <c r="L36" s="202"/>
      <c r="M36" s="202"/>
      <c r="N36" s="36"/>
    </row>
    <row r="37" spans="1:15">
      <c r="A37" s="246" t="s">
        <v>47</v>
      </c>
      <c r="B37" s="247" t="s">
        <v>48</v>
      </c>
      <c r="C37" s="239" t="s">
        <v>561</v>
      </c>
      <c r="D37" s="239" t="s">
        <v>29</v>
      </c>
      <c r="E37" s="240" t="s">
        <v>30</v>
      </c>
      <c r="F37" s="202"/>
      <c r="G37" s="202"/>
      <c r="H37" s="202"/>
      <c r="I37" s="202"/>
      <c r="J37" s="202"/>
      <c r="K37" s="208">
        <v>122.98</v>
      </c>
      <c r="L37" s="202"/>
      <c r="M37" s="202"/>
      <c r="N37" s="36"/>
    </row>
    <row r="38" spans="1:15">
      <c r="A38" s="246" t="s">
        <v>130</v>
      </c>
      <c r="B38" s="247" t="s">
        <v>131</v>
      </c>
      <c r="C38" s="239" t="s">
        <v>561</v>
      </c>
      <c r="D38" s="239" t="s">
        <v>29</v>
      </c>
      <c r="E38" s="240" t="s">
        <v>30</v>
      </c>
      <c r="F38" s="202"/>
      <c r="G38" s="202"/>
      <c r="H38" s="202"/>
      <c r="I38" s="202"/>
      <c r="J38" s="202"/>
      <c r="K38" s="208">
        <v>248.27</v>
      </c>
      <c r="L38" s="202"/>
      <c r="M38" s="202"/>
      <c r="N38" s="36"/>
    </row>
    <row r="39" spans="1:15">
      <c r="A39" s="246" t="s">
        <v>49</v>
      </c>
      <c r="B39" s="247" t="s">
        <v>50</v>
      </c>
      <c r="C39" s="239" t="s">
        <v>561</v>
      </c>
      <c r="D39" s="239" t="s">
        <v>29</v>
      </c>
      <c r="E39" s="240" t="s">
        <v>30</v>
      </c>
      <c r="F39" s="202"/>
      <c r="G39" s="202"/>
      <c r="H39" s="202"/>
      <c r="I39" s="202"/>
      <c r="J39" s="202"/>
      <c r="K39" s="208">
        <v>249.6</v>
      </c>
      <c r="L39" s="202"/>
      <c r="M39" s="202"/>
      <c r="N39" s="36"/>
    </row>
    <row r="40" spans="1:15">
      <c r="A40" s="246" t="s">
        <v>51</v>
      </c>
      <c r="B40" s="247" t="s">
        <v>52</v>
      </c>
      <c r="C40" s="239" t="s">
        <v>561</v>
      </c>
      <c r="D40" s="239" t="s">
        <v>29</v>
      </c>
      <c r="E40" s="240" t="s">
        <v>30</v>
      </c>
      <c r="F40" s="202"/>
      <c r="G40" s="202"/>
      <c r="H40" s="202"/>
      <c r="I40" s="202"/>
      <c r="J40" s="202"/>
      <c r="K40" s="208">
        <v>1331.2</v>
      </c>
      <c r="L40" s="202"/>
      <c r="M40" s="202"/>
      <c r="N40" s="36"/>
    </row>
    <row r="41" spans="1:15">
      <c r="A41" s="246" t="s">
        <v>449</v>
      </c>
      <c r="B41" s="247" t="s">
        <v>450</v>
      </c>
      <c r="C41" s="239" t="s">
        <v>561</v>
      </c>
      <c r="D41" s="239" t="s">
        <v>29</v>
      </c>
      <c r="E41" s="240" t="s">
        <v>30</v>
      </c>
      <c r="F41" s="202"/>
      <c r="G41" s="202"/>
      <c r="H41" s="202"/>
      <c r="I41" s="202"/>
      <c r="J41" s="202"/>
      <c r="K41" s="208">
        <v>147.5</v>
      </c>
      <c r="L41" s="202"/>
      <c r="M41" s="202"/>
      <c r="N41" s="36"/>
    </row>
    <row r="42" spans="1:15">
      <c r="A42" s="246" t="s">
        <v>392</v>
      </c>
      <c r="B42" s="247" t="s">
        <v>393</v>
      </c>
      <c r="C42" s="239" t="s">
        <v>561</v>
      </c>
      <c r="D42" s="239" t="s">
        <v>29</v>
      </c>
      <c r="E42" s="240" t="s">
        <v>30</v>
      </c>
      <c r="F42" s="202"/>
      <c r="G42" s="202"/>
      <c r="H42" s="202"/>
      <c r="I42" s="202"/>
      <c r="J42" s="202"/>
      <c r="K42" s="248">
        <v>255.6</v>
      </c>
      <c r="L42" s="202"/>
      <c r="M42" s="202"/>
      <c r="N42" s="36"/>
    </row>
    <row r="43" spans="1:15">
      <c r="A43" s="246" t="s">
        <v>55</v>
      </c>
      <c r="B43" s="247" t="s">
        <v>56</v>
      </c>
      <c r="C43" s="239" t="s">
        <v>561</v>
      </c>
      <c r="D43" s="239" t="s">
        <v>29</v>
      </c>
      <c r="E43" s="240" t="s">
        <v>30</v>
      </c>
      <c r="F43" s="202"/>
      <c r="G43" s="202"/>
      <c r="H43" s="202"/>
      <c r="I43" s="202"/>
      <c r="J43" s="202"/>
      <c r="K43" s="249">
        <v>922.4</v>
      </c>
      <c r="L43" s="202"/>
      <c r="M43" s="202"/>
      <c r="N43" s="36"/>
    </row>
    <row r="44" spans="1:15">
      <c r="A44" s="246" t="s">
        <v>184</v>
      </c>
      <c r="B44" s="247" t="s">
        <v>185</v>
      </c>
      <c r="C44" s="239" t="s">
        <v>561</v>
      </c>
      <c r="D44" s="239" t="s">
        <v>29</v>
      </c>
      <c r="E44" s="240" t="s">
        <v>30</v>
      </c>
      <c r="F44" s="202"/>
      <c r="G44" s="202"/>
      <c r="H44" s="202"/>
      <c r="I44" s="202"/>
      <c r="J44" s="202"/>
      <c r="K44" s="250">
        <v>772</v>
      </c>
      <c r="L44" s="202"/>
      <c r="M44" s="202"/>
      <c r="N44" s="36"/>
    </row>
    <row r="45" spans="1:15">
      <c r="A45" s="251" t="s">
        <v>188</v>
      </c>
      <c r="B45" s="247" t="s">
        <v>189</v>
      </c>
      <c r="C45" s="239" t="s">
        <v>561</v>
      </c>
      <c r="D45" s="239" t="s">
        <v>29</v>
      </c>
      <c r="E45" s="240" t="s">
        <v>30</v>
      </c>
      <c r="F45" s="202"/>
      <c r="G45" s="202"/>
      <c r="H45" s="202"/>
      <c r="I45" s="202"/>
      <c r="J45" s="202"/>
      <c r="K45" s="252">
        <v>432.52</v>
      </c>
      <c r="L45" s="202"/>
      <c r="M45" s="202"/>
      <c r="N45" s="36"/>
    </row>
    <row r="46" spans="1:15">
      <c r="A46" s="251" t="s">
        <v>58</v>
      </c>
      <c r="B46" s="247" t="s">
        <v>59</v>
      </c>
      <c r="C46" s="239" t="s">
        <v>561</v>
      </c>
      <c r="D46" s="239" t="s">
        <v>29</v>
      </c>
      <c r="E46" s="240" t="s">
        <v>30</v>
      </c>
      <c r="F46" s="202"/>
      <c r="G46" s="202"/>
      <c r="H46" s="202"/>
      <c r="I46" s="202"/>
      <c r="J46" s="202"/>
      <c r="K46" s="208">
        <v>757.12</v>
      </c>
      <c r="L46" s="202"/>
      <c r="M46" s="202"/>
      <c r="N46" s="36"/>
    </row>
    <row r="47" spans="1:15">
      <c r="A47" s="246" t="s">
        <v>141</v>
      </c>
      <c r="B47" s="247" t="s">
        <v>142</v>
      </c>
      <c r="C47" s="239" t="s">
        <v>561</v>
      </c>
      <c r="D47" s="239" t="s">
        <v>29</v>
      </c>
      <c r="E47" s="240" t="s">
        <v>30</v>
      </c>
      <c r="F47" s="202"/>
      <c r="G47" s="202"/>
      <c r="H47" s="202"/>
      <c r="I47" s="202"/>
      <c r="J47" s="202"/>
      <c r="K47" s="208">
        <v>3750.8</v>
      </c>
      <c r="L47" s="202"/>
      <c r="M47" s="202"/>
      <c r="N47" s="36"/>
    </row>
    <row r="48" spans="1:15">
      <c r="A48" s="251" t="s">
        <v>143</v>
      </c>
      <c r="B48" s="247" t="s">
        <v>144</v>
      </c>
      <c r="C48" s="239" t="s">
        <v>561</v>
      </c>
      <c r="D48" s="239" t="s">
        <v>29</v>
      </c>
      <c r="E48" s="240" t="s">
        <v>30</v>
      </c>
      <c r="F48" s="202"/>
      <c r="G48" s="202"/>
      <c r="H48" s="202"/>
      <c r="I48" s="202"/>
      <c r="J48" s="202"/>
      <c r="K48" s="208">
        <v>4771.4</v>
      </c>
      <c r="L48" s="202"/>
      <c r="M48" s="202"/>
      <c r="N48" s="36"/>
    </row>
    <row r="49" spans="1:15">
      <c r="A49" s="246" t="s">
        <v>255</v>
      </c>
      <c r="B49" s="247" t="s">
        <v>256</v>
      </c>
      <c r="C49" s="239" t="s">
        <v>561</v>
      </c>
      <c r="D49" s="239" t="s">
        <v>29</v>
      </c>
      <c r="E49" s="240" t="s">
        <v>30</v>
      </c>
      <c r="F49" s="202"/>
      <c r="G49" s="202"/>
      <c r="H49" s="202"/>
      <c r="I49" s="202"/>
      <c r="J49" s="202"/>
      <c r="K49" s="208">
        <v>366.6</v>
      </c>
      <c r="L49" s="202"/>
      <c r="M49" s="202"/>
      <c r="N49" s="36"/>
    </row>
    <row r="50" spans="1:15">
      <c r="A50" s="206" t="s">
        <v>64</v>
      </c>
      <c r="B50" s="207" t="s">
        <v>65</v>
      </c>
      <c r="C50" s="239" t="s">
        <v>561</v>
      </c>
      <c r="D50" s="239" t="s">
        <v>29</v>
      </c>
      <c r="E50" s="240" t="s">
        <v>30</v>
      </c>
      <c r="F50" s="202"/>
      <c r="G50" s="202"/>
      <c r="H50" s="202"/>
      <c r="I50" s="202"/>
      <c r="J50" s="202"/>
      <c r="K50" s="208">
        <v>149.4</v>
      </c>
      <c r="L50" s="202"/>
      <c r="M50" s="202"/>
      <c r="N50" s="36"/>
    </row>
    <row r="51" spans="1:15">
      <c r="A51" s="251" t="s">
        <v>257</v>
      </c>
      <c r="B51" s="247" t="s">
        <v>258</v>
      </c>
      <c r="C51" s="239" t="s">
        <v>561</v>
      </c>
      <c r="D51" s="239" t="s">
        <v>29</v>
      </c>
      <c r="E51" s="240" t="s">
        <v>30</v>
      </c>
      <c r="F51" s="202"/>
      <c r="G51" s="202"/>
      <c r="H51" s="202"/>
      <c r="I51" s="202"/>
      <c r="J51" s="202"/>
      <c r="K51" s="208">
        <v>149.4</v>
      </c>
      <c r="L51" s="202"/>
      <c r="M51" s="202"/>
      <c r="N51" s="36"/>
    </row>
    <row r="52" spans="1:15">
      <c r="A52" s="251" t="s">
        <v>311</v>
      </c>
      <c r="B52" s="247" t="s">
        <v>312</v>
      </c>
      <c r="C52" s="239" t="s">
        <v>561</v>
      </c>
      <c r="D52" s="239" t="s">
        <v>29</v>
      </c>
      <c r="E52" s="240" t="s">
        <v>30</v>
      </c>
      <c r="F52" s="202"/>
      <c r="G52" s="202"/>
      <c r="H52" s="202"/>
      <c r="I52" s="202"/>
      <c r="J52" s="202"/>
      <c r="K52" s="208">
        <v>74.7</v>
      </c>
      <c r="L52" s="202"/>
      <c r="M52" s="202"/>
      <c r="N52" s="36"/>
    </row>
    <row r="53" spans="1:15" customHeight="1" ht="31.5">
      <c r="A53" s="206" t="s">
        <v>66</v>
      </c>
      <c r="B53" s="207" t="s">
        <v>67</v>
      </c>
      <c r="C53" s="239" t="s">
        <v>561</v>
      </c>
      <c r="D53" s="239" t="s">
        <v>29</v>
      </c>
      <c r="E53" s="240" t="s">
        <v>30</v>
      </c>
      <c r="F53" s="202"/>
      <c r="G53" s="202"/>
      <c r="H53" s="202"/>
      <c r="I53" s="202"/>
      <c r="J53" s="202"/>
      <c r="K53" s="208">
        <v>35.28</v>
      </c>
      <c r="L53" s="202"/>
      <c r="M53" s="202"/>
      <c r="N53" s="36"/>
    </row>
    <row r="54" spans="1:15" customHeight="1" ht="31.5">
      <c r="A54" s="206" t="s">
        <v>68</v>
      </c>
      <c r="B54" s="207" t="s">
        <v>69</v>
      </c>
      <c r="C54" s="239" t="s">
        <v>561</v>
      </c>
      <c r="D54" s="239" t="s">
        <v>29</v>
      </c>
      <c r="E54" s="240" t="s">
        <v>30</v>
      </c>
      <c r="F54" s="202"/>
      <c r="G54" s="202"/>
      <c r="H54" s="202"/>
      <c r="I54" s="202"/>
      <c r="J54" s="202"/>
      <c r="K54" s="207">
        <v>82.68</v>
      </c>
      <c r="L54" s="202"/>
      <c r="M54" s="202"/>
      <c r="N54" s="36"/>
    </row>
    <row r="55" spans="1:15">
      <c r="A55" s="246" t="s">
        <v>147</v>
      </c>
      <c r="B55" s="253" t="s">
        <v>148</v>
      </c>
      <c r="C55" s="239" t="s">
        <v>561</v>
      </c>
      <c r="D55" s="239" t="s">
        <v>29</v>
      </c>
      <c r="E55" s="240" t="s">
        <v>30</v>
      </c>
      <c r="F55" s="202"/>
      <c r="G55" s="202"/>
      <c r="H55" s="202"/>
      <c r="I55" s="202"/>
      <c r="J55" s="202"/>
      <c r="K55" s="207">
        <v>207.9</v>
      </c>
      <c r="L55" s="202"/>
      <c r="M55" s="202"/>
      <c r="N55" s="36"/>
    </row>
    <row r="56" spans="1:15" customHeight="1" ht="31.5">
      <c r="A56" s="206" t="s">
        <v>190</v>
      </c>
      <c r="B56" s="207" t="s">
        <v>191</v>
      </c>
      <c r="C56" s="239" t="s">
        <v>561</v>
      </c>
      <c r="D56" s="239" t="s">
        <v>29</v>
      </c>
      <c r="E56" s="240" t="s">
        <v>30</v>
      </c>
      <c r="F56" s="202"/>
      <c r="G56" s="202"/>
      <c r="H56" s="202"/>
      <c r="I56" s="202"/>
      <c r="J56" s="202"/>
      <c r="K56" s="207">
        <v>834.25</v>
      </c>
      <c r="L56" s="202"/>
      <c r="M56" s="202"/>
      <c r="N56" s="36"/>
    </row>
    <row r="57" spans="1:15">
      <c r="A57" s="246" t="s">
        <v>74</v>
      </c>
      <c r="B57" s="247" t="s">
        <v>75</v>
      </c>
      <c r="C57" s="239" t="s">
        <v>561</v>
      </c>
      <c r="D57" s="239" t="s">
        <v>29</v>
      </c>
      <c r="E57" s="240" t="s">
        <v>30</v>
      </c>
      <c r="F57" s="202"/>
      <c r="G57" s="202"/>
      <c r="H57" s="202"/>
      <c r="I57" s="202"/>
      <c r="J57" s="202"/>
      <c r="K57" s="254">
        <v>1456</v>
      </c>
      <c r="L57" s="202"/>
      <c r="M57" s="202"/>
      <c r="N57" s="36"/>
    </row>
    <row r="58" spans="1:15" customHeight="1" ht="31.5">
      <c r="A58" s="246" t="s">
        <v>390</v>
      </c>
      <c r="B58" s="207" t="s">
        <v>391</v>
      </c>
      <c r="C58" s="239" t="s">
        <v>561</v>
      </c>
      <c r="D58" s="239" t="s">
        <v>29</v>
      </c>
      <c r="E58" s="240" t="s">
        <v>30</v>
      </c>
      <c r="F58" s="202"/>
      <c r="G58" s="202"/>
      <c r="H58" s="202"/>
      <c r="I58" s="202"/>
      <c r="J58" s="202"/>
      <c r="K58" s="208">
        <v>888.16</v>
      </c>
      <c r="L58" s="202"/>
      <c r="M58" s="202"/>
      <c r="N58" s="36"/>
    </row>
    <row r="59" spans="1:15">
      <c r="A59" s="246" t="s">
        <v>425</v>
      </c>
      <c r="B59" s="247" t="s">
        <v>426</v>
      </c>
      <c r="C59" s="239" t="s">
        <v>561</v>
      </c>
      <c r="D59" s="239" t="s">
        <v>29</v>
      </c>
      <c r="E59" s="240" t="s">
        <v>30</v>
      </c>
      <c r="F59" s="202"/>
      <c r="G59" s="202"/>
      <c r="H59" s="202"/>
      <c r="I59" s="202"/>
      <c r="J59" s="202"/>
      <c r="K59" s="208">
        <v>251.16</v>
      </c>
      <c r="L59" s="202"/>
      <c r="M59" s="202"/>
      <c r="N59" s="36"/>
    </row>
    <row r="60" spans="1:15" customHeight="1" ht="31.5">
      <c r="A60" s="206" t="s">
        <v>192</v>
      </c>
      <c r="B60" s="207" t="s">
        <v>77</v>
      </c>
      <c r="C60" s="239" t="s">
        <v>561</v>
      </c>
      <c r="D60" s="239" t="s">
        <v>29</v>
      </c>
      <c r="E60" s="240" t="s">
        <v>30</v>
      </c>
      <c r="F60" s="202"/>
      <c r="G60" s="202"/>
      <c r="H60" s="202"/>
      <c r="I60" s="202"/>
      <c r="J60" s="202"/>
      <c r="K60" s="208">
        <v>259.42</v>
      </c>
      <c r="L60" s="202"/>
      <c r="M60" s="202"/>
      <c r="N60" s="36"/>
    </row>
    <row r="61" spans="1:15">
      <c r="A61" s="246" t="s">
        <v>192</v>
      </c>
      <c r="B61" s="247" t="s">
        <v>193</v>
      </c>
      <c r="C61" s="239" t="s">
        <v>561</v>
      </c>
      <c r="D61" s="239" t="s">
        <v>29</v>
      </c>
      <c r="E61" s="240" t="s">
        <v>30</v>
      </c>
      <c r="F61" s="202"/>
      <c r="G61" s="202"/>
      <c r="H61" s="202"/>
      <c r="I61" s="202"/>
      <c r="J61" s="202"/>
      <c r="K61" s="208">
        <v>355.68</v>
      </c>
      <c r="L61" s="202"/>
      <c r="M61" s="202"/>
      <c r="N61" s="36"/>
    </row>
    <row r="62" spans="1:15" customHeight="1" ht="31.5">
      <c r="A62" s="206" t="s">
        <v>269</v>
      </c>
      <c r="B62" s="207" t="s">
        <v>270</v>
      </c>
      <c r="C62" s="239" t="s">
        <v>561</v>
      </c>
      <c r="D62" s="239" t="s">
        <v>29</v>
      </c>
      <c r="E62" s="240" t="s">
        <v>30</v>
      </c>
      <c r="F62" s="202"/>
      <c r="G62" s="202"/>
      <c r="H62" s="202"/>
      <c r="I62" s="202"/>
      <c r="J62" s="202"/>
      <c r="K62" s="208">
        <v>6626</v>
      </c>
      <c r="L62" s="202"/>
      <c r="M62" s="202"/>
      <c r="N62" s="36"/>
    </row>
    <row r="63" spans="1:15">
      <c r="A63" s="246" t="s">
        <v>427</v>
      </c>
      <c r="B63" s="247" t="s">
        <v>428</v>
      </c>
      <c r="C63" s="239" t="s">
        <v>561</v>
      </c>
      <c r="D63" s="239" t="s">
        <v>29</v>
      </c>
      <c r="E63" s="240" t="s">
        <v>30</v>
      </c>
      <c r="F63" s="202"/>
      <c r="G63" s="202"/>
      <c r="H63" s="202"/>
      <c r="I63" s="202"/>
      <c r="J63" s="202"/>
      <c r="K63" s="208">
        <v>7567.2</v>
      </c>
      <c r="L63" s="202"/>
      <c r="M63" s="202"/>
      <c r="N63" s="36"/>
    </row>
    <row r="64" spans="1:15">
      <c r="A64" s="246" t="s">
        <v>271</v>
      </c>
      <c r="B64" s="247" t="s">
        <v>272</v>
      </c>
      <c r="C64" s="239" t="s">
        <v>561</v>
      </c>
      <c r="D64" s="239" t="s">
        <v>29</v>
      </c>
      <c r="E64" s="240" t="s">
        <v>30</v>
      </c>
      <c r="F64" s="202"/>
      <c r="G64" s="202"/>
      <c r="H64" s="202"/>
      <c r="I64" s="202"/>
      <c r="J64" s="202"/>
      <c r="K64" s="208">
        <v>2203.84</v>
      </c>
      <c r="L64" s="202"/>
      <c r="M64" s="202"/>
      <c r="N64" s="36"/>
    </row>
    <row r="65" spans="1:15">
      <c r="A65" s="246" t="s">
        <v>78</v>
      </c>
      <c r="B65" s="247" t="s">
        <v>79</v>
      </c>
      <c r="C65" s="239" t="s">
        <v>561</v>
      </c>
      <c r="D65" s="239" t="s">
        <v>29</v>
      </c>
      <c r="E65" s="240" t="s">
        <v>30</v>
      </c>
      <c r="F65" s="202"/>
      <c r="G65" s="202"/>
      <c r="H65" s="202"/>
      <c r="I65" s="202"/>
      <c r="J65" s="202"/>
      <c r="K65" s="208">
        <v>3178.2</v>
      </c>
      <c r="L65" s="202"/>
      <c r="M65" s="202"/>
      <c r="N65" s="36"/>
    </row>
    <row r="66" spans="1:15">
      <c r="A66" s="246" t="s">
        <v>352</v>
      </c>
      <c r="B66" s="255" t="s">
        <v>353</v>
      </c>
      <c r="C66" s="239" t="s">
        <v>561</v>
      </c>
      <c r="D66" s="239" t="s">
        <v>29</v>
      </c>
      <c r="E66" s="240" t="s">
        <v>30</v>
      </c>
      <c r="F66" s="202"/>
      <c r="G66" s="202"/>
      <c r="H66" s="202"/>
      <c r="I66" s="202"/>
      <c r="J66" s="202"/>
      <c r="K66" s="208">
        <v>215.3</v>
      </c>
      <c r="L66" s="202"/>
      <c r="M66" s="202"/>
      <c r="N66" s="36"/>
    </row>
    <row r="67" spans="1:15">
      <c r="A67" s="246" t="s">
        <v>80</v>
      </c>
      <c r="B67" s="247" t="s">
        <v>81</v>
      </c>
      <c r="C67" s="239" t="s">
        <v>561</v>
      </c>
      <c r="D67" s="239" t="s">
        <v>29</v>
      </c>
      <c r="E67" s="240" t="s">
        <v>30</v>
      </c>
      <c r="F67" s="202"/>
      <c r="G67" s="202"/>
      <c r="H67" s="202"/>
      <c r="I67" s="202"/>
      <c r="J67" s="202"/>
      <c r="K67" s="208">
        <v>624</v>
      </c>
      <c r="L67" s="202"/>
      <c r="M67" s="202"/>
      <c r="N67" s="36"/>
    </row>
    <row r="68" spans="1:15">
      <c r="A68" s="246" t="s">
        <v>82</v>
      </c>
      <c r="B68" s="247" t="s">
        <v>83</v>
      </c>
      <c r="C68" s="239" t="s">
        <v>561</v>
      </c>
      <c r="D68" s="239" t="s">
        <v>29</v>
      </c>
      <c r="E68" s="240" t="s">
        <v>30</v>
      </c>
      <c r="F68" s="202"/>
      <c r="G68" s="202"/>
      <c r="H68" s="202"/>
      <c r="I68" s="202"/>
      <c r="J68" s="202"/>
      <c r="K68" s="208">
        <v>728</v>
      </c>
      <c r="L68" s="202"/>
      <c r="M68" s="202"/>
      <c r="N68" s="36"/>
    </row>
    <row r="69" spans="1:15" customHeight="1" ht="31.5">
      <c r="A69" s="206" t="s">
        <v>84</v>
      </c>
      <c r="B69" s="207" t="s">
        <v>85</v>
      </c>
      <c r="C69" s="239" t="s">
        <v>561</v>
      </c>
      <c r="D69" s="239" t="s">
        <v>29</v>
      </c>
      <c r="E69" s="240" t="s">
        <v>30</v>
      </c>
      <c r="F69" s="202"/>
      <c r="G69" s="202"/>
      <c r="H69" s="202"/>
      <c r="I69" s="202"/>
      <c r="J69" s="202"/>
      <c r="K69" s="208">
        <v>3452.8</v>
      </c>
      <c r="L69" s="202"/>
      <c r="M69" s="202"/>
      <c r="N69" s="36"/>
    </row>
    <row r="70" spans="1:15">
      <c r="A70" s="206" t="s">
        <v>570</v>
      </c>
      <c r="B70" s="247" t="s">
        <v>274</v>
      </c>
      <c r="C70" s="239" t="s">
        <v>561</v>
      </c>
      <c r="D70" s="239" t="s">
        <v>29</v>
      </c>
      <c r="E70" s="240" t="s">
        <v>30</v>
      </c>
      <c r="F70" s="202"/>
      <c r="G70" s="202"/>
      <c r="H70" s="202"/>
      <c r="I70" s="202"/>
      <c r="J70" s="202"/>
      <c r="K70" s="208">
        <v>727.65</v>
      </c>
      <c r="L70" s="202"/>
      <c r="M70" s="202"/>
      <c r="N70" s="36"/>
    </row>
    <row r="71" spans="1:15">
      <c r="A71" s="206" t="s">
        <v>151</v>
      </c>
      <c r="B71" s="207" t="s">
        <v>152</v>
      </c>
      <c r="C71" s="239" t="s">
        <v>561</v>
      </c>
      <c r="D71" s="239" t="s">
        <v>29</v>
      </c>
      <c r="E71" s="240" t="s">
        <v>30</v>
      </c>
      <c r="F71" s="202"/>
      <c r="G71" s="202"/>
      <c r="H71" s="202"/>
      <c r="I71" s="202"/>
      <c r="J71" s="202"/>
      <c r="K71" s="208">
        <v>696.8</v>
      </c>
      <c r="L71" s="202"/>
      <c r="M71" s="202"/>
      <c r="N71" s="36"/>
    </row>
    <row r="72" spans="1:15">
      <c r="A72" s="206" t="s">
        <v>571</v>
      </c>
      <c r="B72" s="247" t="s">
        <v>572</v>
      </c>
      <c r="C72" s="239" t="s">
        <v>561</v>
      </c>
      <c r="D72" s="239" t="s">
        <v>29</v>
      </c>
      <c r="E72" s="240" t="s">
        <v>30</v>
      </c>
      <c r="F72" s="202"/>
      <c r="G72" s="202"/>
      <c r="H72" s="202"/>
      <c r="I72" s="202"/>
      <c r="J72" s="202"/>
      <c r="K72" s="208">
        <v>4854.72</v>
      </c>
      <c r="L72" s="202"/>
      <c r="M72" s="202"/>
      <c r="N72" s="36"/>
    </row>
    <row r="73" spans="1:15">
      <c r="A73" s="206" t="s">
        <v>573</v>
      </c>
      <c r="B73" s="247" t="s">
        <v>574</v>
      </c>
      <c r="C73" s="239" t="s">
        <v>561</v>
      </c>
      <c r="D73" s="239" t="s">
        <v>29</v>
      </c>
      <c r="E73" s="240" t="s">
        <v>30</v>
      </c>
      <c r="F73" s="202"/>
      <c r="G73" s="202"/>
      <c r="H73" s="202"/>
      <c r="I73" s="202"/>
      <c r="J73" s="202"/>
      <c r="K73" s="208">
        <v>4854.72</v>
      </c>
      <c r="L73" s="202"/>
      <c r="M73" s="202"/>
      <c r="N73" s="36"/>
    </row>
    <row r="74" spans="1:15">
      <c r="A74" s="206" t="s">
        <v>575</v>
      </c>
      <c r="B74" s="247" t="s">
        <v>576</v>
      </c>
      <c r="C74" s="239" t="s">
        <v>561</v>
      </c>
      <c r="D74" s="239" t="s">
        <v>29</v>
      </c>
      <c r="E74" s="240" t="s">
        <v>30</v>
      </c>
      <c r="F74" s="202"/>
      <c r="G74" s="202"/>
      <c r="H74" s="202"/>
      <c r="I74" s="202"/>
      <c r="J74" s="202"/>
      <c r="K74" s="208">
        <v>5091.84</v>
      </c>
      <c r="L74" s="202"/>
      <c r="M74" s="202"/>
      <c r="N74" s="36"/>
    </row>
    <row r="75" spans="1:15">
      <c r="A75" s="206" t="s">
        <v>577</v>
      </c>
      <c r="B75" s="247" t="s">
        <v>578</v>
      </c>
      <c r="C75" s="239" t="s">
        <v>561</v>
      </c>
      <c r="D75" s="239" t="s">
        <v>29</v>
      </c>
      <c r="E75" s="240" t="s">
        <v>30</v>
      </c>
      <c r="F75" s="202"/>
      <c r="G75" s="202"/>
      <c r="H75" s="202"/>
      <c r="I75" s="202"/>
      <c r="J75" s="202"/>
      <c r="K75" s="208">
        <v>5091.84</v>
      </c>
      <c r="L75" s="202"/>
      <c r="M75" s="202"/>
      <c r="N75" s="36"/>
    </row>
    <row r="76" spans="1:15" customHeight="1" ht="31.5">
      <c r="A76" s="206" t="s">
        <v>579</v>
      </c>
      <c r="B76" s="207" t="s">
        <v>580</v>
      </c>
      <c r="C76" s="239" t="s">
        <v>561</v>
      </c>
      <c r="D76" s="239" t="s">
        <v>29</v>
      </c>
      <c r="E76" s="240" t="s">
        <v>30</v>
      </c>
      <c r="F76" s="202"/>
      <c r="G76" s="202"/>
      <c r="H76" s="202"/>
      <c r="I76" s="202"/>
      <c r="J76" s="202"/>
      <c r="K76" s="256" t="s">
        <v>581</v>
      </c>
      <c r="L76" s="202"/>
      <c r="M76" s="202"/>
      <c r="N76" s="36"/>
    </row>
    <row r="77" spans="1:15">
      <c r="A77" s="206"/>
      <c r="B77" s="207" t="s">
        <v>582</v>
      </c>
      <c r="C77" s="239" t="s">
        <v>561</v>
      </c>
      <c r="D77" s="239" t="s">
        <v>29</v>
      </c>
      <c r="E77" s="240" t="s">
        <v>30</v>
      </c>
      <c r="F77" s="202"/>
      <c r="G77" s="202"/>
      <c r="H77" s="202"/>
      <c r="I77" s="202"/>
      <c r="J77" s="202"/>
      <c r="K77" s="208">
        <v>122400</v>
      </c>
      <c r="L77" s="202"/>
      <c r="M77" s="202"/>
      <c r="N77" s="36"/>
    </row>
    <row r="78" spans="1:15">
      <c r="A78" s="206"/>
      <c r="B78" s="207" t="s">
        <v>583</v>
      </c>
      <c r="C78" s="239" t="s">
        <v>561</v>
      </c>
      <c r="D78" s="239" t="s">
        <v>29</v>
      </c>
      <c r="E78" s="240" t="s">
        <v>30</v>
      </c>
      <c r="F78" s="202"/>
      <c r="G78" s="202"/>
      <c r="H78" s="202"/>
      <c r="I78" s="202"/>
      <c r="J78" s="202"/>
      <c r="K78" s="208">
        <v>68000</v>
      </c>
      <c r="L78" s="202"/>
      <c r="M78" s="202"/>
      <c r="N78" s="36"/>
    </row>
    <row r="79" spans="1:15">
      <c r="A79" s="206"/>
      <c r="B79" s="207" t="s">
        <v>584</v>
      </c>
      <c r="C79" s="239" t="s">
        <v>561</v>
      </c>
      <c r="D79" s="239" t="s">
        <v>29</v>
      </c>
      <c r="E79" s="240" t="s">
        <v>30</v>
      </c>
      <c r="F79" s="202"/>
      <c r="G79" s="202"/>
      <c r="H79" s="202"/>
      <c r="I79" s="202"/>
      <c r="J79" s="202"/>
      <c r="K79" s="208">
        <v>2700</v>
      </c>
      <c r="L79" s="202"/>
      <c r="M79" s="202"/>
      <c r="N79" s="36"/>
    </row>
    <row r="80" spans="1:15">
      <c r="A80" s="206"/>
      <c r="B80" s="257" t="s">
        <v>585</v>
      </c>
      <c r="C80" s="239" t="s">
        <v>561</v>
      </c>
      <c r="D80" s="239" t="s">
        <v>29</v>
      </c>
      <c r="E80" s="240" t="s">
        <v>30</v>
      </c>
      <c r="F80" s="202"/>
      <c r="G80" s="202"/>
      <c r="H80" s="202"/>
      <c r="I80" s="202"/>
      <c r="J80" s="202"/>
      <c r="K80" s="208">
        <v>54000</v>
      </c>
      <c r="L80" s="202"/>
      <c r="M80" s="202"/>
      <c r="N80" s="36"/>
    </row>
    <row r="81" spans="1:15">
      <c r="A81" s="206"/>
      <c r="B81" s="258" t="s">
        <v>586</v>
      </c>
      <c r="C81" s="239" t="s">
        <v>561</v>
      </c>
      <c r="D81" s="239" t="s">
        <v>29</v>
      </c>
      <c r="E81" s="240" t="s">
        <v>30</v>
      </c>
      <c r="F81" s="202"/>
      <c r="G81" s="202"/>
      <c r="H81" s="202"/>
      <c r="I81" s="202"/>
      <c r="J81" s="202"/>
      <c r="K81" s="208">
        <v>45600</v>
      </c>
      <c r="L81" s="202"/>
      <c r="M81" s="202"/>
      <c r="N81" s="36"/>
    </row>
    <row r="82" spans="1:15">
      <c r="A82" s="206"/>
      <c r="B82" s="257" t="s">
        <v>587</v>
      </c>
      <c r="C82" s="239" t="s">
        <v>561</v>
      </c>
      <c r="D82" s="239" t="s">
        <v>29</v>
      </c>
      <c r="E82" s="240" t="s">
        <v>30</v>
      </c>
      <c r="F82" s="202"/>
      <c r="G82" s="202"/>
      <c r="H82" s="202"/>
      <c r="I82" s="202"/>
      <c r="J82" s="202"/>
      <c r="K82" s="208">
        <v>48000</v>
      </c>
      <c r="L82" s="202"/>
      <c r="M82" s="202"/>
      <c r="N82" s="36"/>
    </row>
    <row r="83" spans="1:15">
      <c r="A83" s="206" t="s">
        <v>588</v>
      </c>
      <c r="B83" s="257" t="s">
        <v>589</v>
      </c>
      <c r="C83" s="239" t="s">
        <v>561</v>
      </c>
      <c r="D83" s="239" t="s">
        <v>29</v>
      </c>
      <c r="E83" s="240" t="s">
        <v>30</v>
      </c>
      <c r="F83" s="202"/>
      <c r="G83" s="202"/>
      <c r="H83" s="202"/>
      <c r="I83" s="202"/>
      <c r="J83" s="202"/>
      <c r="K83" s="208">
        <v>45000</v>
      </c>
      <c r="L83" s="202"/>
      <c r="M83" s="202"/>
      <c r="N83" s="36"/>
    </row>
    <row r="84" spans="1:15">
      <c r="A84" s="206"/>
      <c r="B84" s="257" t="s">
        <v>590</v>
      </c>
      <c r="C84" s="239" t="s">
        <v>561</v>
      </c>
      <c r="D84" s="239" t="s">
        <v>29</v>
      </c>
      <c r="E84" s="240" t="s">
        <v>30</v>
      </c>
      <c r="F84" s="202"/>
      <c r="G84" s="202"/>
      <c r="H84" s="202"/>
      <c r="I84" s="202"/>
      <c r="J84" s="202"/>
      <c r="K84" s="208">
        <v>17000</v>
      </c>
      <c r="L84" s="202"/>
      <c r="M84" s="202"/>
      <c r="N84" s="36"/>
    </row>
    <row r="85" spans="1:15">
      <c r="A85" s="206"/>
      <c r="B85" s="257" t="s">
        <v>591</v>
      </c>
      <c r="C85" s="239" t="s">
        <v>561</v>
      </c>
      <c r="D85" s="239" t="s">
        <v>29</v>
      </c>
      <c r="E85" s="240" t="s">
        <v>30</v>
      </c>
      <c r="F85" s="202"/>
      <c r="G85" s="202"/>
      <c r="H85" s="202"/>
      <c r="I85" s="202"/>
      <c r="J85" s="202"/>
      <c r="K85" s="208">
        <v>9000</v>
      </c>
      <c r="L85" s="202"/>
      <c r="M85" s="202"/>
      <c r="N85" s="36"/>
    </row>
    <row r="86" spans="1:15">
      <c r="A86" s="206"/>
      <c r="B86" s="257" t="s">
        <v>592</v>
      </c>
      <c r="C86" s="239" t="s">
        <v>561</v>
      </c>
      <c r="D86" s="239" t="s">
        <v>29</v>
      </c>
      <c r="E86" s="240" t="s">
        <v>30</v>
      </c>
      <c r="F86" s="202"/>
      <c r="G86" s="202"/>
      <c r="H86" s="202"/>
      <c r="I86" s="202"/>
      <c r="J86" s="202"/>
      <c r="K86" s="259" t="s">
        <v>593</v>
      </c>
      <c r="L86" s="202"/>
      <c r="M86" s="202"/>
      <c r="N86" s="36"/>
    </row>
    <row r="87" spans="1:15">
      <c r="A87" s="206"/>
      <c r="B87" s="260" t="s">
        <v>594</v>
      </c>
      <c r="C87" s="239" t="s">
        <v>561</v>
      </c>
      <c r="D87" s="239" t="s">
        <v>29</v>
      </c>
      <c r="E87" s="240" t="s">
        <v>30</v>
      </c>
      <c r="F87" s="202"/>
      <c r="G87" s="202"/>
      <c r="H87" s="202"/>
      <c r="I87" s="202"/>
      <c r="J87" s="202"/>
      <c r="K87" s="261">
        <v>17000</v>
      </c>
      <c r="L87" s="202"/>
      <c r="M87" s="202"/>
      <c r="N87" s="36"/>
    </row>
    <row r="88" spans="1:15" customHeight="1" ht="16.5">
      <c r="A88" s="206"/>
      <c r="B88" s="262" t="s">
        <v>595</v>
      </c>
      <c r="C88" s="239" t="s">
        <v>561</v>
      </c>
      <c r="D88" s="239" t="s">
        <v>29</v>
      </c>
      <c r="E88" s="240" t="s">
        <v>30</v>
      </c>
      <c r="F88" s="202"/>
      <c r="G88" s="202"/>
      <c r="H88" s="202"/>
      <c r="I88" s="202"/>
      <c r="J88" s="202"/>
      <c r="K88" s="208">
        <v>26400</v>
      </c>
      <c r="L88" s="202"/>
      <c r="M88" s="202"/>
      <c r="N88" s="36"/>
    </row>
    <row r="89" spans="1:15" customHeight="1" ht="16.5">
      <c r="A89" s="206"/>
      <c r="B89" s="263" t="s">
        <v>596</v>
      </c>
      <c r="C89" s="239" t="s">
        <v>561</v>
      </c>
      <c r="D89" s="239" t="s">
        <v>29</v>
      </c>
      <c r="E89" s="240" t="s">
        <v>30</v>
      </c>
      <c r="F89" s="202"/>
      <c r="G89" s="202"/>
      <c r="H89" s="202"/>
      <c r="I89" s="202"/>
      <c r="J89" s="202"/>
      <c r="K89" s="208">
        <v>16000</v>
      </c>
      <c r="L89" s="202"/>
      <c r="M89" s="202"/>
      <c r="N89" s="36"/>
    </row>
    <row r="90" spans="1:15" customHeight="1" ht="16.5">
      <c r="A90" s="206"/>
      <c r="B90" s="264" t="s">
        <v>597</v>
      </c>
      <c r="C90" s="239" t="s">
        <v>561</v>
      </c>
      <c r="D90" s="239" t="s">
        <v>29</v>
      </c>
      <c r="E90" s="240" t="s">
        <v>30</v>
      </c>
      <c r="F90" s="202"/>
      <c r="G90" s="202"/>
      <c r="H90" s="202"/>
      <c r="I90" s="202"/>
      <c r="J90" s="202"/>
      <c r="K90" s="208">
        <v>8400</v>
      </c>
      <c r="L90" s="202"/>
      <c r="M90" s="202"/>
      <c r="N90" s="36"/>
    </row>
    <row r="91" spans="1:15" customHeight="1" ht="16.5">
      <c r="A91" s="206"/>
      <c r="B91" s="263" t="s">
        <v>598</v>
      </c>
      <c r="C91" s="239" t="s">
        <v>561</v>
      </c>
      <c r="D91" s="239" t="s">
        <v>29</v>
      </c>
      <c r="E91" s="240" t="s">
        <v>30</v>
      </c>
      <c r="F91" s="202"/>
      <c r="G91" s="202"/>
      <c r="H91" s="202"/>
      <c r="I91" s="202"/>
      <c r="J91" s="202"/>
      <c r="K91" s="208">
        <v>64000</v>
      </c>
      <c r="L91" s="202"/>
      <c r="M91" s="202"/>
      <c r="N91" s="36"/>
    </row>
    <row r="92" spans="1:15" customHeight="1" ht="16.5">
      <c r="A92" s="206"/>
      <c r="B92" s="264" t="s">
        <v>599</v>
      </c>
      <c r="C92" s="239" t="s">
        <v>561</v>
      </c>
      <c r="D92" s="239" t="s">
        <v>29</v>
      </c>
      <c r="E92" s="240" t="s">
        <v>30</v>
      </c>
      <c r="F92" s="202"/>
      <c r="G92" s="202"/>
      <c r="H92" s="202"/>
      <c r="I92" s="202"/>
      <c r="J92" s="202"/>
      <c r="K92" s="208">
        <v>20400</v>
      </c>
      <c r="L92" s="202"/>
      <c r="M92" s="202"/>
      <c r="N92" s="36"/>
    </row>
    <row r="93" spans="1:15" customHeight="1" ht="16.5">
      <c r="A93" s="206"/>
      <c r="B93" s="263" t="s">
        <v>600</v>
      </c>
      <c r="C93" s="239" t="s">
        <v>561</v>
      </c>
      <c r="D93" s="239" t="s">
        <v>29</v>
      </c>
      <c r="E93" s="240" t="s">
        <v>30</v>
      </c>
      <c r="F93" s="202"/>
      <c r="G93" s="202"/>
      <c r="H93" s="202"/>
      <c r="I93" s="202"/>
      <c r="J93" s="202"/>
      <c r="K93" s="208">
        <v>14000</v>
      </c>
      <c r="L93" s="202"/>
      <c r="M93" s="202"/>
      <c r="N93" s="36"/>
    </row>
    <row r="94" spans="1:15">
      <c r="A94" s="206"/>
      <c r="B94" s="207" t="s">
        <v>601</v>
      </c>
      <c r="C94" s="239" t="s">
        <v>561</v>
      </c>
      <c r="D94" s="239" t="s">
        <v>29</v>
      </c>
      <c r="E94" s="240" t="s">
        <v>30</v>
      </c>
      <c r="F94" s="202"/>
      <c r="G94" s="202"/>
      <c r="H94" s="202"/>
      <c r="I94" s="202"/>
      <c r="J94" s="202"/>
      <c r="K94" s="208">
        <v>33600</v>
      </c>
      <c r="L94" s="202"/>
      <c r="M94" s="202"/>
      <c r="N94" s="36"/>
    </row>
    <row r="95" spans="1:15">
      <c r="A95" s="206"/>
      <c r="B95" s="207" t="s">
        <v>602</v>
      </c>
      <c r="C95" s="239" t="s">
        <v>561</v>
      </c>
      <c r="D95" s="239" t="s">
        <v>29</v>
      </c>
      <c r="E95" s="240" t="s">
        <v>30</v>
      </c>
      <c r="F95" s="202"/>
      <c r="G95" s="202"/>
      <c r="H95" s="202"/>
      <c r="I95" s="202"/>
      <c r="J95" s="202"/>
      <c r="K95" s="208">
        <v>19200</v>
      </c>
      <c r="L95" s="202"/>
      <c r="M95" s="202"/>
      <c r="N95" s="36"/>
    </row>
    <row r="96" spans="1:15">
      <c r="A96" s="206"/>
      <c r="B96" s="207" t="s">
        <v>603</v>
      </c>
      <c r="C96" s="239" t="s">
        <v>561</v>
      </c>
      <c r="D96" s="239" t="s">
        <v>29</v>
      </c>
      <c r="E96" s="240" t="s">
        <v>30</v>
      </c>
      <c r="F96" s="202"/>
      <c r="G96" s="202"/>
      <c r="H96" s="202"/>
      <c r="I96" s="202"/>
      <c r="J96" s="202"/>
      <c r="K96" s="208">
        <v>15000</v>
      </c>
      <c r="L96" s="202"/>
      <c r="M96" s="202"/>
      <c r="N96" s="36"/>
    </row>
    <row r="97" spans="1:15">
      <c r="A97" s="206"/>
      <c r="B97" s="207" t="s">
        <v>604</v>
      </c>
      <c r="C97" s="239" t="s">
        <v>561</v>
      </c>
      <c r="D97" s="239" t="s">
        <v>29</v>
      </c>
      <c r="E97" s="240" t="s">
        <v>30</v>
      </c>
      <c r="F97" s="202"/>
      <c r="G97" s="202"/>
      <c r="H97" s="202"/>
      <c r="I97" s="202"/>
      <c r="J97" s="202"/>
      <c r="K97" s="208">
        <v>46800</v>
      </c>
      <c r="L97" s="202"/>
      <c r="M97" s="202"/>
      <c r="N97" s="36"/>
    </row>
    <row r="98" spans="1:15">
      <c r="A98" s="206"/>
      <c r="B98" s="207" t="s">
        <v>605</v>
      </c>
      <c r="C98" s="239" t="s">
        <v>561</v>
      </c>
      <c r="D98" s="239" t="s">
        <v>29</v>
      </c>
      <c r="E98" s="240" t="s">
        <v>30</v>
      </c>
      <c r="F98" s="202"/>
      <c r="G98" s="202"/>
      <c r="H98" s="202"/>
      <c r="I98" s="202"/>
      <c r="J98" s="202"/>
      <c r="K98" s="208">
        <v>16200</v>
      </c>
      <c r="L98" s="202"/>
      <c r="M98" s="202"/>
      <c r="N98" s="36"/>
    </row>
    <row r="99" spans="1:15">
      <c r="A99" s="206"/>
      <c r="B99" s="207" t="s">
        <v>606</v>
      </c>
      <c r="C99" s="239" t="s">
        <v>561</v>
      </c>
      <c r="D99" s="239" t="s">
        <v>29</v>
      </c>
      <c r="E99" s="240" t="s">
        <v>30</v>
      </c>
      <c r="F99" s="202"/>
      <c r="G99" s="202"/>
      <c r="H99" s="202"/>
      <c r="I99" s="202"/>
      <c r="J99" s="202"/>
      <c r="K99" s="208">
        <v>24000</v>
      </c>
      <c r="L99" s="202"/>
      <c r="M99" s="202"/>
      <c r="N99" s="36"/>
    </row>
    <row r="100" spans="1:15">
      <c r="A100" s="206"/>
      <c r="B100" s="207" t="s">
        <v>607</v>
      </c>
      <c r="C100" s="239" t="s">
        <v>561</v>
      </c>
      <c r="D100" s="239" t="s">
        <v>29</v>
      </c>
      <c r="E100" s="240" t="s">
        <v>30</v>
      </c>
      <c r="F100" s="202"/>
      <c r="G100" s="202"/>
      <c r="H100" s="202"/>
      <c r="I100" s="202"/>
      <c r="J100" s="202"/>
      <c r="K100" s="208">
        <v>6000</v>
      </c>
      <c r="L100" s="202"/>
      <c r="M100" s="202"/>
      <c r="N100" s="36"/>
    </row>
    <row r="101" spans="1:15">
      <c r="A101" s="206"/>
      <c r="B101" s="207" t="s">
        <v>608</v>
      </c>
      <c r="C101" s="239" t="s">
        <v>561</v>
      </c>
      <c r="D101" s="239" t="s">
        <v>29</v>
      </c>
      <c r="E101" s="240" t="s">
        <v>30</v>
      </c>
      <c r="F101" s="202"/>
      <c r="G101" s="202"/>
      <c r="H101" s="202"/>
      <c r="I101" s="202"/>
      <c r="J101" s="202"/>
      <c r="K101" s="208">
        <v>9200</v>
      </c>
      <c r="L101" s="202"/>
      <c r="M101" s="202"/>
      <c r="N101" s="36"/>
    </row>
    <row r="102" spans="1:15">
      <c r="A102" s="206"/>
      <c r="B102" s="207" t="s">
        <v>609</v>
      </c>
      <c r="C102" s="239" t="s">
        <v>561</v>
      </c>
      <c r="D102" s="239" t="s">
        <v>29</v>
      </c>
      <c r="E102" s="240" t="s">
        <v>30</v>
      </c>
      <c r="F102" s="202"/>
      <c r="G102" s="202"/>
      <c r="H102" s="202"/>
      <c r="I102" s="202"/>
      <c r="J102" s="202"/>
      <c r="K102" s="208">
        <v>19200</v>
      </c>
      <c r="L102" s="202"/>
      <c r="M102" s="202"/>
      <c r="N102" s="36"/>
    </row>
    <row r="103" spans="1:15">
      <c r="A103" s="206"/>
      <c r="B103" s="207" t="s">
        <v>610</v>
      </c>
      <c r="C103" s="239" t="s">
        <v>561</v>
      </c>
      <c r="D103" s="239" t="s">
        <v>29</v>
      </c>
      <c r="E103" s="240" t="s">
        <v>30</v>
      </c>
      <c r="F103" s="202"/>
      <c r="G103" s="202"/>
      <c r="H103" s="202"/>
      <c r="I103" s="202"/>
      <c r="J103" s="202"/>
      <c r="K103" s="208">
        <v>7500</v>
      </c>
      <c r="L103" s="202"/>
      <c r="M103" s="202"/>
      <c r="N103" s="36"/>
    </row>
    <row r="104" spans="1:15">
      <c r="A104" s="206"/>
      <c r="B104" s="207" t="s">
        <v>611</v>
      </c>
      <c r="C104" s="239" t="s">
        <v>561</v>
      </c>
      <c r="D104" s="239" t="s">
        <v>29</v>
      </c>
      <c r="E104" s="240" t="s">
        <v>30</v>
      </c>
      <c r="F104" s="202"/>
      <c r="G104" s="202"/>
      <c r="H104" s="202"/>
      <c r="I104" s="202"/>
      <c r="J104" s="202"/>
      <c r="K104" s="208">
        <v>18000</v>
      </c>
      <c r="L104" s="202"/>
      <c r="M104" s="202"/>
      <c r="N104" s="36"/>
    </row>
    <row r="105" spans="1:15">
      <c r="A105" s="206"/>
      <c r="B105" s="207" t="s">
        <v>612</v>
      </c>
      <c r="C105" s="239" t="s">
        <v>561</v>
      </c>
      <c r="D105" s="239" t="s">
        <v>29</v>
      </c>
      <c r="E105" s="240" t="s">
        <v>30</v>
      </c>
      <c r="F105" s="202"/>
      <c r="G105" s="202"/>
      <c r="H105" s="202"/>
      <c r="I105" s="202"/>
      <c r="J105" s="202"/>
      <c r="K105" s="208">
        <v>15680</v>
      </c>
      <c r="L105" s="202"/>
      <c r="M105" s="202"/>
      <c r="N105" s="36"/>
    </row>
    <row r="106" spans="1:15">
      <c r="A106" s="206"/>
      <c r="B106" s="207" t="s">
        <v>613</v>
      </c>
      <c r="C106" s="239" t="s">
        <v>561</v>
      </c>
      <c r="D106" s="239" t="s">
        <v>29</v>
      </c>
      <c r="E106" s="240" t="s">
        <v>30</v>
      </c>
      <c r="F106" s="202"/>
      <c r="G106" s="202"/>
      <c r="H106" s="202"/>
      <c r="I106" s="202"/>
      <c r="J106" s="202"/>
      <c r="K106" s="208">
        <v>2640</v>
      </c>
      <c r="L106" s="202"/>
      <c r="M106" s="202"/>
      <c r="N106" s="36"/>
    </row>
    <row r="107" spans="1:15">
      <c r="A107" s="206"/>
      <c r="B107" s="207" t="s">
        <v>614</v>
      </c>
      <c r="C107" s="239" t="s">
        <v>561</v>
      </c>
      <c r="D107" s="239" t="s">
        <v>29</v>
      </c>
      <c r="E107" s="240" t="s">
        <v>30</v>
      </c>
      <c r="F107" s="202"/>
      <c r="G107" s="202"/>
      <c r="H107" s="202"/>
      <c r="I107" s="202"/>
      <c r="J107" s="202"/>
      <c r="K107" s="208">
        <v>4000</v>
      </c>
      <c r="L107" s="202"/>
      <c r="M107" s="202"/>
      <c r="N107" s="36"/>
    </row>
    <row r="108" spans="1:15">
      <c r="A108" s="206"/>
      <c r="B108" s="207" t="s">
        <v>615</v>
      </c>
      <c r="C108" s="239" t="s">
        <v>561</v>
      </c>
      <c r="D108" s="239" t="s">
        <v>29</v>
      </c>
      <c r="E108" s="240" t="s">
        <v>30</v>
      </c>
      <c r="F108" s="202"/>
      <c r="G108" s="202"/>
      <c r="H108" s="202"/>
      <c r="I108" s="202"/>
      <c r="J108" s="202"/>
      <c r="K108" s="208">
        <v>15680</v>
      </c>
      <c r="L108" s="202"/>
      <c r="M108" s="202"/>
      <c r="N108" s="36"/>
    </row>
    <row r="109" spans="1:15">
      <c r="A109" s="206"/>
      <c r="B109" s="207" t="s">
        <v>616</v>
      </c>
      <c r="C109" s="239" t="s">
        <v>561</v>
      </c>
      <c r="D109" s="239" t="s">
        <v>29</v>
      </c>
      <c r="E109" s="240" t="s">
        <v>30</v>
      </c>
      <c r="F109" s="202"/>
      <c r="G109" s="202"/>
      <c r="H109" s="202"/>
      <c r="I109" s="202"/>
      <c r="J109" s="202"/>
      <c r="K109" s="208">
        <v>15200</v>
      </c>
      <c r="L109" s="202"/>
      <c r="M109" s="202"/>
      <c r="N109" s="36"/>
    </row>
    <row r="110" spans="1:15">
      <c r="A110" s="206"/>
      <c r="B110" s="207" t="s">
        <v>617</v>
      </c>
      <c r="C110" s="239" t="s">
        <v>561</v>
      </c>
      <c r="D110" s="239" t="s">
        <v>29</v>
      </c>
      <c r="E110" s="240" t="s">
        <v>30</v>
      </c>
      <c r="F110" s="202"/>
      <c r="G110" s="202"/>
      <c r="H110" s="202"/>
      <c r="I110" s="202"/>
      <c r="J110" s="202"/>
      <c r="K110" s="208">
        <v>12000</v>
      </c>
      <c r="L110" s="202"/>
      <c r="M110" s="202"/>
      <c r="N110" s="36"/>
    </row>
    <row r="111" spans="1:15" customHeight="1" ht="31.5">
      <c r="A111" s="206"/>
      <c r="B111" s="207" t="s">
        <v>618</v>
      </c>
      <c r="C111" s="239" t="s">
        <v>561</v>
      </c>
      <c r="D111" s="239" t="s">
        <v>29</v>
      </c>
      <c r="E111" s="240" t="s">
        <v>30</v>
      </c>
      <c r="F111" s="202"/>
      <c r="G111" s="202"/>
      <c r="H111" s="202"/>
      <c r="I111" s="202"/>
      <c r="J111" s="202"/>
      <c r="K111" s="208">
        <v>11000</v>
      </c>
      <c r="L111" s="202"/>
      <c r="M111" s="202"/>
      <c r="N111" s="36"/>
    </row>
    <row r="112" spans="1:15">
      <c r="A112" s="206"/>
      <c r="B112" s="207" t="s">
        <v>619</v>
      </c>
      <c r="C112" s="239" t="s">
        <v>561</v>
      </c>
      <c r="D112" s="239" t="s">
        <v>29</v>
      </c>
      <c r="E112" s="240" t="s">
        <v>30</v>
      </c>
      <c r="F112" s="202"/>
      <c r="G112" s="202"/>
      <c r="H112" s="202"/>
      <c r="I112" s="202"/>
      <c r="J112" s="202"/>
      <c r="K112" s="208">
        <v>960</v>
      </c>
      <c r="L112" s="202"/>
      <c r="M112" s="202"/>
      <c r="N112" s="36"/>
    </row>
    <row r="113" spans="1:15">
      <c r="A113" s="206"/>
      <c r="B113" s="207" t="s">
        <v>620</v>
      </c>
      <c r="C113" s="239" t="s">
        <v>561</v>
      </c>
      <c r="D113" s="239" t="s">
        <v>29</v>
      </c>
      <c r="E113" s="240" t="s">
        <v>30</v>
      </c>
      <c r="F113" s="202"/>
      <c r="G113" s="202"/>
      <c r="H113" s="202"/>
      <c r="I113" s="202"/>
      <c r="J113" s="202"/>
      <c r="K113" s="208">
        <v>800</v>
      </c>
      <c r="L113" s="202"/>
      <c r="M113" s="202"/>
      <c r="N113" s="36"/>
    </row>
    <row r="114" spans="1:15">
      <c r="A114" s="206"/>
      <c r="B114" s="207" t="s">
        <v>621</v>
      </c>
      <c r="C114" s="239" t="s">
        <v>561</v>
      </c>
      <c r="D114" s="239" t="s">
        <v>29</v>
      </c>
      <c r="E114" s="240" t="s">
        <v>30</v>
      </c>
      <c r="F114" s="202"/>
      <c r="G114" s="202"/>
      <c r="H114" s="202"/>
      <c r="I114" s="202"/>
      <c r="J114" s="202"/>
      <c r="K114" s="208">
        <v>510</v>
      </c>
      <c r="L114" s="202"/>
      <c r="M114" s="202"/>
      <c r="N114" s="36"/>
    </row>
    <row r="115" spans="1:15">
      <c r="A115" s="206"/>
      <c r="B115" s="207" t="s">
        <v>622</v>
      </c>
      <c r="C115" s="239" t="s">
        <v>561</v>
      </c>
      <c r="D115" s="239" t="s">
        <v>29</v>
      </c>
      <c r="E115" s="240" t="s">
        <v>30</v>
      </c>
      <c r="F115" s="202"/>
      <c r="G115" s="202"/>
      <c r="H115" s="202"/>
      <c r="I115" s="202"/>
      <c r="J115" s="202"/>
      <c r="K115" s="208">
        <v>6000</v>
      </c>
      <c r="L115" s="202"/>
      <c r="M115" s="202"/>
      <c r="N115" s="36"/>
    </row>
    <row r="116" spans="1:15">
      <c r="A116" s="206" t="s">
        <v>623</v>
      </c>
      <c r="B116" s="207" t="s">
        <v>624</v>
      </c>
      <c r="C116" s="239" t="s">
        <v>561</v>
      </c>
      <c r="D116" s="239" t="s">
        <v>29</v>
      </c>
      <c r="E116" s="240" t="s">
        <v>30</v>
      </c>
      <c r="F116" s="202"/>
      <c r="G116" s="202"/>
      <c r="H116" s="202"/>
      <c r="I116" s="202"/>
      <c r="J116" s="202"/>
      <c r="K116" s="208">
        <v>19500</v>
      </c>
      <c r="L116" s="202"/>
      <c r="M116" s="202"/>
      <c r="N116" s="36"/>
    </row>
    <row r="117" spans="1:15">
      <c r="A117" s="206"/>
      <c r="B117" s="207" t="s">
        <v>605</v>
      </c>
      <c r="C117" s="239" t="s">
        <v>561</v>
      </c>
      <c r="D117" s="239" t="s">
        <v>29</v>
      </c>
      <c r="E117" s="240" t="s">
        <v>30</v>
      </c>
      <c r="F117" s="202"/>
      <c r="G117" s="202"/>
      <c r="H117" s="202"/>
      <c r="I117" s="202"/>
      <c r="J117" s="202"/>
      <c r="K117" s="208">
        <v>5400</v>
      </c>
      <c r="L117" s="202"/>
      <c r="M117" s="202"/>
      <c r="N117" s="36"/>
    </row>
    <row r="118" spans="1:15">
      <c r="A118" s="206"/>
      <c r="B118" s="207" t="s">
        <v>625</v>
      </c>
      <c r="C118" s="239" t="s">
        <v>561</v>
      </c>
      <c r="D118" s="239" t="s">
        <v>29</v>
      </c>
      <c r="E118" s="240" t="s">
        <v>30</v>
      </c>
      <c r="F118" s="202"/>
      <c r="G118" s="202"/>
      <c r="H118" s="202"/>
      <c r="I118" s="202"/>
      <c r="J118" s="202"/>
      <c r="K118" s="208">
        <v>4000</v>
      </c>
      <c r="L118" s="202"/>
      <c r="M118" s="202"/>
      <c r="N118" s="36"/>
    </row>
    <row r="119" spans="1:15">
      <c r="A119" s="206"/>
      <c r="B119" s="207" t="s">
        <v>626</v>
      </c>
      <c r="C119" s="239" t="s">
        <v>561</v>
      </c>
      <c r="D119" s="239" t="s">
        <v>29</v>
      </c>
      <c r="E119" s="240" t="s">
        <v>30</v>
      </c>
      <c r="F119" s="202"/>
      <c r="G119" s="202"/>
      <c r="H119" s="202"/>
      <c r="I119" s="202"/>
      <c r="J119" s="202"/>
      <c r="K119" s="208">
        <v>4600</v>
      </c>
      <c r="L119" s="202"/>
      <c r="M119" s="202"/>
      <c r="N119" s="36"/>
    </row>
    <row r="120" spans="1:15">
      <c r="A120" s="206"/>
      <c r="B120" s="207" t="s">
        <v>627</v>
      </c>
      <c r="C120" s="239" t="s">
        <v>561</v>
      </c>
      <c r="D120" s="239" t="s">
        <v>29</v>
      </c>
      <c r="E120" s="240" t="s">
        <v>30</v>
      </c>
      <c r="F120" s="202"/>
      <c r="G120" s="202"/>
      <c r="H120" s="202"/>
      <c r="I120" s="202"/>
      <c r="J120" s="202"/>
      <c r="K120" s="208">
        <v>5000</v>
      </c>
      <c r="L120" s="202"/>
      <c r="M120" s="202"/>
      <c r="N120" s="36"/>
    </row>
    <row r="121" spans="1:15">
      <c r="A121" s="206"/>
      <c r="B121" s="207" t="s">
        <v>628</v>
      </c>
      <c r="C121" s="239" t="s">
        <v>561</v>
      </c>
      <c r="D121" s="239" t="s">
        <v>29</v>
      </c>
      <c r="E121" s="240" t="s">
        <v>30</v>
      </c>
      <c r="F121" s="202"/>
      <c r="G121" s="202"/>
      <c r="H121" s="202"/>
      <c r="I121" s="202"/>
      <c r="J121" s="202"/>
      <c r="K121" s="208">
        <v>2500</v>
      </c>
      <c r="L121" s="202"/>
      <c r="M121" s="202"/>
      <c r="N121" s="36"/>
    </row>
    <row r="122" spans="1:15">
      <c r="A122" s="206"/>
      <c r="B122" s="207" t="s">
        <v>629</v>
      </c>
      <c r="C122" s="239" t="s">
        <v>561</v>
      </c>
      <c r="D122" s="239" t="s">
        <v>29</v>
      </c>
      <c r="E122" s="240" t="s">
        <v>30</v>
      </c>
      <c r="F122" s="202"/>
      <c r="G122" s="202"/>
      <c r="H122" s="202"/>
      <c r="I122" s="202"/>
      <c r="J122" s="202"/>
      <c r="K122" s="208">
        <v>2500</v>
      </c>
      <c r="L122" s="202"/>
      <c r="M122" s="202"/>
      <c r="N122" s="36"/>
    </row>
    <row r="123" spans="1:15">
      <c r="A123" s="206"/>
      <c r="B123" s="207" t="s">
        <v>630</v>
      </c>
      <c r="C123" s="239" t="s">
        <v>561</v>
      </c>
      <c r="D123" s="239" t="s">
        <v>29</v>
      </c>
      <c r="E123" s="240" t="s">
        <v>30</v>
      </c>
      <c r="F123" s="202"/>
      <c r="G123" s="202"/>
      <c r="H123" s="202"/>
      <c r="I123" s="202"/>
      <c r="J123" s="202"/>
      <c r="K123" s="208">
        <v>4000</v>
      </c>
      <c r="L123" s="202"/>
      <c r="M123" s="202"/>
      <c r="N123" s="36"/>
    </row>
    <row r="124" spans="1:15">
      <c r="A124" s="206"/>
      <c r="B124" s="207" t="s">
        <v>631</v>
      </c>
      <c r="C124" s="239" t="s">
        <v>561</v>
      </c>
      <c r="D124" s="239" t="s">
        <v>29</v>
      </c>
      <c r="E124" s="240" t="s">
        <v>30</v>
      </c>
      <c r="F124" s="202"/>
      <c r="G124" s="202"/>
      <c r="H124" s="202"/>
      <c r="I124" s="202"/>
      <c r="J124" s="202"/>
      <c r="K124" s="208">
        <v>1750</v>
      </c>
      <c r="L124" s="202"/>
      <c r="M124" s="202"/>
      <c r="N124" s="36"/>
    </row>
    <row r="125" spans="1:15" customHeight="1" ht="31.5">
      <c r="A125" s="206"/>
      <c r="B125" s="207" t="s">
        <v>632</v>
      </c>
      <c r="C125" s="239" t="s">
        <v>561</v>
      </c>
      <c r="D125" s="239" t="s">
        <v>29</v>
      </c>
      <c r="E125" s="240" t="s">
        <v>30</v>
      </c>
      <c r="F125" s="202"/>
      <c r="G125" s="202"/>
      <c r="H125" s="202"/>
      <c r="I125" s="202"/>
      <c r="J125" s="202"/>
      <c r="K125" s="208">
        <v>1750</v>
      </c>
      <c r="L125" s="202"/>
      <c r="M125" s="202"/>
      <c r="N125" s="36"/>
    </row>
    <row r="126" spans="1:15">
      <c r="A126" s="206"/>
      <c r="B126" s="207" t="s">
        <v>633</v>
      </c>
      <c r="C126" s="239" t="s">
        <v>561</v>
      </c>
      <c r="D126" s="239" t="s">
        <v>29</v>
      </c>
      <c r="E126" s="240" t="s">
        <v>30</v>
      </c>
      <c r="F126" s="202"/>
      <c r="G126" s="202"/>
      <c r="H126" s="202"/>
      <c r="I126" s="202"/>
      <c r="J126" s="202"/>
      <c r="K126" s="208">
        <v>7500</v>
      </c>
      <c r="L126" s="202"/>
      <c r="M126" s="202"/>
      <c r="N126" s="36"/>
    </row>
    <row r="127" spans="1:15">
      <c r="A127" s="206"/>
      <c r="B127" s="207" t="s">
        <v>634</v>
      </c>
      <c r="C127" s="239" t="s">
        <v>561</v>
      </c>
      <c r="D127" s="239" t="s">
        <v>29</v>
      </c>
      <c r="E127" s="240" t="s">
        <v>30</v>
      </c>
      <c r="F127" s="202"/>
      <c r="G127" s="202"/>
      <c r="H127" s="202"/>
      <c r="I127" s="202"/>
      <c r="J127" s="202"/>
      <c r="K127" s="208">
        <v>8000</v>
      </c>
      <c r="L127" s="202"/>
      <c r="M127" s="202"/>
      <c r="N127" s="36"/>
    </row>
    <row r="128" spans="1:15">
      <c r="A128" s="206"/>
      <c r="B128" s="207" t="s">
        <v>635</v>
      </c>
      <c r="C128" s="239" t="s">
        <v>561</v>
      </c>
      <c r="D128" s="239" t="s">
        <v>29</v>
      </c>
      <c r="E128" s="240" t="s">
        <v>30</v>
      </c>
      <c r="F128" s="202"/>
      <c r="G128" s="202"/>
      <c r="H128" s="202"/>
      <c r="I128" s="202"/>
      <c r="J128" s="202"/>
      <c r="K128" s="208">
        <v>17000</v>
      </c>
      <c r="L128" s="202"/>
      <c r="M128" s="202"/>
      <c r="N128" s="36"/>
    </row>
    <row r="129" spans="1:15">
      <c r="A129" s="206"/>
      <c r="B129" s="207" t="s">
        <v>636</v>
      </c>
      <c r="C129" s="239" t="s">
        <v>561</v>
      </c>
      <c r="D129" s="239" t="s">
        <v>29</v>
      </c>
      <c r="E129" s="240" t="s">
        <v>30</v>
      </c>
      <c r="F129" s="202"/>
      <c r="G129" s="202"/>
      <c r="H129" s="202"/>
      <c r="I129" s="202"/>
      <c r="J129" s="202"/>
      <c r="K129" s="208">
        <v>18000</v>
      </c>
      <c r="L129" s="202"/>
      <c r="M129" s="202"/>
      <c r="N129" s="36"/>
    </row>
    <row r="130" spans="1:15">
      <c r="A130" s="206"/>
      <c r="B130" s="207" t="s">
        <v>637</v>
      </c>
      <c r="C130" s="239" t="s">
        <v>561</v>
      </c>
      <c r="D130" s="239" t="s">
        <v>29</v>
      </c>
      <c r="E130" s="240" t="s">
        <v>30</v>
      </c>
      <c r="F130" s="202"/>
      <c r="G130" s="202"/>
      <c r="H130" s="202"/>
      <c r="I130" s="202"/>
      <c r="J130" s="202"/>
      <c r="K130" s="208">
        <v>1400</v>
      </c>
      <c r="L130" s="202"/>
      <c r="M130" s="202"/>
      <c r="N130" s="36"/>
    </row>
    <row r="131" spans="1:15">
      <c r="A131" s="206" t="s">
        <v>638</v>
      </c>
      <c r="B131" s="207" t="s">
        <v>639</v>
      </c>
      <c r="C131" s="239" t="s">
        <v>561</v>
      </c>
      <c r="D131" s="239" t="s">
        <v>29</v>
      </c>
      <c r="E131" s="240" t="s">
        <v>30</v>
      </c>
      <c r="F131" s="202"/>
      <c r="G131" s="202"/>
      <c r="H131" s="202"/>
      <c r="I131" s="202"/>
      <c r="J131" s="202"/>
      <c r="K131" s="208">
        <v>32000</v>
      </c>
      <c r="L131" s="202"/>
      <c r="M131" s="202"/>
      <c r="N131" s="36"/>
    </row>
    <row r="132" spans="1:15">
      <c r="A132" s="206"/>
      <c r="B132" s="207" t="s">
        <v>640</v>
      </c>
      <c r="C132" s="239" t="s">
        <v>561</v>
      </c>
      <c r="D132" s="239" t="s">
        <v>29</v>
      </c>
      <c r="E132" s="240" t="s">
        <v>30</v>
      </c>
      <c r="F132" s="202"/>
      <c r="G132" s="202"/>
      <c r="H132" s="202"/>
      <c r="I132" s="202"/>
      <c r="J132" s="202"/>
      <c r="K132" s="208">
        <v>17500</v>
      </c>
      <c r="L132" s="202"/>
      <c r="M132" s="202"/>
      <c r="N132" s="36"/>
    </row>
    <row r="133" spans="1:15">
      <c r="A133" s="206"/>
      <c r="B133" s="207" t="s">
        <v>641</v>
      </c>
      <c r="C133" s="239" t="s">
        <v>561</v>
      </c>
      <c r="D133" s="239" t="s">
        <v>29</v>
      </c>
      <c r="E133" s="240" t="s">
        <v>30</v>
      </c>
      <c r="F133" s="202"/>
      <c r="G133" s="202"/>
      <c r="H133" s="202"/>
      <c r="I133" s="202"/>
      <c r="J133" s="202"/>
      <c r="K133" s="208">
        <v>3000</v>
      </c>
      <c r="L133" s="202"/>
      <c r="M133" s="202"/>
      <c r="N133" s="36"/>
    </row>
    <row r="134" spans="1:15">
      <c r="A134" s="206"/>
      <c r="B134" s="207" t="s">
        <v>642</v>
      </c>
      <c r="C134" s="239" t="s">
        <v>561</v>
      </c>
      <c r="D134" s="239" t="s">
        <v>29</v>
      </c>
      <c r="E134" s="240" t="s">
        <v>30</v>
      </c>
      <c r="F134" s="202"/>
      <c r="G134" s="202"/>
      <c r="H134" s="202"/>
      <c r="I134" s="202"/>
      <c r="J134" s="202"/>
      <c r="K134" s="208">
        <v>840</v>
      </c>
      <c r="L134" s="202"/>
      <c r="M134" s="202"/>
      <c r="N134" s="36"/>
    </row>
    <row r="135" spans="1:15">
      <c r="A135" s="206"/>
      <c r="B135" s="207" t="s">
        <v>635</v>
      </c>
      <c r="C135" s="239" t="s">
        <v>561</v>
      </c>
      <c r="D135" s="239" t="s">
        <v>29</v>
      </c>
      <c r="E135" s="240" t="s">
        <v>30</v>
      </c>
      <c r="F135" s="202"/>
      <c r="G135" s="202"/>
      <c r="H135" s="202"/>
      <c r="I135" s="202"/>
      <c r="J135" s="202"/>
      <c r="K135" s="208">
        <v>17000</v>
      </c>
      <c r="L135" s="202"/>
      <c r="M135" s="202"/>
      <c r="N135" s="36"/>
    </row>
    <row r="136" spans="1:15">
      <c r="A136" s="206"/>
      <c r="B136" s="207" t="s">
        <v>643</v>
      </c>
      <c r="C136" s="239" t="s">
        <v>561</v>
      </c>
      <c r="D136" s="239" t="s">
        <v>29</v>
      </c>
      <c r="E136" s="240" t="s">
        <v>30</v>
      </c>
      <c r="F136" s="202"/>
      <c r="G136" s="202"/>
      <c r="H136" s="202"/>
      <c r="I136" s="202"/>
      <c r="J136" s="202"/>
      <c r="K136" s="208">
        <v>12000</v>
      </c>
      <c r="L136" s="202"/>
      <c r="M136" s="202"/>
      <c r="N136" s="36"/>
    </row>
    <row r="137" spans="1:15">
      <c r="A137" s="206"/>
      <c r="B137" s="207" t="s">
        <v>644</v>
      </c>
      <c r="C137" s="239" t="s">
        <v>561</v>
      </c>
      <c r="D137" s="239" t="s">
        <v>29</v>
      </c>
      <c r="E137" s="240" t="s">
        <v>30</v>
      </c>
      <c r="F137" s="202"/>
      <c r="G137" s="202"/>
      <c r="H137" s="202"/>
      <c r="I137" s="202"/>
      <c r="J137" s="202"/>
      <c r="K137" s="208">
        <v>51000</v>
      </c>
      <c r="L137" s="202"/>
      <c r="M137" s="202"/>
      <c r="N137" s="36"/>
    </row>
    <row r="138" spans="1:15">
      <c r="A138" s="206"/>
      <c r="B138" s="207" t="s">
        <v>645</v>
      </c>
      <c r="C138" s="239" t="s">
        <v>561</v>
      </c>
      <c r="D138" s="239" t="s">
        <v>29</v>
      </c>
      <c r="E138" s="240" t="s">
        <v>30</v>
      </c>
      <c r="F138" s="202"/>
      <c r="G138" s="202"/>
      <c r="H138" s="202"/>
      <c r="I138" s="202"/>
      <c r="J138" s="202"/>
      <c r="K138" s="208">
        <v>54000</v>
      </c>
      <c r="L138" s="202"/>
      <c r="M138" s="202"/>
      <c r="N138" s="36"/>
    </row>
    <row r="139" spans="1:15">
      <c r="A139" s="206"/>
      <c r="B139" s="207" t="s">
        <v>646</v>
      </c>
      <c r="C139" s="239" t="s">
        <v>561</v>
      </c>
      <c r="D139" s="239" t="s">
        <v>29</v>
      </c>
      <c r="E139" s="240" t="s">
        <v>30</v>
      </c>
      <c r="F139" s="202"/>
      <c r="G139" s="202"/>
      <c r="H139" s="202"/>
      <c r="I139" s="202"/>
      <c r="J139" s="202"/>
      <c r="K139" s="208">
        <v>38400</v>
      </c>
      <c r="L139" s="202"/>
      <c r="M139" s="202"/>
      <c r="N139" s="36"/>
    </row>
    <row r="140" spans="1:15">
      <c r="A140" s="206"/>
      <c r="B140" s="207" t="s">
        <v>647</v>
      </c>
      <c r="C140" s="239" t="s">
        <v>561</v>
      </c>
      <c r="D140" s="239" t="s">
        <v>29</v>
      </c>
      <c r="E140" s="240" t="s">
        <v>30</v>
      </c>
      <c r="F140" s="202"/>
      <c r="G140" s="202"/>
      <c r="H140" s="202"/>
      <c r="I140" s="202"/>
      <c r="J140" s="202"/>
      <c r="K140" s="208">
        <v>32300</v>
      </c>
      <c r="L140" s="202"/>
      <c r="M140" s="202"/>
      <c r="N140" s="36"/>
    </row>
    <row r="141" spans="1:15">
      <c r="A141" s="206"/>
      <c r="B141" s="207" t="s">
        <v>609</v>
      </c>
      <c r="C141" s="239" t="s">
        <v>561</v>
      </c>
      <c r="D141" s="239" t="s">
        <v>29</v>
      </c>
      <c r="E141" s="240" t="s">
        <v>30</v>
      </c>
      <c r="F141" s="202"/>
      <c r="G141" s="202"/>
      <c r="H141" s="202"/>
      <c r="I141" s="202"/>
      <c r="J141" s="202"/>
      <c r="K141" s="208">
        <v>15680</v>
      </c>
      <c r="L141" s="202"/>
      <c r="M141" s="202"/>
      <c r="N141" s="36"/>
    </row>
    <row r="142" spans="1:15">
      <c r="A142" s="206"/>
      <c r="B142" s="207" t="s">
        <v>596</v>
      </c>
      <c r="C142" s="239" t="s">
        <v>561</v>
      </c>
      <c r="D142" s="239" t="s">
        <v>29</v>
      </c>
      <c r="E142" s="240" t="s">
        <v>30</v>
      </c>
      <c r="F142" s="202"/>
      <c r="G142" s="202"/>
      <c r="H142" s="202"/>
      <c r="I142" s="202"/>
      <c r="J142" s="202"/>
      <c r="K142" s="208">
        <v>16000</v>
      </c>
      <c r="L142" s="202"/>
      <c r="M142" s="202"/>
      <c r="N142" s="36"/>
    </row>
    <row r="143" spans="1:15" customHeight="1" ht="31.5">
      <c r="A143" s="206" t="s">
        <v>648</v>
      </c>
      <c r="B143" s="207" t="s">
        <v>649</v>
      </c>
      <c r="C143" s="239" t="s">
        <v>561</v>
      </c>
      <c r="D143" s="239" t="s">
        <v>29</v>
      </c>
      <c r="E143" s="240" t="s">
        <v>30</v>
      </c>
      <c r="F143" s="202"/>
      <c r="G143" s="202"/>
      <c r="H143" s="202"/>
      <c r="I143" s="202"/>
      <c r="J143" s="202"/>
      <c r="K143" s="208">
        <v>2600</v>
      </c>
      <c r="L143" s="202"/>
      <c r="M143" s="202"/>
      <c r="N143" s="36"/>
    </row>
    <row r="144" spans="1:15">
      <c r="A144" s="206"/>
      <c r="B144" s="207" t="s">
        <v>650</v>
      </c>
      <c r="C144" s="239" t="s">
        <v>561</v>
      </c>
      <c r="D144" s="239" t="s">
        <v>29</v>
      </c>
      <c r="E144" s="240" t="s">
        <v>30</v>
      </c>
      <c r="F144" s="202"/>
      <c r="G144" s="202"/>
      <c r="H144" s="202"/>
      <c r="I144" s="202"/>
      <c r="J144" s="202"/>
      <c r="K144" s="208">
        <v>4200</v>
      </c>
      <c r="L144" s="202"/>
      <c r="M144" s="202"/>
      <c r="N144" s="36"/>
    </row>
    <row r="145" spans="1:15">
      <c r="A145" s="206"/>
      <c r="B145" s="207" t="s">
        <v>651</v>
      </c>
      <c r="C145" s="239" t="s">
        <v>561</v>
      </c>
      <c r="D145" s="239" t="s">
        <v>29</v>
      </c>
      <c r="E145" s="240" t="s">
        <v>30</v>
      </c>
      <c r="F145" s="202"/>
      <c r="G145" s="202"/>
      <c r="H145" s="202"/>
      <c r="I145" s="202"/>
      <c r="J145" s="202"/>
      <c r="K145" s="208">
        <v>13000</v>
      </c>
      <c r="L145" s="202"/>
      <c r="M145" s="202"/>
      <c r="N145" s="36"/>
    </row>
    <row r="146" spans="1:15">
      <c r="A146" s="206"/>
      <c r="B146" s="207" t="s">
        <v>652</v>
      </c>
      <c r="C146" s="239" t="s">
        <v>561</v>
      </c>
      <c r="D146" s="239" t="s">
        <v>29</v>
      </c>
      <c r="E146" s="240" t="s">
        <v>30</v>
      </c>
      <c r="F146" s="202"/>
      <c r="G146" s="202"/>
      <c r="H146" s="202"/>
      <c r="I146" s="202"/>
      <c r="J146" s="202"/>
      <c r="K146" s="208">
        <v>12000</v>
      </c>
      <c r="L146" s="202"/>
      <c r="M146" s="202"/>
      <c r="N146" s="36"/>
    </row>
    <row r="147" spans="1:15">
      <c r="A147" s="206"/>
      <c r="B147" s="207" t="s">
        <v>635</v>
      </c>
      <c r="C147" s="239" t="s">
        <v>561</v>
      </c>
      <c r="D147" s="239" t="s">
        <v>29</v>
      </c>
      <c r="E147" s="240" t="s">
        <v>30</v>
      </c>
      <c r="F147" s="202"/>
      <c r="G147" s="202"/>
      <c r="H147" s="202"/>
      <c r="I147" s="202"/>
      <c r="J147" s="202"/>
      <c r="K147" s="208">
        <v>38000</v>
      </c>
      <c r="L147" s="202"/>
      <c r="M147" s="202"/>
      <c r="N147" s="36"/>
    </row>
    <row r="148" spans="1:15">
      <c r="A148" s="206"/>
      <c r="B148" s="207" t="s">
        <v>633</v>
      </c>
      <c r="C148" s="239" t="s">
        <v>561</v>
      </c>
      <c r="D148" s="239" t="s">
        <v>29</v>
      </c>
      <c r="E148" s="240" t="s">
        <v>30</v>
      </c>
      <c r="F148" s="202"/>
      <c r="G148" s="202"/>
      <c r="H148" s="202"/>
      <c r="I148" s="202"/>
      <c r="J148" s="202"/>
      <c r="K148" s="208">
        <v>6750</v>
      </c>
      <c r="L148" s="202"/>
      <c r="M148" s="202"/>
      <c r="N148" s="36"/>
    </row>
    <row r="149" spans="1:15">
      <c r="A149" s="206"/>
      <c r="B149" s="207" t="s">
        <v>634</v>
      </c>
      <c r="C149" s="239" t="s">
        <v>561</v>
      </c>
      <c r="D149" s="239" t="s">
        <v>29</v>
      </c>
      <c r="E149" s="240" t="s">
        <v>30</v>
      </c>
      <c r="F149" s="202"/>
      <c r="G149" s="202"/>
      <c r="H149" s="202"/>
      <c r="I149" s="202"/>
      <c r="J149" s="202"/>
      <c r="K149" s="208">
        <v>7200</v>
      </c>
      <c r="L149" s="202"/>
      <c r="M149" s="202"/>
      <c r="N149" s="36"/>
    </row>
    <row r="150" spans="1:15">
      <c r="A150" s="206"/>
      <c r="B150" s="207" t="s">
        <v>653</v>
      </c>
      <c r="C150" s="239" t="s">
        <v>561</v>
      </c>
      <c r="D150" s="239" t="s">
        <v>29</v>
      </c>
      <c r="E150" s="240" t="s">
        <v>30</v>
      </c>
      <c r="F150" s="202"/>
      <c r="G150" s="202"/>
      <c r="H150" s="202"/>
      <c r="I150" s="202"/>
      <c r="J150" s="202"/>
      <c r="K150" s="208">
        <v>6000</v>
      </c>
      <c r="L150" s="202"/>
      <c r="M150" s="202"/>
      <c r="N150" s="36"/>
    </row>
    <row r="151" spans="1:15">
      <c r="A151" s="206"/>
      <c r="B151" s="207" t="s">
        <v>654</v>
      </c>
      <c r="C151" s="239" t="s">
        <v>561</v>
      </c>
      <c r="D151" s="239" t="s">
        <v>29</v>
      </c>
      <c r="E151" s="240" t="s">
        <v>30</v>
      </c>
      <c r="F151" s="202"/>
      <c r="G151" s="202"/>
      <c r="H151" s="202"/>
      <c r="I151" s="202"/>
      <c r="J151" s="202"/>
      <c r="K151" s="208">
        <v>2000</v>
      </c>
      <c r="L151" s="202"/>
      <c r="M151" s="202"/>
      <c r="N151" s="36"/>
    </row>
    <row r="152" spans="1:15">
      <c r="A152" s="206"/>
      <c r="B152" s="207" t="s">
        <v>655</v>
      </c>
      <c r="C152" s="239" t="s">
        <v>561</v>
      </c>
      <c r="D152" s="239" t="s">
        <v>29</v>
      </c>
      <c r="E152" s="240" t="s">
        <v>30</v>
      </c>
      <c r="F152" s="202"/>
      <c r="G152" s="202"/>
      <c r="H152" s="202"/>
      <c r="I152" s="202"/>
      <c r="J152" s="202"/>
      <c r="K152" s="208">
        <v>11200</v>
      </c>
      <c r="L152" s="202"/>
      <c r="M152" s="202"/>
      <c r="N152" s="36"/>
    </row>
    <row r="153" spans="1:15">
      <c r="A153" s="206"/>
      <c r="B153" s="207" t="s">
        <v>656</v>
      </c>
      <c r="C153" s="239" t="s">
        <v>561</v>
      </c>
      <c r="D153" s="239" t="s">
        <v>29</v>
      </c>
      <c r="E153" s="240" t="s">
        <v>30</v>
      </c>
      <c r="F153" s="202"/>
      <c r="G153" s="202"/>
      <c r="H153" s="202"/>
      <c r="I153" s="202"/>
      <c r="J153" s="202"/>
      <c r="K153" s="208">
        <v>20000</v>
      </c>
      <c r="L153" s="202"/>
      <c r="M153" s="202"/>
      <c r="N153" s="36"/>
    </row>
    <row r="154" spans="1:15">
      <c r="A154" s="206"/>
      <c r="B154" s="207" t="s">
        <v>657</v>
      </c>
      <c r="C154" s="239" t="s">
        <v>561</v>
      </c>
      <c r="D154" s="239" t="s">
        <v>29</v>
      </c>
      <c r="E154" s="240" t="s">
        <v>30</v>
      </c>
      <c r="F154" s="202"/>
      <c r="G154" s="202"/>
      <c r="H154" s="202"/>
      <c r="I154" s="202"/>
      <c r="J154" s="202"/>
      <c r="K154" s="208">
        <v>6800</v>
      </c>
      <c r="L154" s="202"/>
      <c r="M154" s="202"/>
      <c r="N154" s="36"/>
    </row>
    <row r="155" spans="1:15">
      <c r="A155" s="206"/>
      <c r="B155" s="265" t="s">
        <v>658</v>
      </c>
      <c r="C155" s="239" t="s">
        <v>561</v>
      </c>
      <c r="D155" s="239" t="s">
        <v>29</v>
      </c>
      <c r="E155" s="240" t="s">
        <v>30</v>
      </c>
      <c r="F155" s="202"/>
      <c r="G155" s="202"/>
      <c r="H155" s="202"/>
      <c r="I155" s="202"/>
      <c r="J155" s="202"/>
      <c r="K155" s="208">
        <v>25200</v>
      </c>
      <c r="L155" s="202"/>
      <c r="M155" s="202"/>
      <c r="N155" s="36"/>
    </row>
    <row r="156" spans="1:15" customHeight="1" ht="31.5">
      <c r="A156" s="206"/>
      <c r="B156" s="207" t="s">
        <v>659</v>
      </c>
      <c r="C156" s="239" t="s">
        <v>561</v>
      </c>
      <c r="D156" s="239" t="s">
        <v>29</v>
      </c>
      <c r="E156" s="240" t="s">
        <v>30</v>
      </c>
      <c r="F156" s="202"/>
      <c r="G156" s="202"/>
      <c r="H156" s="202"/>
      <c r="I156" s="202"/>
      <c r="J156" s="202"/>
      <c r="K156" s="208">
        <v>9700</v>
      </c>
      <c r="L156" s="202"/>
      <c r="M156" s="202"/>
      <c r="N156" s="36"/>
    </row>
    <row r="157" spans="1:15">
      <c r="A157" s="206"/>
      <c r="B157" s="207" t="s">
        <v>660</v>
      </c>
      <c r="C157" s="239" t="s">
        <v>561</v>
      </c>
      <c r="D157" s="239" t="s">
        <v>29</v>
      </c>
      <c r="E157" s="240" t="s">
        <v>30</v>
      </c>
      <c r="F157" s="202"/>
      <c r="G157" s="202"/>
      <c r="H157" s="202"/>
      <c r="I157" s="202"/>
      <c r="J157" s="202"/>
      <c r="K157" s="208">
        <v>6400</v>
      </c>
      <c r="L157" s="202"/>
      <c r="M157" s="202"/>
      <c r="N157" s="36"/>
    </row>
    <row r="158" spans="1:15">
      <c r="A158" s="206"/>
      <c r="B158" s="207" t="s">
        <v>661</v>
      </c>
      <c r="C158" s="239" t="s">
        <v>561</v>
      </c>
      <c r="D158" s="239" t="s">
        <v>29</v>
      </c>
      <c r="E158" s="240" t="s">
        <v>30</v>
      </c>
      <c r="F158" s="202"/>
      <c r="G158" s="202"/>
      <c r="H158" s="202"/>
      <c r="I158" s="202"/>
      <c r="J158" s="202"/>
      <c r="K158" s="208">
        <v>7800</v>
      </c>
      <c r="L158" s="202"/>
      <c r="M158" s="202"/>
      <c r="N158" s="36"/>
    </row>
    <row r="159" spans="1:15">
      <c r="A159" s="206"/>
      <c r="B159" s="207" t="s">
        <v>662</v>
      </c>
      <c r="C159" s="239" t="s">
        <v>561</v>
      </c>
      <c r="D159" s="239" t="s">
        <v>29</v>
      </c>
      <c r="E159" s="240" t="s">
        <v>30</v>
      </c>
      <c r="F159" s="202"/>
      <c r="G159" s="202"/>
      <c r="H159" s="202"/>
      <c r="I159" s="202"/>
      <c r="J159" s="202"/>
      <c r="K159" s="208">
        <v>7200</v>
      </c>
      <c r="L159" s="202"/>
      <c r="M159" s="202"/>
      <c r="N159" s="36"/>
    </row>
    <row r="160" spans="1:15">
      <c r="A160" s="206"/>
      <c r="B160" s="266" t="s">
        <v>663</v>
      </c>
      <c r="C160" s="239" t="s">
        <v>561</v>
      </c>
      <c r="D160" s="239" t="s">
        <v>29</v>
      </c>
      <c r="E160" s="240" t="s">
        <v>30</v>
      </c>
      <c r="F160" s="202"/>
      <c r="G160" s="202"/>
      <c r="H160" s="202"/>
      <c r="I160" s="202"/>
      <c r="J160" s="202"/>
      <c r="K160" s="208">
        <v>6800</v>
      </c>
      <c r="L160" s="202"/>
      <c r="M160" s="202"/>
      <c r="N160" s="36"/>
    </row>
    <row r="161" spans="1:15">
      <c r="A161" s="206"/>
      <c r="B161" s="266" t="s">
        <v>664</v>
      </c>
      <c r="C161" s="239" t="s">
        <v>561</v>
      </c>
      <c r="D161" s="239" t="s">
        <v>29</v>
      </c>
      <c r="E161" s="240" t="s">
        <v>30</v>
      </c>
      <c r="F161" s="202"/>
      <c r="G161" s="202"/>
      <c r="H161" s="202"/>
      <c r="I161" s="202"/>
      <c r="J161" s="202"/>
      <c r="K161" s="208">
        <v>4800</v>
      </c>
      <c r="L161" s="202"/>
      <c r="M161" s="202"/>
      <c r="N161" s="36"/>
    </row>
    <row r="162" spans="1:15">
      <c r="A162" s="206"/>
      <c r="B162" s="266" t="s">
        <v>665</v>
      </c>
      <c r="C162" s="239" t="s">
        <v>561</v>
      </c>
      <c r="D162" s="239" t="s">
        <v>29</v>
      </c>
      <c r="E162" s="240" t="s">
        <v>30</v>
      </c>
      <c r="F162" s="202"/>
      <c r="G162" s="202"/>
      <c r="H162" s="202"/>
      <c r="I162" s="202"/>
      <c r="J162" s="202"/>
      <c r="K162" s="208">
        <v>1960</v>
      </c>
      <c r="L162" s="202"/>
      <c r="M162" s="202"/>
      <c r="N162" s="36"/>
    </row>
    <row r="163" spans="1:15" customHeight="1" ht="31.5">
      <c r="A163" s="206"/>
      <c r="B163" s="266" t="s">
        <v>666</v>
      </c>
      <c r="C163" s="239" t="s">
        <v>561</v>
      </c>
      <c r="D163" s="239" t="s">
        <v>29</v>
      </c>
      <c r="E163" s="240" t="s">
        <v>30</v>
      </c>
      <c r="F163" s="202"/>
      <c r="G163" s="202"/>
      <c r="H163" s="202"/>
      <c r="I163" s="202"/>
      <c r="J163" s="202"/>
      <c r="K163" s="208">
        <v>3000</v>
      </c>
      <c r="L163" s="202"/>
      <c r="M163" s="202"/>
      <c r="N163" s="36"/>
    </row>
    <row r="164" spans="1:15">
      <c r="A164" s="206"/>
      <c r="B164" s="267" t="s">
        <v>667</v>
      </c>
      <c r="C164" s="239" t="s">
        <v>561</v>
      </c>
      <c r="D164" s="239" t="s">
        <v>29</v>
      </c>
      <c r="E164" s="240" t="s">
        <v>30</v>
      </c>
      <c r="F164" s="202"/>
      <c r="G164" s="202"/>
      <c r="H164" s="202"/>
      <c r="I164" s="202"/>
      <c r="J164" s="202"/>
      <c r="K164" s="208">
        <v>6400</v>
      </c>
      <c r="L164" s="202"/>
      <c r="M164" s="202"/>
      <c r="N164" s="36"/>
    </row>
    <row r="165" spans="1:15">
      <c r="A165" s="206"/>
      <c r="B165" s="268" t="s">
        <v>668</v>
      </c>
      <c r="C165" s="239" t="s">
        <v>561</v>
      </c>
      <c r="D165" s="239" t="s">
        <v>29</v>
      </c>
      <c r="E165" s="240" t="s">
        <v>30</v>
      </c>
      <c r="F165" s="202"/>
      <c r="G165" s="202"/>
      <c r="H165" s="202"/>
      <c r="I165" s="202"/>
      <c r="J165" s="202"/>
      <c r="K165" s="208">
        <v>1800</v>
      </c>
      <c r="L165" s="202"/>
      <c r="M165" s="202"/>
      <c r="N165" s="36"/>
    </row>
    <row r="166" spans="1:15">
      <c r="A166" s="206"/>
      <c r="B166" s="268" t="s">
        <v>669</v>
      </c>
      <c r="C166" s="239" t="s">
        <v>561</v>
      </c>
      <c r="D166" s="239" t="s">
        <v>29</v>
      </c>
      <c r="E166" s="240" t="s">
        <v>30</v>
      </c>
      <c r="F166" s="202"/>
      <c r="G166" s="202"/>
      <c r="H166" s="202"/>
      <c r="I166" s="202"/>
      <c r="J166" s="202"/>
      <c r="K166" s="208">
        <v>3000</v>
      </c>
      <c r="L166" s="202"/>
      <c r="M166" s="202"/>
      <c r="N166" s="36"/>
    </row>
    <row r="167" spans="1:15">
      <c r="A167" s="206"/>
      <c r="B167" s="268" t="s">
        <v>670</v>
      </c>
      <c r="C167" s="239" t="s">
        <v>561</v>
      </c>
      <c r="D167" s="239" t="s">
        <v>29</v>
      </c>
      <c r="E167" s="240" t="s">
        <v>30</v>
      </c>
      <c r="F167" s="202"/>
      <c r="G167" s="202"/>
      <c r="H167" s="202"/>
      <c r="I167" s="202"/>
      <c r="J167" s="202"/>
      <c r="K167" s="208">
        <v>3600</v>
      </c>
      <c r="L167" s="202"/>
      <c r="M167" s="202"/>
      <c r="N167" s="36"/>
    </row>
    <row r="168" spans="1:15">
      <c r="A168" s="206"/>
      <c r="B168" s="268" t="s">
        <v>671</v>
      </c>
      <c r="C168" s="239" t="s">
        <v>561</v>
      </c>
      <c r="D168" s="239" t="s">
        <v>29</v>
      </c>
      <c r="E168" s="240" t="s">
        <v>30</v>
      </c>
      <c r="F168" s="202"/>
      <c r="G168" s="202"/>
      <c r="H168" s="202"/>
      <c r="I168" s="202"/>
      <c r="J168" s="202"/>
      <c r="K168" s="208">
        <v>1000</v>
      </c>
      <c r="L168" s="202"/>
      <c r="M168" s="202"/>
      <c r="N168" s="36"/>
    </row>
    <row r="169" spans="1:15">
      <c r="A169" s="206"/>
      <c r="B169" s="268" t="s">
        <v>672</v>
      </c>
      <c r="C169" s="239" t="s">
        <v>561</v>
      </c>
      <c r="D169" s="239" t="s">
        <v>29</v>
      </c>
      <c r="E169" s="240" t="s">
        <v>30</v>
      </c>
      <c r="F169" s="202"/>
      <c r="G169" s="202"/>
      <c r="H169" s="202"/>
      <c r="I169" s="202"/>
      <c r="J169" s="202"/>
      <c r="K169" s="208">
        <v>19000</v>
      </c>
      <c r="L169" s="202"/>
      <c r="M169" s="202"/>
      <c r="N169" s="36"/>
    </row>
    <row r="170" spans="1:15">
      <c r="A170" s="206"/>
      <c r="B170" s="265" t="s">
        <v>673</v>
      </c>
      <c r="C170" s="239" t="s">
        <v>561</v>
      </c>
      <c r="D170" s="239" t="s">
        <v>29</v>
      </c>
      <c r="E170" s="240" t="s">
        <v>30</v>
      </c>
      <c r="F170" s="202"/>
      <c r="G170" s="202"/>
      <c r="H170" s="202"/>
      <c r="I170" s="202"/>
      <c r="J170" s="202"/>
      <c r="K170" s="208">
        <v>10000</v>
      </c>
      <c r="L170" s="202"/>
      <c r="M170" s="202"/>
      <c r="N170" s="36"/>
    </row>
    <row r="171" spans="1:15">
      <c r="A171" s="206"/>
      <c r="B171" s="265" t="s">
        <v>674</v>
      </c>
      <c r="C171" s="239" t="s">
        <v>561</v>
      </c>
      <c r="D171" s="239" t="s">
        <v>29</v>
      </c>
      <c r="E171" s="240" t="s">
        <v>30</v>
      </c>
      <c r="F171" s="202"/>
      <c r="G171" s="202"/>
      <c r="H171" s="202"/>
      <c r="I171" s="202"/>
      <c r="J171" s="202"/>
      <c r="K171" s="208">
        <v>7500</v>
      </c>
      <c r="L171" s="202"/>
      <c r="M171" s="202"/>
      <c r="N171" s="36"/>
    </row>
    <row r="172" spans="1:15" customHeight="1" ht="31.5">
      <c r="A172" s="246" t="s">
        <v>675</v>
      </c>
      <c r="B172" s="268" t="s">
        <v>676</v>
      </c>
      <c r="C172" s="239" t="s">
        <v>561</v>
      </c>
      <c r="D172" s="239" t="s">
        <v>29</v>
      </c>
      <c r="E172" s="240" t="s">
        <v>30</v>
      </c>
      <c r="F172" s="202"/>
      <c r="G172" s="202"/>
      <c r="H172" s="202"/>
      <c r="I172" s="202"/>
      <c r="J172" s="202"/>
      <c r="K172" s="208">
        <v>19500</v>
      </c>
      <c r="L172" s="202"/>
      <c r="M172" s="202"/>
      <c r="N172" s="36"/>
    </row>
    <row r="173" spans="1:15">
      <c r="A173" s="246" t="s">
        <v>677</v>
      </c>
      <c r="B173" s="268" t="s">
        <v>678</v>
      </c>
      <c r="C173" s="239" t="s">
        <v>561</v>
      </c>
      <c r="D173" s="239" t="s">
        <v>29</v>
      </c>
      <c r="E173" s="240" t="s">
        <v>30</v>
      </c>
      <c r="F173" s="202"/>
      <c r="G173" s="202"/>
      <c r="H173" s="202"/>
      <c r="I173" s="202"/>
      <c r="J173" s="202"/>
      <c r="K173" s="208">
        <v>9000</v>
      </c>
      <c r="L173" s="202"/>
      <c r="M173" s="202"/>
      <c r="N173" s="36"/>
    </row>
    <row r="174" spans="1:15">
      <c r="A174" s="246"/>
      <c r="B174" s="268" t="s">
        <v>679</v>
      </c>
      <c r="C174" s="239" t="s">
        <v>561</v>
      </c>
      <c r="D174" s="239" t="s">
        <v>29</v>
      </c>
      <c r="E174" s="240" t="s">
        <v>30</v>
      </c>
      <c r="F174" s="202"/>
      <c r="G174" s="202"/>
      <c r="H174" s="202"/>
      <c r="I174" s="202"/>
      <c r="J174" s="202"/>
      <c r="K174" s="208">
        <v>16875</v>
      </c>
      <c r="L174" s="202"/>
      <c r="M174" s="202"/>
      <c r="N174" s="36"/>
    </row>
    <row r="175" spans="1:15">
      <c r="A175" s="246"/>
      <c r="B175" s="268" t="s">
        <v>680</v>
      </c>
      <c r="C175" s="239" t="s">
        <v>561</v>
      </c>
      <c r="D175" s="239" t="s">
        <v>29</v>
      </c>
      <c r="E175" s="240" t="s">
        <v>30</v>
      </c>
      <c r="F175" s="202"/>
      <c r="G175" s="202"/>
      <c r="H175" s="202"/>
      <c r="I175" s="202"/>
      <c r="J175" s="202"/>
      <c r="K175" s="208">
        <v>6800</v>
      </c>
      <c r="L175" s="202"/>
      <c r="M175" s="202"/>
      <c r="N175" s="36"/>
    </row>
    <row r="176" spans="1:15">
      <c r="A176" s="206"/>
      <c r="B176" s="268" t="s">
        <v>681</v>
      </c>
      <c r="C176" s="239" t="s">
        <v>561</v>
      </c>
      <c r="D176" s="239" t="s">
        <v>29</v>
      </c>
      <c r="E176" s="240" t="s">
        <v>30</v>
      </c>
      <c r="F176" s="202"/>
      <c r="G176" s="202"/>
      <c r="H176" s="202"/>
      <c r="I176" s="202"/>
      <c r="J176" s="202"/>
      <c r="K176" s="208">
        <v>14000</v>
      </c>
      <c r="L176" s="202"/>
      <c r="M176" s="202"/>
      <c r="N176" s="36"/>
    </row>
    <row r="177" spans="1:15">
      <c r="A177" s="246" t="s">
        <v>682</v>
      </c>
      <c r="B177" s="268" t="s">
        <v>683</v>
      </c>
      <c r="C177" s="239" t="s">
        <v>561</v>
      </c>
      <c r="D177" s="239" t="s">
        <v>29</v>
      </c>
      <c r="E177" s="240" t="s">
        <v>30</v>
      </c>
      <c r="F177" s="202"/>
      <c r="G177" s="202"/>
      <c r="H177" s="202"/>
      <c r="I177" s="202"/>
      <c r="J177" s="202"/>
      <c r="K177" s="208">
        <v>5600</v>
      </c>
      <c r="L177" s="202"/>
      <c r="M177" s="202"/>
      <c r="N177" s="36"/>
    </row>
    <row r="178" spans="1:15">
      <c r="A178" s="246"/>
      <c r="B178" s="268" t="s">
        <v>684</v>
      </c>
      <c r="C178" s="239" t="s">
        <v>561</v>
      </c>
      <c r="D178" s="239" t="s">
        <v>29</v>
      </c>
      <c r="E178" s="240" t="s">
        <v>30</v>
      </c>
      <c r="F178" s="202"/>
      <c r="G178" s="202"/>
      <c r="H178" s="202"/>
      <c r="I178" s="202"/>
      <c r="J178" s="202"/>
      <c r="K178" s="208">
        <v>3600</v>
      </c>
      <c r="L178" s="202"/>
      <c r="M178" s="202"/>
      <c r="N178" s="36"/>
    </row>
    <row r="179" spans="1:15">
      <c r="A179" s="206"/>
      <c r="B179" s="207" t="s">
        <v>685</v>
      </c>
      <c r="C179" s="239" t="s">
        <v>561</v>
      </c>
      <c r="D179" s="239" t="s">
        <v>29</v>
      </c>
      <c r="E179" s="240" t="s">
        <v>30</v>
      </c>
      <c r="F179" s="202"/>
      <c r="G179" s="202"/>
      <c r="H179" s="202"/>
      <c r="I179" s="202"/>
      <c r="J179" s="202"/>
      <c r="K179" s="208">
        <v>1000</v>
      </c>
      <c r="L179" s="202"/>
      <c r="M179" s="202"/>
      <c r="N179" s="36"/>
    </row>
    <row r="180" spans="1:15" s="187" customFormat="1">
      <c r="A180" s="185" t="s">
        <v>560</v>
      </c>
      <c r="B180" s="185"/>
      <c r="C180" s="269"/>
      <c r="D180" s="270"/>
      <c r="E180" s="185"/>
      <c r="F180" s="185"/>
      <c r="G180" s="185"/>
      <c r="H180" s="185"/>
      <c r="I180" s="185"/>
      <c r="J180" s="185"/>
      <c r="K180" s="154">
        <f>SUM(K12:K179)</f>
        <v>1706572.39</v>
      </c>
      <c r="L180" s="185"/>
      <c r="M180" s="185"/>
      <c r="N180" s="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180"/>
  <sheetViews>
    <sheetView tabSelected="0" workbookViewId="0" zoomScale="80" zoomScaleNormal="80" showGridLines="true" showRowColHeaders="1">
      <selection activeCell="K74" sqref="K74"/>
    </sheetView>
  </sheetViews>
  <sheetFormatPr defaultRowHeight="14.4" defaultColWidth="20.7109375" outlineLevelRow="0" outlineLevelCol="0"/>
  <cols>
    <col min="1" max="1" width="27.28515625" customWidth="true" style="63"/>
    <col min="2" max="2" width="35.42578125" customWidth="true" style="63"/>
    <col min="3" max="3" width="20.7109375" style="63"/>
    <col min="4" max="4" width="15.7109375" customWidth="true" style="63"/>
    <col min="5" max="5" width="15.7109375" customWidth="true" style="63"/>
    <col min="6" max="6" width="15.7109375" customWidth="true" style="63"/>
    <col min="7" max="7" width="15.7109375" customWidth="true" style="63"/>
    <col min="8" max="8" width="15.7109375" customWidth="true" style="63"/>
    <col min="9" max="9" width="15.7109375" customWidth="true" style="63"/>
    <col min="10" max="10" width="15.7109375" customWidth="true" style="63"/>
    <col min="11" max="11" width="15.7109375" customWidth="true" style="63"/>
    <col min="12" max="12" width="15.7109375" customWidth="true" style="63"/>
    <col min="13" max="13" width="24" customWidth="true" style="63"/>
    <col min="14" max="14" width="20.7109375" style="63"/>
    <col min="15" max="15" width="20.7109375" style="64"/>
  </cols>
  <sheetData>
    <row r="1" spans="1:15">
      <c r="A1" s="61" t="s">
        <v>0</v>
      </c>
      <c r="B1" s="62"/>
      <c r="C1" s="62"/>
      <c r="D1" s="62"/>
      <c r="E1" s="62"/>
    </row>
    <row r="2" spans="1:15">
      <c r="A2" s="65"/>
      <c r="B2" s="62"/>
      <c r="C2" s="62"/>
      <c r="D2" s="62"/>
      <c r="E2" s="62"/>
    </row>
    <row r="3" spans="1:15">
      <c r="A3" s="364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5">
      <c r="B4" s="66"/>
      <c r="C4" s="66"/>
      <c r="D4" s="66"/>
      <c r="E4" s="66"/>
    </row>
    <row r="5" spans="1:15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</row>
    <row r="6" spans="1:15">
      <c r="A6" s="69" t="s">
        <v>4</v>
      </c>
      <c r="B6" s="272" t="s">
        <v>5</v>
      </c>
      <c r="C6" s="70"/>
      <c r="D6" s="69" t="s">
        <v>6</v>
      </c>
      <c r="E6" s="70"/>
      <c r="F6" s="274" t="s">
        <v>686</v>
      </c>
    </row>
    <row r="7" spans="1:15">
      <c r="A7" s="69" t="s">
        <v>8</v>
      </c>
      <c r="B7" s="273" t="s">
        <v>9</v>
      </c>
    </row>
    <row r="9" spans="1:15" customHeight="1" ht="16.15"/>
    <row r="10" spans="1:15" customHeight="1" ht="15.6" s="65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5" customHeight="1" ht="33.6" s="65" customFormat="1">
      <c r="A11" s="361"/>
      <c r="B11" s="363"/>
      <c r="C11" s="363"/>
      <c r="D11" s="360"/>
      <c r="E11" s="358"/>
      <c r="F11" s="45" t="s">
        <v>19</v>
      </c>
      <c r="G11" s="45" t="s">
        <v>20</v>
      </c>
      <c r="H11" s="45" t="s">
        <v>21</v>
      </c>
      <c r="I11" s="45" t="s">
        <v>22</v>
      </c>
      <c r="J11" s="358"/>
      <c r="K11" s="46" t="s">
        <v>23</v>
      </c>
      <c r="L11" s="46" t="s">
        <v>24</v>
      </c>
      <c r="M11" s="46" t="s">
        <v>25</v>
      </c>
      <c r="N11" s="354"/>
    </row>
    <row r="12" spans="1:15">
      <c r="A12" s="29" t="s">
        <v>26</v>
      </c>
      <c r="B12" s="31" t="s">
        <v>27</v>
      </c>
      <c r="C12" s="200" t="s">
        <v>687</v>
      </c>
      <c r="D12" s="239" t="s">
        <v>29</v>
      </c>
      <c r="E12" s="240" t="s">
        <v>30</v>
      </c>
      <c r="F12" s="202"/>
      <c r="G12" s="202"/>
      <c r="H12" s="202"/>
      <c r="I12" s="202"/>
      <c r="J12" s="202"/>
      <c r="K12" s="324">
        <v>1148.4</v>
      </c>
      <c r="L12" s="202"/>
      <c r="M12" s="202"/>
      <c r="N12" s="36"/>
    </row>
    <row r="13" spans="1:15">
      <c r="A13" s="29" t="s">
        <v>110</v>
      </c>
      <c r="B13" s="31" t="s">
        <v>345</v>
      </c>
      <c r="C13" s="239" t="s">
        <v>687</v>
      </c>
      <c r="D13" s="239" t="s">
        <v>29</v>
      </c>
      <c r="E13" s="240" t="s">
        <v>30</v>
      </c>
      <c r="F13" s="202"/>
      <c r="G13" s="202"/>
      <c r="H13" s="202"/>
      <c r="I13" s="202"/>
      <c r="J13" s="202"/>
      <c r="K13" s="96">
        <v>991.65</v>
      </c>
      <c r="L13" s="202"/>
      <c r="M13" s="202"/>
      <c r="N13" s="36"/>
    </row>
    <row r="14" spans="1:15">
      <c r="A14" s="29" t="s">
        <v>31</v>
      </c>
      <c r="B14" s="31" t="s">
        <v>32</v>
      </c>
      <c r="C14" s="239" t="s">
        <v>687</v>
      </c>
      <c r="D14" s="239" t="s">
        <v>29</v>
      </c>
      <c r="E14" s="240" t="s">
        <v>30</v>
      </c>
      <c r="F14" s="202"/>
      <c r="G14" s="202"/>
      <c r="H14" s="202"/>
      <c r="I14" s="202"/>
      <c r="J14" s="202"/>
      <c r="K14" s="96">
        <v>1065.6</v>
      </c>
      <c r="L14" s="202"/>
      <c r="M14" s="202"/>
      <c r="N14" s="36"/>
    </row>
    <row r="15" spans="1:15">
      <c r="A15" s="29" t="s">
        <v>348</v>
      </c>
      <c r="B15" s="31" t="s">
        <v>349</v>
      </c>
      <c r="C15" s="239" t="s">
        <v>687</v>
      </c>
      <c r="D15" s="239" t="s">
        <v>29</v>
      </c>
      <c r="E15" s="240" t="s">
        <v>30</v>
      </c>
      <c r="F15" s="202"/>
      <c r="G15" s="202"/>
      <c r="H15" s="202"/>
      <c r="I15" s="202"/>
      <c r="J15" s="202"/>
      <c r="K15" s="96">
        <v>532.8</v>
      </c>
      <c r="L15" s="202"/>
      <c r="M15" s="202"/>
      <c r="N15" s="36"/>
    </row>
    <row r="16" spans="1:15" customHeight="1" ht="28.5">
      <c r="A16" s="29" t="s">
        <v>33</v>
      </c>
      <c r="B16" s="71" t="s">
        <v>34</v>
      </c>
      <c r="C16" s="239" t="s">
        <v>687</v>
      </c>
      <c r="D16" s="239" t="s">
        <v>29</v>
      </c>
      <c r="E16" s="240" t="s">
        <v>30</v>
      </c>
      <c r="F16" s="202"/>
      <c r="G16" s="202"/>
      <c r="H16" s="202"/>
      <c r="I16" s="202"/>
      <c r="J16" s="202"/>
      <c r="K16" s="96">
        <v>61.47</v>
      </c>
      <c r="L16" s="202"/>
      <c r="M16" s="202"/>
      <c r="N16" s="36"/>
    </row>
    <row r="17" spans="1:15" customHeight="1" ht="28.5">
      <c r="A17" s="29" t="s">
        <v>241</v>
      </c>
      <c r="B17" s="71" t="s">
        <v>242</v>
      </c>
      <c r="C17" s="239" t="s">
        <v>687</v>
      </c>
      <c r="D17" s="239" t="s">
        <v>29</v>
      </c>
      <c r="E17" s="240" t="s">
        <v>30</v>
      </c>
      <c r="F17" s="202"/>
      <c r="G17" s="202"/>
      <c r="H17" s="202"/>
      <c r="I17" s="202"/>
      <c r="J17" s="202"/>
      <c r="K17" s="96">
        <v>55.02</v>
      </c>
      <c r="L17" s="202"/>
      <c r="M17" s="202"/>
      <c r="N17" s="36"/>
    </row>
    <row r="18" spans="1:15">
      <c r="A18" s="72" t="s">
        <v>114</v>
      </c>
      <c r="B18" s="31" t="s">
        <v>171</v>
      </c>
      <c r="C18" s="239" t="s">
        <v>687</v>
      </c>
      <c r="D18" s="239" t="s">
        <v>29</v>
      </c>
      <c r="E18" s="240" t="s">
        <v>30</v>
      </c>
      <c r="F18" s="202"/>
      <c r="G18" s="202"/>
      <c r="H18" s="202"/>
      <c r="I18" s="202"/>
      <c r="J18" s="202"/>
      <c r="K18" s="96">
        <v>326.56</v>
      </c>
      <c r="L18" s="202"/>
      <c r="M18" s="202"/>
      <c r="N18" s="36"/>
    </row>
    <row r="19" spans="1:15">
      <c r="A19" s="30" t="s">
        <v>35</v>
      </c>
      <c r="B19" s="31" t="s">
        <v>36</v>
      </c>
      <c r="C19" s="239" t="s">
        <v>687</v>
      </c>
      <c r="D19" s="239" t="s">
        <v>29</v>
      </c>
      <c r="E19" s="240" t="s">
        <v>30</v>
      </c>
      <c r="F19" s="202"/>
      <c r="G19" s="202"/>
      <c r="H19" s="202"/>
      <c r="I19" s="202"/>
      <c r="J19" s="202"/>
      <c r="K19" s="96">
        <v>136.24</v>
      </c>
      <c r="L19" s="202"/>
      <c r="M19" s="202"/>
      <c r="N19" s="36"/>
    </row>
    <row r="20" spans="1:15">
      <c r="A20" s="29" t="s">
        <v>37</v>
      </c>
      <c r="B20" s="31" t="s">
        <v>38</v>
      </c>
      <c r="C20" s="239" t="s">
        <v>687</v>
      </c>
      <c r="D20" s="239" t="s">
        <v>29</v>
      </c>
      <c r="E20" s="240" t="s">
        <v>30</v>
      </c>
      <c r="F20" s="202"/>
      <c r="G20" s="202"/>
      <c r="H20" s="202"/>
      <c r="I20" s="202"/>
      <c r="J20" s="202"/>
      <c r="K20" s="96">
        <v>559.56</v>
      </c>
      <c r="L20" s="202"/>
      <c r="M20" s="202"/>
      <c r="N20" s="36"/>
    </row>
    <row r="21" spans="1:15">
      <c r="A21" s="29" t="s">
        <v>122</v>
      </c>
      <c r="B21" s="71" t="s">
        <v>302</v>
      </c>
      <c r="C21" s="239" t="s">
        <v>687</v>
      </c>
      <c r="D21" s="239" t="s">
        <v>29</v>
      </c>
      <c r="E21" s="240" t="s">
        <v>30</v>
      </c>
      <c r="F21" s="202"/>
      <c r="G21" s="202"/>
      <c r="H21" s="202"/>
      <c r="I21" s="202"/>
      <c r="J21" s="202"/>
      <c r="K21" s="96">
        <v>42.95</v>
      </c>
      <c r="L21" s="202"/>
      <c r="M21" s="202"/>
      <c r="N21" s="36"/>
    </row>
    <row r="22" spans="1:15">
      <c r="A22" s="30" t="s">
        <v>176</v>
      </c>
      <c r="B22" s="73" t="s">
        <v>177</v>
      </c>
      <c r="C22" s="239" t="s">
        <v>687</v>
      </c>
      <c r="D22" s="239" t="s">
        <v>29</v>
      </c>
      <c r="E22" s="240" t="s">
        <v>30</v>
      </c>
      <c r="F22" s="202"/>
      <c r="G22" s="202"/>
      <c r="H22" s="202"/>
      <c r="I22" s="202"/>
      <c r="J22" s="202"/>
      <c r="K22" s="96">
        <v>212.56</v>
      </c>
      <c r="L22" s="202"/>
      <c r="M22" s="202"/>
      <c r="N22" s="36"/>
    </row>
    <row r="23" spans="1:15">
      <c r="A23" s="29" t="s">
        <v>447</v>
      </c>
      <c r="B23" s="31" t="s">
        <v>448</v>
      </c>
      <c r="C23" s="239" t="s">
        <v>687</v>
      </c>
      <c r="D23" s="239" t="s">
        <v>29</v>
      </c>
      <c r="E23" s="240" t="s">
        <v>30</v>
      </c>
      <c r="F23" s="202"/>
      <c r="G23" s="202"/>
      <c r="H23" s="202"/>
      <c r="I23" s="202"/>
      <c r="J23" s="202"/>
      <c r="K23" s="96">
        <v>115.86</v>
      </c>
      <c r="L23" s="202"/>
      <c r="M23" s="202"/>
      <c r="N23" s="36"/>
    </row>
    <row r="24" spans="1:15">
      <c r="A24" s="29" t="s">
        <v>245</v>
      </c>
      <c r="B24" s="71" t="s">
        <v>246</v>
      </c>
      <c r="C24" s="239" t="s">
        <v>687</v>
      </c>
      <c r="D24" s="239" t="s">
        <v>29</v>
      </c>
      <c r="E24" s="240" t="s">
        <v>30</v>
      </c>
      <c r="F24" s="202"/>
      <c r="G24" s="202"/>
      <c r="H24" s="202"/>
      <c r="I24" s="202"/>
      <c r="J24" s="202"/>
      <c r="K24" s="96">
        <v>31.91</v>
      </c>
      <c r="L24" s="202"/>
      <c r="M24" s="202"/>
      <c r="N24" s="36"/>
    </row>
    <row r="25" spans="1:15">
      <c r="A25" s="29" t="s">
        <v>178</v>
      </c>
      <c r="B25" s="31" t="s">
        <v>179</v>
      </c>
      <c r="C25" s="239" t="s">
        <v>687</v>
      </c>
      <c r="D25" s="239" t="s">
        <v>29</v>
      </c>
      <c r="E25" s="240" t="s">
        <v>30</v>
      </c>
      <c r="F25" s="202"/>
      <c r="G25" s="202"/>
      <c r="H25" s="202"/>
      <c r="I25" s="202"/>
      <c r="J25" s="202"/>
      <c r="K25" s="96">
        <v>28.91</v>
      </c>
      <c r="L25" s="202"/>
      <c r="M25" s="202"/>
      <c r="N25" s="36"/>
    </row>
    <row r="26" spans="1:15">
      <c r="A26" s="30" t="s">
        <v>247</v>
      </c>
      <c r="B26" s="31" t="s">
        <v>248</v>
      </c>
      <c r="C26" s="239" t="s">
        <v>687</v>
      </c>
      <c r="D26" s="239" t="s">
        <v>29</v>
      </c>
      <c r="E26" s="240" t="s">
        <v>30</v>
      </c>
      <c r="F26" s="202"/>
      <c r="G26" s="202"/>
      <c r="H26" s="202"/>
      <c r="I26" s="202"/>
      <c r="J26" s="202"/>
      <c r="K26" s="96">
        <v>238.54</v>
      </c>
      <c r="L26" s="202"/>
      <c r="M26" s="202"/>
      <c r="N26" s="36"/>
    </row>
    <row r="27" spans="1:15">
      <c r="A27" s="29" t="s">
        <v>488</v>
      </c>
      <c r="B27" s="31" t="s">
        <v>489</v>
      </c>
      <c r="C27" s="239" t="s">
        <v>687</v>
      </c>
      <c r="D27" s="239" t="s">
        <v>29</v>
      </c>
      <c r="E27" s="240" t="s">
        <v>30</v>
      </c>
      <c r="F27" s="202"/>
      <c r="G27" s="202"/>
      <c r="H27" s="202"/>
      <c r="I27" s="202"/>
      <c r="J27" s="202"/>
      <c r="K27" s="96">
        <v>856.86</v>
      </c>
      <c r="L27" s="202"/>
      <c r="M27" s="202"/>
      <c r="N27" s="36"/>
    </row>
    <row r="28" spans="1:15">
      <c r="A28" s="29" t="s">
        <v>41</v>
      </c>
      <c r="B28" s="31" t="s">
        <v>42</v>
      </c>
      <c r="C28" s="239" t="s">
        <v>687</v>
      </c>
      <c r="D28" s="239" t="s">
        <v>29</v>
      </c>
      <c r="E28" s="240" t="s">
        <v>30</v>
      </c>
      <c r="F28" s="202"/>
      <c r="G28" s="202"/>
      <c r="H28" s="202"/>
      <c r="I28" s="202"/>
      <c r="J28" s="202"/>
      <c r="K28" s="96">
        <v>2792.4</v>
      </c>
      <c r="L28" s="202"/>
      <c r="M28" s="202"/>
      <c r="N28" s="36"/>
    </row>
    <row r="29" spans="1:15">
      <c r="A29" s="29" t="s">
        <v>43</v>
      </c>
      <c r="B29" s="31" t="s">
        <v>44</v>
      </c>
      <c r="C29" s="239" t="s">
        <v>687</v>
      </c>
      <c r="D29" s="239" t="s">
        <v>29</v>
      </c>
      <c r="E29" s="240" t="s">
        <v>30</v>
      </c>
      <c r="F29" s="202"/>
      <c r="G29" s="202"/>
      <c r="H29" s="202"/>
      <c r="I29" s="202"/>
      <c r="J29" s="202"/>
      <c r="K29" s="96">
        <v>848.64</v>
      </c>
      <c r="L29" s="202"/>
      <c r="M29" s="202"/>
      <c r="N29" s="36"/>
    </row>
    <row r="30" spans="1:15">
      <c r="A30" s="29" t="s">
        <v>128</v>
      </c>
      <c r="B30" s="31" t="s">
        <v>129</v>
      </c>
      <c r="C30" s="239" t="s">
        <v>687</v>
      </c>
      <c r="D30" s="239" t="s">
        <v>29</v>
      </c>
      <c r="E30" s="240" t="s">
        <v>30</v>
      </c>
      <c r="F30" s="202"/>
      <c r="G30" s="202"/>
      <c r="H30" s="202"/>
      <c r="I30" s="202"/>
      <c r="J30" s="202"/>
      <c r="K30" s="96">
        <v>90.2</v>
      </c>
      <c r="L30" s="202"/>
      <c r="M30" s="202"/>
      <c r="N30" s="36"/>
    </row>
    <row r="31" spans="1:15">
      <c r="A31" s="29" t="s">
        <v>180</v>
      </c>
      <c r="B31" s="31" t="s">
        <v>181</v>
      </c>
      <c r="C31" s="239" t="s">
        <v>687</v>
      </c>
      <c r="D31" s="239" t="s">
        <v>29</v>
      </c>
      <c r="E31" s="240" t="s">
        <v>30</v>
      </c>
      <c r="F31" s="202"/>
      <c r="G31" s="202"/>
      <c r="H31" s="202"/>
      <c r="I31" s="202"/>
      <c r="J31" s="202"/>
      <c r="K31" s="96">
        <v>61.88</v>
      </c>
      <c r="L31" s="202"/>
      <c r="M31" s="202"/>
      <c r="N31" s="36"/>
    </row>
    <row r="32" spans="1:15">
      <c r="A32" s="29" t="s">
        <v>305</v>
      </c>
      <c r="B32" s="31" t="s">
        <v>306</v>
      </c>
      <c r="C32" s="239" t="s">
        <v>687</v>
      </c>
      <c r="D32" s="239" t="s">
        <v>29</v>
      </c>
      <c r="E32" s="240" t="s">
        <v>30</v>
      </c>
      <c r="F32" s="202"/>
      <c r="G32" s="202"/>
      <c r="H32" s="202"/>
      <c r="I32" s="202"/>
      <c r="J32" s="202"/>
      <c r="K32" s="96">
        <v>67.08</v>
      </c>
      <c r="L32" s="202"/>
      <c r="M32" s="202"/>
      <c r="N32" s="36"/>
    </row>
    <row r="33" spans="1:15">
      <c r="A33" s="29" t="s">
        <v>47</v>
      </c>
      <c r="B33" s="31" t="s">
        <v>48</v>
      </c>
      <c r="C33" s="239" t="s">
        <v>687</v>
      </c>
      <c r="D33" s="239" t="s">
        <v>29</v>
      </c>
      <c r="E33" s="240" t="s">
        <v>30</v>
      </c>
      <c r="F33" s="202"/>
      <c r="G33" s="202"/>
      <c r="H33" s="202"/>
      <c r="I33" s="202"/>
      <c r="J33" s="202"/>
      <c r="K33" s="96">
        <v>33.54</v>
      </c>
      <c r="L33" s="202"/>
      <c r="M33" s="202"/>
      <c r="N33" s="36"/>
    </row>
    <row r="34" spans="1:15">
      <c r="A34" s="29" t="s">
        <v>130</v>
      </c>
      <c r="B34" s="71" t="s">
        <v>131</v>
      </c>
      <c r="C34" s="239" t="s">
        <v>687</v>
      </c>
      <c r="D34" s="239" t="s">
        <v>29</v>
      </c>
      <c r="E34" s="240" t="s">
        <v>30</v>
      </c>
      <c r="F34" s="202"/>
      <c r="G34" s="202"/>
      <c r="H34" s="202"/>
      <c r="I34" s="202"/>
      <c r="J34" s="202"/>
      <c r="K34" s="96">
        <v>45.14</v>
      </c>
      <c r="L34" s="202"/>
      <c r="M34" s="202"/>
      <c r="N34" s="36"/>
    </row>
    <row r="35" spans="1:15">
      <c r="A35" s="29" t="s">
        <v>49</v>
      </c>
      <c r="B35" s="31" t="s">
        <v>50</v>
      </c>
      <c r="C35" s="239" t="s">
        <v>687</v>
      </c>
      <c r="D35" s="239" t="s">
        <v>29</v>
      </c>
      <c r="E35" s="240" t="s">
        <v>30</v>
      </c>
      <c r="F35" s="202"/>
      <c r="G35" s="202"/>
      <c r="H35" s="202"/>
      <c r="I35" s="202"/>
      <c r="J35" s="202"/>
      <c r="K35" s="96">
        <v>33.28</v>
      </c>
      <c r="L35" s="202"/>
      <c r="M35" s="202"/>
      <c r="N35" s="36"/>
    </row>
    <row r="36" spans="1:15">
      <c r="A36" s="29" t="s">
        <v>55</v>
      </c>
      <c r="B36" s="31" t="s">
        <v>56</v>
      </c>
      <c r="C36" s="239" t="s">
        <v>687</v>
      </c>
      <c r="D36" s="239" t="s">
        <v>29</v>
      </c>
      <c r="E36" s="240" t="s">
        <v>30</v>
      </c>
      <c r="F36" s="202"/>
      <c r="G36" s="202"/>
      <c r="H36" s="202"/>
      <c r="I36" s="202"/>
      <c r="J36" s="202"/>
      <c r="K36" s="96">
        <v>276.72</v>
      </c>
      <c r="L36" s="202"/>
      <c r="M36" s="202"/>
      <c r="N36" s="36"/>
    </row>
    <row r="37" spans="1:15">
      <c r="A37" s="30" t="s">
        <v>135</v>
      </c>
      <c r="B37" s="31" t="s">
        <v>136</v>
      </c>
      <c r="C37" s="239" t="s">
        <v>687</v>
      </c>
      <c r="D37" s="239" t="s">
        <v>29</v>
      </c>
      <c r="E37" s="240" t="s">
        <v>30</v>
      </c>
      <c r="F37" s="202"/>
      <c r="G37" s="202"/>
      <c r="H37" s="202"/>
      <c r="I37" s="202"/>
      <c r="J37" s="202"/>
      <c r="K37" s="96">
        <v>764.4</v>
      </c>
      <c r="L37" s="202"/>
      <c r="M37" s="202"/>
      <c r="N37" s="36"/>
    </row>
    <row r="38" spans="1:15">
      <c r="A38" s="30" t="s">
        <v>137</v>
      </c>
      <c r="B38" s="31" t="s">
        <v>138</v>
      </c>
      <c r="C38" s="239" t="s">
        <v>687</v>
      </c>
      <c r="D38" s="239" t="s">
        <v>29</v>
      </c>
      <c r="E38" s="240" t="s">
        <v>30</v>
      </c>
      <c r="F38" s="202"/>
      <c r="G38" s="202"/>
      <c r="H38" s="202"/>
      <c r="I38" s="202"/>
      <c r="J38" s="202"/>
      <c r="K38" s="96">
        <v>980.72</v>
      </c>
      <c r="L38" s="202"/>
      <c r="M38" s="202"/>
      <c r="N38" s="36"/>
    </row>
    <row r="39" spans="1:15">
      <c r="A39" s="29" t="s">
        <v>255</v>
      </c>
      <c r="B39" s="31" t="s">
        <v>256</v>
      </c>
      <c r="C39" s="239" t="s">
        <v>687</v>
      </c>
      <c r="D39" s="239" t="s">
        <v>29</v>
      </c>
      <c r="E39" s="240" t="s">
        <v>30</v>
      </c>
      <c r="F39" s="202"/>
      <c r="G39" s="202"/>
      <c r="H39" s="202"/>
      <c r="I39" s="202"/>
      <c r="J39" s="202"/>
      <c r="K39" s="96">
        <v>36.66</v>
      </c>
      <c r="L39" s="202"/>
      <c r="M39" s="202"/>
      <c r="N39" s="36"/>
    </row>
    <row r="40" spans="1:15">
      <c r="A40" s="29" t="s">
        <v>64</v>
      </c>
      <c r="B40" s="74" t="s">
        <v>65</v>
      </c>
      <c r="C40" s="239" t="s">
        <v>687</v>
      </c>
      <c r="D40" s="239" t="s">
        <v>29</v>
      </c>
      <c r="E40" s="240" t="s">
        <v>30</v>
      </c>
      <c r="F40" s="202"/>
      <c r="G40" s="202"/>
      <c r="H40" s="202"/>
      <c r="I40" s="202"/>
      <c r="J40" s="202"/>
      <c r="K40" s="96">
        <v>29.88</v>
      </c>
      <c r="L40" s="202"/>
      <c r="M40" s="202"/>
      <c r="N40" s="36"/>
    </row>
    <row r="41" spans="1:15" customHeight="1" ht="28.5">
      <c r="A41" s="29" t="s">
        <v>66</v>
      </c>
      <c r="B41" s="71" t="s">
        <v>67</v>
      </c>
      <c r="C41" s="239" t="s">
        <v>687</v>
      </c>
      <c r="D41" s="239" t="s">
        <v>29</v>
      </c>
      <c r="E41" s="240" t="s">
        <v>30</v>
      </c>
      <c r="F41" s="202"/>
      <c r="G41" s="202"/>
      <c r="H41" s="202"/>
      <c r="I41" s="202"/>
      <c r="J41" s="202"/>
      <c r="K41" s="96">
        <v>8.82</v>
      </c>
      <c r="L41" s="202"/>
      <c r="M41" s="202"/>
      <c r="N41" s="36"/>
    </row>
    <row r="42" spans="1:15">
      <c r="A42" s="29" t="s">
        <v>68</v>
      </c>
      <c r="B42" s="31" t="s">
        <v>69</v>
      </c>
      <c r="C42" s="239" t="s">
        <v>687</v>
      </c>
      <c r="D42" s="239" t="s">
        <v>29</v>
      </c>
      <c r="E42" s="240" t="s">
        <v>30</v>
      </c>
      <c r="F42" s="202"/>
      <c r="G42" s="202"/>
      <c r="H42" s="202"/>
      <c r="I42" s="202"/>
      <c r="J42" s="202"/>
      <c r="K42" s="96">
        <v>41.34</v>
      </c>
      <c r="L42" s="202"/>
      <c r="M42" s="202"/>
      <c r="N42" s="36"/>
    </row>
    <row r="43" spans="1:15">
      <c r="A43" s="29" t="s">
        <v>147</v>
      </c>
      <c r="B43" s="31" t="s">
        <v>148</v>
      </c>
      <c r="C43" s="239" t="s">
        <v>687</v>
      </c>
      <c r="D43" s="239" t="s">
        <v>29</v>
      </c>
      <c r="E43" s="240" t="s">
        <v>30</v>
      </c>
      <c r="F43" s="202"/>
      <c r="G43" s="202"/>
      <c r="H43" s="202"/>
      <c r="I43" s="202"/>
      <c r="J43" s="202"/>
      <c r="K43" s="96">
        <v>41.58</v>
      </c>
      <c r="L43" s="202"/>
      <c r="M43" s="202"/>
      <c r="N43" s="36"/>
    </row>
    <row r="44" spans="1:15">
      <c r="A44" s="30" t="s">
        <v>72</v>
      </c>
      <c r="B44" s="31" t="s">
        <v>73</v>
      </c>
      <c r="C44" s="239" t="s">
        <v>687</v>
      </c>
      <c r="D44" s="239" t="s">
        <v>29</v>
      </c>
      <c r="E44" s="240" t="s">
        <v>30</v>
      </c>
      <c r="F44" s="202"/>
      <c r="G44" s="202"/>
      <c r="H44" s="202"/>
      <c r="I44" s="202"/>
      <c r="J44" s="202"/>
      <c r="K44" s="96">
        <v>39.92</v>
      </c>
      <c r="L44" s="202"/>
      <c r="M44" s="202"/>
      <c r="N44" s="36"/>
    </row>
    <row r="45" spans="1:15">
      <c r="A45" s="30" t="s">
        <v>190</v>
      </c>
      <c r="B45" s="31" t="s">
        <v>191</v>
      </c>
      <c r="C45" s="239" t="s">
        <v>687</v>
      </c>
      <c r="D45" s="239" t="s">
        <v>29</v>
      </c>
      <c r="E45" s="240" t="s">
        <v>30</v>
      </c>
      <c r="F45" s="202"/>
      <c r="G45" s="202"/>
      <c r="H45" s="202"/>
      <c r="I45" s="202"/>
      <c r="J45" s="202"/>
      <c r="K45" s="96">
        <v>33.37</v>
      </c>
      <c r="L45" s="202"/>
      <c r="M45" s="202"/>
      <c r="N45" s="36"/>
    </row>
    <row r="46" spans="1:15" customHeight="1" ht="28.5">
      <c r="A46" s="29" t="s">
        <v>76</v>
      </c>
      <c r="B46" s="75" t="s">
        <v>77</v>
      </c>
      <c r="C46" s="239" t="s">
        <v>687</v>
      </c>
      <c r="D46" s="239" t="s">
        <v>29</v>
      </c>
      <c r="E46" s="240" t="s">
        <v>30</v>
      </c>
      <c r="F46" s="202"/>
      <c r="G46" s="202"/>
      <c r="H46" s="202"/>
      <c r="I46" s="202"/>
      <c r="J46" s="202"/>
      <c r="K46" s="96">
        <v>148.24</v>
      </c>
      <c r="L46" s="202"/>
      <c r="M46" s="202"/>
      <c r="N46" s="36"/>
    </row>
    <row r="47" spans="1:15" customHeight="1" ht="28.5">
      <c r="A47" s="29" t="s">
        <v>192</v>
      </c>
      <c r="B47" s="75" t="s">
        <v>193</v>
      </c>
      <c r="C47" s="239" t="s">
        <v>687</v>
      </c>
      <c r="D47" s="239" t="s">
        <v>29</v>
      </c>
      <c r="E47" s="240" t="s">
        <v>30</v>
      </c>
      <c r="F47" s="202"/>
      <c r="G47" s="202"/>
      <c r="H47" s="202"/>
      <c r="I47" s="202"/>
      <c r="J47" s="202"/>
      <c r="K47" s="96">
        <v>118.56</v>
      </c>
      <c r="L47" s="202"/>
      <c r="M47" s="202"/>
      <c r="N47" s="36"/>
    </row>
    <row r="48" spans="1:15" customHeight="1" ht="28.5">
      <c r="A48" s="29" t="s">
        <v>271</v>
      </c>
      <c r="B48" s="75" t="s">
        <v>272</v>
      </c>
      <c r="C48" s="239" t="s">
        <v>687</v>
      </c>
      <c r="D48" s="239" t="s">
        <v>29</v>
      </c>
      <c r="E48" s="240" t="s">
        <v>30</v>
      </c>
      <c r="F48" s="202"/>
      <c r="G48" s="202"/>
      <c r="H48" s="202"/>
      <c r="I48" s="202"/>
      <c r="J48" s="202"/>
      <c r="K48" s="96">
        <v>1652.88</v>
      </c>
      <c r="L48" s="202"/>
      <c r="M48" s="202"/>
      <c r="N48" s="36"/>
    </row>
    <row r="49" spans="1:15">
      <c r="A49" s="29" t="s">
        <v>78</v>
      </c>
      <c r="B49" s="76" t="s">
        <v>79</v>
      </c>
      <c r="C49" s="239" t="s">
        <v>687</v>
      </c>
      <c r="D49" s="239" t="s">
        <v>29</v>
      </c>
      <c r="E49" s="240" t="s">
        <v>30</v>
      </c>
      <c r="F49" s="202"/>
      <c r="G49" s="202"/>
      <c r="H49" s="202"/>
      <c r="I49" s="202"/>
      <c r="J49" s="202"/>
      <c r="K49" s="96">
        <v>3813.84</v>
      </c>
      <c r="L49" s="202"/>
      <c r="M49" s="202"/>
      <c r="N49" s="36"/>
    </row>
    <row r="50" spans="1:15">
      <c r="A50" s="29" t="s">
        <v>84</v>
      </c>
      <c r="B50" s="31" t="s">
        <v>85</v>
      </c>
      <c r="C50" s="239" t="s">
        <v>687</v>
      </c>
      <c r="D50" s="239" t="s">
        <v>29</v>
      </c>
      <c r="E50" s="240" t="s">
        <v>30</v>
      </c>
      <c r="F50" s="202"/>
      <c r="G50" s="202"/>
      <c r="H50" s="202"/>
      <c r="I50" s="202"/>
      <c r="J50" s="202"/>
      <c r="K50" s="96">
        <v>1553.76</v>
      </c>
      <c r="L50" s="202"/>
      <c r="M50" s="202"/>
      <c r="N50" s="36"/>
    </row>
    <row r="51" spans="1:15">
      <c r="A51" s="29" t="s">
        <v>151</v>
      </c>
      <c r="B51" s="31" t="s">
        <v>152</v>
      </c>
      <c r="C51" s="239" t="s">
        <v>687</v>
      </c>
      <c r="D51" s="239" t="s">
        <v>29</v>
      </c>
      <c r="E51" s="240" t="s">
        <v>30</v>
      </c>
      <c r="F51" s="202"/>
      <c r="G51" s="202"/>
      <c r="H51" s="202"/>
      <c r="I51" s="202"/>
      <c r="J51" s="202"/>
      <c r="K51" s="96">
        <v>139.36</v>
      </c>
      <c r="L51" s="202"/>
      <c r="M51" s="202"/>
      <c r="N51" s="36"/>
    </row>
    <row r="52" spans="1:15" customHeight="1" ht="28.5">
      <c r="A52" s="29"/>
      <c r="B52" s="71" t="s">
        <v>688</v>
      </c>
      <c r="C52" s="239" t="s">
        <v>687</v>
      </c>
      <c r="D52" s="239" t="s">
        <v>29</v>
      </c>
      <c r="E52" s="240" t="s">
        <v>30</v>
      </c>
      <c r="F52" s="202"/>
      <c r="G52" s="202"/>
      <c r="H52" s="202"/>
      <c r="I52" s="202"/>
      <c r="J52" s="202"/>
      <c r="K52" s="96">
        <v>1600</v>
      </c>
      <c r="L52" s="202"/>
      <c r="M52" s="202"/>
      <c r="N52" s="36"/>
    </row>
    <row r="53" spans="1:15">
      <c r="A53" s="316"/>
      <c r="B53" s="317" t="s">
        <v>689</v>
      </c>
      <c r="C53" s="239" t="s">
        <v>687</v>
      </c>
      <c r="D53" s="239" t="s">
        <v>29</v>
      </c>
      <c r="E53" s="240" t="s">
        <v>30</v>
      </c>
      <c r="F53" s="202"/>
      <c r="G53" s="202"/>
      <c r="H53" s="202"/>
      <c r="I53" s="202"/>
      <c r="J53" s="202"/>
      <c r="K53" s="323">
        <v>5950</v>
      </c>
      <c r="L53" s="202"/>
      <c r="M53" s="202"/>
      <c r="N53" s="36"/>
    </row>
    <row r="54" spans="1:15">
      <c r="A54" s="316"/>
      <c r="B54" s="317" t="s">
        <v>690</v>
      </c>
      <c r="C54" s="239" t="s">
        <v>687</v>
      </c>
      <c r="D54" s="239" t="s">
        <v>29</v>
      </c>
      <c r="E54" s="240" t="s">
        <v>30</v>
      </c>
      <c r="F54" s="202"/>
      <c r="G54" s="202"/>
      <c r="H54" s="202"/>
      <c r="I54" s="202"/>
      <c r="J54" s="202"/>
      <c r="K54" s="323">
        <v>350</v>
      </c>
      <c r="L54" s="202"/>
      <c r="M54" s="202"/>
      <c r="N54" s="36"/>
    </row>
    <row r="55" spans="1:15" customHeight="1" ht="28.5">
      <c r="A55" s="44"/>
      <c r="B55" s="318" t="s">
        <v>691</v>
      </c>
      <c r="C55" s="239" t="s">
        <v>687</v>
      </c>
      <c r="D55" s="239" t="s">
        <v>29</v>
      </c>
      <c r="E55" s="240" t="s">
        <v>30</v>
      </c>
      <c r="F55" s="202"/>
      <c r="G55" s="202"/>
      <c r="H55" s="202"/>
      <c r="I55" s="202"/>
      <c r="J55" s="202"/>
      <c r="K55" s="323">
        <v>350</v>
      </c>
      <c r="L55" s="202"/>
      <c r="M55" s="202"/>
      <c r="N55" s="36"/>
    </row>
    <row r="56" spans="1:15">
      <c r="A56" s="44"/>
      <c r="B56" s="319" t="s">
        <v>692</v>
      </c>
      <c r="C56" s="239" t="s">
        <v>687</v>
      </c>
      <c r="D56" s="239" t="s">
        <v>29</v>
      </c>
      <c r="E56" s="240" t="s">
        <v>30</v>
      </c>
      <c r="F56" s="202"/>
      <c r="G56" s="202"/>
      <c r="H56" s="202"/>
      <c r="I56" s="202"/>
      <c r="J56" s="202"/>
      <c r="K56" s="323">
        <v>16000</v>
      </c>
      <c r="L56" s="202"/>
      <c r="M56" s="202"/>
      <c r="N56" s="36"/>
    </row>
    <row r="57" spans="1:15" customHeight="1" ht="28.5">
      <c r="A57" s="44"/>
      <c r="B57" s="319" t="s">
        <v>693</v>
      </c>
      <c r="C57" s="239" t="s">
        <v>687</v>
      </c>
      <c r="D57" s="239" t="s">
        <v>29</v>
      </c>
      <c r="E57" s="240" t="s">
        <v>30</v>
      </c>
      <c r="F57" s="202"/>
      <c r="G57" s="202"/>
      <c r="H57" s="202"/>
      <c r="I57" s="202"/>
      <c r="J57" s="202"/>
      <c r="K57" s="323">
        <v>500</v>
      </c>
      <c r="L57" s="202"/>
      <c r="M57" s="202"/>
      <c r="N57" s="36"/>
    </row>
    <row r="58" spans="1:15" customHeight="1" ht="28.5">
      <c r="A58" s="44"/>
      <c r="B58" s="320" t="s">
        <v>694</v>
      </c>
      <c r="C58" s="239" t="s">
        <v>687</v>
      </c>
      <c r="D58" s="239" t="s">
        <v>29</v>
      </c>
      <c r="E58" s="240" t="s">
        <v>30</v>
      </c>
      <c r="F58" s="202"/>
      <c r="G58" s="202"/>
      <c r="H58" s="202"/>
      <c r="I58" s="202"/>
      <c r="J58" s="202"/>
      <c r="K58" s="323">
        <v>1500</v>
      </c>
      <c r="L58" s="202"/>
      <c r="M58" s="202"/>
      <c r="N58" s="36"/>
    </row>
    <row r="59" spans="1:15" customHeight="1" ht="28.5">
      <c r="A59" s="44"/>
      <c r="B59" s="318" t="s">
        <v>695</v>
      </c>
      <c r="C59" s="239" t="s">
        <v>687</v>
      </c>
      <c r="D59" s="239" t="s">
        <v>29</v>
      </c>
      <c r="E59" s="240" t="s">
        <v>30</v>
      </c>
      <c r="F59" s="202"/>
      <c r="G59" s="202"/>
      <c r="H59" s="202"/>
      <c r="I59" s="202"/>
      <c r="J59" s="202"/>
      <c r="K59" s="323">
        <v>500</v>
      </c>
      <c r="L59" s="202"/>
      <c r="M59" s="202"/>
      <c r="N59" s="36"/>
    </row>
    <row r="60" spans="1:15" customHeight="1" ht="28.5">
      <c r="A60" s="44"/>
      <c r="B60" s="319" t="s">
        <v>696</v>
      </c>
      <c r="C60" s="239" t="s">
        <v>687</v>
      </c>
      <c r="D60" s="239" t="s">
        <v>29</v>
      </c>
      <c r="E60" s="240" t="s">
        <v>30</v>
      </c>
      <c r="F60" s="202"/>
      <c r="G60" s="202"/>
      <c r="H60" s="202"/>
      <c r="I60" s="202"/>
      <c r="J60" s="202"/>
      <c r="K60" s="323">
        <v>1500</v>
      </c>
      <c r="L60" s="202"/>
      <c r="M60" s="202"/>
      <c r="N60" s="36"/>
    </row>
    <row r="61" spans="1:15" customHeight="1" ht="28.5">
      <c r="A61" s="44"/>
      <c r="B61" s="320" t="s">
        <v>697</v>
      </c>
      <c r="C61" s="239" t="s">
        <v>687</v>
      </c>
      <c r="D61" s="239" t="s">
        <v>29</v>
      </c>
      <c r="E61" s="240" t="s">
        <v>30</v>
      </c>
      <c r="F61" s="202"/>
      <c r="G61" s="202"/>
      <c r="H61" s="202"/>
      <c r="I61" s="202"/>
      <c r="J61" s="202"/>
      <c r="K61" s="323">
        <v>500</v>
      </c>
      <c r="L61" s="202"/>
      <c r="M61" s="202"/>
      <c r="N61" s="36"/>
    </row>
    <row r="62" spans="1:15" customHeight="1" ht="28.5">
      <c r="A62" s="44"/>
      <c r="B62" s="320" t="s">
        <v>698</v>
      </c>
      <c r="C62" s="239" t="s">
        <v>687</v>
      </c>
      <c r="D62" s="239" t="s">
        <v>29</v>
      </c>
      <c r="E62" s="240" t="s">
        <v>30</v>
      </c>
      <c r="F62" s="202"/>
      <c r="G62" s="202"/>
      <c r="H62" s="202"/>
      <c r="I62" s="202"/>
      <c r="J62" s="202"/>
      <c r="K62" s="323">
        <v>1500</v>
      </c>
      <c r="L62" s="202"/>
      <c r="M62" s="202"/>
      <c r="N62" s="36"/>
    </row>
    <row r="63" spans="1:15">
      <c r="A63" s="44"/>
      <c r="B63" s="319" t="s">
        <v>699</v>
      </c>
      <c r="C63" s="239" t="s">
        <v>687</v>
      </c>
      <c r="D63" s="239" t="s">
        <v>29</v>
      </c>
      <c r="E63" s="240" t="s">
        <v>30</v>
      </c>
      <c r="F63" s="202"/>
      <c r="G63" s="202"/>
      <c r="H63" s="202"/>
      <c r="I63" s="202"/>
      <c r="J63" s="202"/>
      <c r="K63" s="323">
        <v>3500</v>
      </c>
      <c r="L63" s="202"/>
      <c r="M63" s="202"/>
      <c r="N63" s="36"/>
    </row>
    <row r="64" spans="1:15">
      <c r="A64" s="44"/>
      <c r="B64" s="319" t="s">
        <v>700</v>
      </c>
      <c r="C64" s="239" t="s">
        <v>687</v>
      </c>
      <c r="D64" s="239" t="s">
        <v>29</v>
      </c>
      <c r="E64" s="240" t="s">
        <v>30</v>
      </c>
      <c r="F64" s="202"/>
      <c r="G64" s="202"/>
      <c r="H64" s="202"/>
      <c r="I64" s="202"/>
      <c r="J64" s="202"/>
      <c r="K64" s="323">
        <v>700</v>
      </c>
      <c r="L64" s="202"/>
      <c r="M64" s="202"/>
      <c r="N64" s="36"/>
    </row>
    <row r="65" spans="1:15">
      <c r="A65" s="44"/>
      <c r="B65" s="319" t="s">
        <v>701</v>
      </c>
      <c r="C65" s="239" t="s">
        <v>687</v>
      </c>
      <c r="D65" s="239" t="s">
        <v>29</v>
      </c>
      <c r="E65" s="240" t="s">
        <v>30</v>
      </c>
      <c r="F65" s="202"/>
      <c r="G65" s="202"/>
      <c r="H65" s="202"/>
      <c r="I65" s="202"/>
      <c r="J65" s="202"/>
      <c r="K65" s="323">
        <v>1000</v>
      </c>
      <c r="L65" s="202"/>
      <c r="M65" s="202"/>
      <c r="N65" s="36"/>
    </row>
    <row r="66" spans="1:15">
      <c r="A66" s="44"/>
      <c r="B66" s="319" t="s">
        <v>702</v>
      </c>
      <c r="C66" s="239" t="s">
        <v>687</v>
      </c>
      <c r="D66" s="239" t="s">
        <v>29</v>
      </c>
      <c r="E66" s="240" t="s">
        <v>30</v>
      </c>
      <c r="F66" s="202"/>
      <c r="G66" s="202"/>
      <c r="H66" s="202"/>
      <c r="I66" s="202"/>
      <c r="J66" s="202"/>
      <c r="K66" s="323">
        <v>3600</v>
      </c>
      <c r="L66" s="202"/>
      <c r="M66" s="202"/>
      <c r="N66" s="36"/>
    </row>
    <row r="67" spans="1:15">
      <c r="A67" s="44"/>
      <c r="B67" s="319" t="s">
        <v>703</v>
      </c>
      <c r="C67" s="239" t="s">
        <v>687</v>
      </c>
      <c r="D67" s="239" t="s">
        <v>29</v>
      </c>
      <c r="E67" s="240" t="s">
        <v>30</v>
      </c>
      <c r="F67" s="202"/>
      <c r="G67" s="202"/>
      <c r="H67" s="202"/>
      <c r="I67" s="202"/>
      <c r="J67" s="202"/>
      <c r="K67" s="323">
        <v>600</v>
      </c>
      <c r="L67" s="202"/>
      <c r="M67" s="202"/>
      <c r="N67" s="36"/>
    </row>
    <row r="68" spans="1:15">
      <c r="A68" s="44"/>
      <c r="B68" s="319" t="s">
        <v>704</v>
      </c>
      <c r="C68" s="239" t="s">
        <v>687</v>
      </c>
      <c r="D68" s="239" t="s">
        <v>29</v>
      </c>
      <c r="E68" s="240" t="s">
        <v>30</v>
      </c>
      <c r="F68" s="202"/>
      <c r="G68" s="202"/>
      <c r="H68" s="202"/>
      <c r="I68" s="202"/>
      <c r="J68" s="202"/>
      <c r="K68" s="323">
        <v>3100</v>
      </c>
      <c r="L68" s="202"/>
      <c r="M68" s="202"/>
      <c r="N68" s="36"/>
    </row>
    <row r="69" spans="1:15">
      <c r="A69" s="44"/>
      <c r="B69" s="319" t="s">
        <v>705</v>
      </c>
      <c r="C69" s="239" t="s">
        <v>687</v>
      </c>
      <c r="D69" s="239" t="s">
        <v>29</v>
      </c>
      <c r="E69" s="240" t="s">
        <v>30</v>
      </c>
      <c r="F69" s="202"/>
      <c r="G69" s="202"/>
      <c r="H69" s="202"/>
      <c r="I69" s="202"/>
      <c r="J69" s="202"/>
      <c r="K69" s="323">
        <v>1300</v>
      </c>
      <c r="L69" s="202"/>
      <c r="M69" s="202"/>
      <c r="N69" s="36"/>
    </row>
    <row r="70" spans="1:15">
      <c r="A70" s="44"/>
      <c r="B70" s="321" t="s">
        <v>706</v>
      </c>
      <c r="C70" s="239" t="s">
        <v>687</v>
      </c>
      <c r="D70" s="239" t="s">
        <v>29</v>
      </c>
      <c r="E70" s="240" t="s">
        <v>30</v>
      </c>
      <c r="F70" s="202"/>
      <c r="G70" s="202"/>
      <c r="H70" s="202"/>
      <c r="I70" s="202"/>
      <c r="J70" s="202"/>
      <c r="K70" s="323">
        <v>1470</v>
      </c>
      <c r="L70" s="202"/>
      <c r="M70" s="202"/>
      <c r="N70" s="36"/>
    </row>
    <row r="71" spans="1:15">
      <c r="A71" s="44"/>
      <c r="B71" s="321" t="s">
        <v>707</v>
      </c>
      <c r="C71" s="239" t="s">
        <v>687</v>
      </c>
      <c r="D71" s="239" t="s">
        <v>29</v>
      </c>
      <c r="E71" s="240" t="s">
        <v>30</v>
      </c>
      <c r="F71" s="202"/>
      <c r="G71" s="202"/>
      <c r="H71" s="202"/>
      <c r="I71" s="202"/>
      <c r="J71" s="202"/>
      <c r="K71" s="323">
        <v>980</v>
      </c>
      <c r="L71" s="202"/>
      <c r="M71" s="202"/>
      <c r="N71" s="36"/>
    </row>
    <row r="72" spans="1:15">
      <c r="A72" s="44"/>
      <c r="B72" s="322" t="s">
        <v>708</v>
      </c>
      <c r="C72" s="239" t="s">
        <v>687</v>
      </c>
      <c r="D72" s="239" t="s">
        <v>29</v>
      </c>
      <c r="E72" s="240" t="s">
        <v>30</v>
      </c>
      <c r="F72" s="202"/>
      <c r="G72" s="202"/>
      <c r="H72" s="202"/>
      <c r="I72" s="202"/>
      <c r="J72" s="202"/>
      <c r="K72" s="323">
        <v>1200</v>
      </c>
      <c r="L72" s="202"/>
      <c r="M72" s="202"/>
      <c r="N72" s="36"/>
    </row>
    <row r="73" spans="1:15">
      <c r="A73" s="44"/>
      <c r="B73" s="321" t="s">
        <v>709</v>
      </c>
      <c r="C73" s="239" t="s">
        <v>687</v>
      </c>
      <c r="D73" s="239" t="s">
        <v>29</v>
      </c>
      <c r="E73" s="240" t="s">
        <v>30</v>
      </c>
      <c r="F73" s="202"/>
      <c r="G73" s="202"/>
      <c r="H73" s="202"/>
      <c r="I73" s="202"/>
      <c r="J73" s="202"/>
      <c r="K73" s="323">
        <v>240</v>
      </c>
      <c r="L73" s="202"/>
      <c r="M73" s="202"/>
      <c r="N73" s="36"/>
    </row>
    <row r="74" spans="1:15" s="187" customFormat="1">
      <c r="A74" s="325" t="s">
        <v>23</v>
      </c>
      <c r="B74" s="326"/>
      <c r="C74" s="270"/>
      <c r="D74" s="270"/>
      <c r="E74" s="327"/>
      <c r="F74" s="212"/>
      <c r="G74" s="212"/>
      <c r="H74" s="212"/>
      <c r="I74" s="212"/>
      <c r="J74" s="212"/>
      <c r="K74" s="328">
        <f>SUM(K12:K73)</f>
        <v>67997.1</v>
      </c>
      <c r="L74" s="212"/>
      <c r="M74" s="212"/>
      <c r="N74" s="185"/>
    </row>
    <row r="180" spans="1:15" s="187" customForma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72"/>
  <sheetViews>
    <sheetView tabSelected="0" workbookViewId="0" zoomScale="80" zoomScaleNormal="80" showGridLines="true" showRowColHeaders="1">
      <selection activeCell="K72" sqref="K72"/>
    </sheetView>
  </sheetViews>
  <sheetFormatPr defaultRowHeight="14.4" defaultColWidth="20.7109375" outlineLevelRow="0" outlineLevelCol="0"/>
  <cols>
    <col min="1" max="1" width="20.85546875" customWidth="true" style="63"/>
    <col min="2" max="2" width="61.140625" customWidth="true" style="63"/>
    <col min="3" max="3" width="20.7109375" style="63"/>
    <col min="4" max="4" width="15.7109375" customWidth="true" style="63"/>
    <col min="5" max="5" width="15.7109375" customWidth="true" style="63"/>
    <col min="6" max="6" width="15.7109375" customWidth="true" style="63"/>
    <col min="7" max="7" width="15.7109375" customWidth="true" style="63"/>
    <col min="8" max="8" width="15.7109375" customWidth="true" style="63"/>
    <col min="9" max="9" width="15.7109375" customWidth="true" style="63"/>
    <col min="10" max="10" width="15.7109375" customWidth="true" style="63"/>
    <col min="11" max="11" width="15.7109375" customWidth="true" style="63"/>
    <col min="12" max="12" width="15.7109375" customWidth="true" style="63"/>
    <col min="13" max="13" width="24" customWidth="true" style="63"/>
    <col min="14" max="14" width="20.7109375" style="63"/>
    <col min="15" max="15" width="20.7109375" style="64"/>
  </cols>
  <sheetData>
    <row r="1" spans="1:15">
      <c r="A1" s="61" t="s">
        <v>0</v>
      </c>
      <c r="B1" s="62"/>
      <c r="C1" s="62"/>
      <c r="D1" s="62"/>
      <c r="E1" s="62"/>
    </row>
    <row r="2" spans="1:15">
      <c r="A2" s="65"/>
      <c r="B2" s="62"/>
      <c r="C2" s="62"/>
      <c r="D2" s="62"/>
      <c r="E2" s="62"/>
    </row>
    <row r="3" spans="1:15">
      <c r="A3" s="364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5">
      <c r="B4" s="66"/>
      <c r="C4" s="66"/>
      <c r="D4" s="66"/>
      <c r="E4" s="66"/>
    </row>
    <row r="5" spans="1:15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</row>
    <row r="6" spans="1:15">
      <c r="A6" s="69" t="s">
        <v>4</v>
      </c>
      <c r="B6" s="272" t="s">
        <v>5</v>
      </c>
      <c r="C6" s="70"/>
      <c r="D6" s="69" t="s">
        <v>6</v>
      </c>
      <c r="E6" s="70"/>
      <c r="F6" s="271" t="s">
        <v>710</v>
      </c>
    </row>
    <row r="7" spans="1:15">
      <c r="A7" s="69" t="s">
        <v>8</v>
      </c>
      <c r="B7" s="273" t="s">
        <v>9</v>
      </c>
    </row>
    <row r="9" spans="1:15" customHeight="1" ht="16.15"/>
    <row r="10" spans="1:15" customHeight="1" ht="15.6" s="65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5" customHeight="1" ht="33.6" s="65" customFormat="1">
      <c r="A11" s="361"/>
      <c r="B11" s="363"/>
      <c r="C11" s="363"/>
      <c r="D11" s="365"/>
      <c r="E11" s="363"/>
      <c r="F11" s="90" t="s">
        <v>19</v>
      </c>
      <c r="G11" s="90" t="s">
        <v>20</v>
      </c>
      <c r="H11" s="90" t="s">
        <v>21</v>
      </c>
      <c r="I11" s="90" t="s">
        <v>22</v>
      </c>
      <c r="J11" s="363"/>
      <c r="K11" s="92" t="s">
        <v>23</v>
      </c>
      <c r="L11" s="92" t="s">
        <v>24</v>
      </c>
      <c r="M11" s="92" t="s">
        <v>25</v>
      </c>
      <c r="N11" s="354"/>
    </row>
    <row r="12" spans="1:15">
      <c r="A12" s="97" t="s">
        <v>26</v>
      </c>
      <c r="B12" s="31" t="s">
        <v>27</v>
      </c>
      <c r="C12" s="181" t="s">
        <v>710</v>
      </c>
      <c r="D12" s="88" t="s">
        <v>29</v>
      </c>
      <c r="E12" s="89" t="s">
        <v>30</v>
      </c>
      <c r="F12" s="87"/>
      <c r="G12" s="87"/>
      <c r="H12" s="87"/>
      <c r="I12" s="87"/>
      <c r="J12" s="87"/>
      <c r="K12" s="98">
        <f>SUM(47.85)*20</f>
        <v>957</v>
      </c>
      <c r="L12" s="87"/>
      <c r="M12" s="87"/>
      <c r="N12" s="36"/>
    </row>
    <row r="13" spans="1:15">
      <c r="A13" s="97" t="s">
        <v>31</v>
      </c>
      <c r="B13" s="31" t="s">
        <v>32</v>
      </c>
      <c r="C13" s="181" t="s">
        <v>710</v>
      </c>
      <c r="D13" s="88" t="s">
        <v>29</v>
      </c>
      <c r="E13" s="89" t="s">
        <v>30</v>
      </c>
      <c r="F13" s="36"/>
      <c r="G13" s="36"/>
      <c r="H13" s="36"/>
      <c r="I13" s="36"/>
      <c r="J13" s="36"/>
      <c r="K13" s="96">
        <f>SUM(22.2)*20</f>
        <v>444</v>
      </c>
      <c r="L13" s="36"/>
      <c r="M13" s="36"/>
      <c r="N13" s="36"/>
    </row>
    <row r="14" spans="1:15">
      <c r="A14" s="97" t="s">
        <v>33</v>
      </c>
      <c r="B14" s="31" t="s">
        <v>34</v>
      </c>
      <c r="C14" s="181" t="s">
        <v>710</v>
      </c>
      <c r="D14" s="88" t="s">
        <v>29</v>
      </c>
      <c r="E14" s="89" t="s">
        <v>30</v>
      </c>
      <c r="F14" s="36"/>
      <c r="G14" s="36"/>
      <c r="H14" s="36"/>
      <c r="I14" s="36"/>
      <c r="J14" s="36"/>
      <c r="K14" s="96">
        <f>SUM(20.49)*16</f>
        <v>327.84</v>
      </c>
      <c r="L14" s="36"/>
      <c r="M14" s="36"/>
      <c r="N14" s="36"/>
    </row>
    <row r="15" spans="1:15">
      <c r="A15" s="97" t="s">
        <v>241</v>
      </c>
      <c r="B15" s="31" t="s">
        <v>242</v>
      </c>
      <c r="C15" s="181" t="s">
        <v>710</v>
      </c>
      <c r="D15" s="88" t="s">
        <v>29</v>
      </c>
      <c r="E15" s="89" t="s">
        <v>30</v>
      </c>
      <c r="F15" s="36"/>
      <c r="G15" s="36"/>
      <c r="H15" s="36"/>
      <c r="I15" s="36"/>
      <c r="J15" s="36"/>
      <c r="K15" s="96">
        <f>SUM(18.34)*16</f>
        <v>293.44</v>
      </c>
      <c r="L15" s="36"/>
      <c r="M15" s="36"/>
      <c r="N15" s="36"/>
    </row>
    <row r="16" spans="1:15">
      <c r="A16" s="97" t="s">
        <v>114</v>
      </c>
      <c r="B16" s="31" t="s">
        <v>171</v>
      </c>
      <c r="C16" s="181" t="s">
        <v>710</v>
      </c>
      <c r="D16" s="88" t="s">
        <v>29</v>
      </c>
      <c r="E16" s="89" t="s">
        <v>30</v>
      </c>
      <c r="F16" s="36"/>
      <c r="G16" s="36"/>
      <c r="H16" s="36"/>
      <c r="I16" s="36"/>
      <c r="J16" s="36"/>
      <c r="K16" s="96">
        <f>SUM(81.64)*8</f>
        <v>653.12</v>
      </c>
      <c r="L16" s="36"/>
      <c r="M16" s="36"/>
      <c r="N16" s="36"/>
    </row>
    <row r="17" spans="1:15">
      <c r="A17" s="99" t="s">
        <v>35</v>
      </c>
      <c r="B17" s="31" t="s">
        <v>36</v>
      </c>
      <c r="C17" s="181" t="s">
        <v>710</v>
      </c>
      <c r="D17" s="88" t="s">
        <v>29</v>
      </c>
      <c r="E17" s="89" t="s">
        <v>30</v>
      </c>
      <c r="F17" s="36"/>
      <c r="G17" s="36"/>
      <c r="H17" s="36"/>
      <c r="I17" s="36"/>
      <c r="J17" s="36"/>
      <c r="K17" s="96">
        <f>SUM(136.24)*2</f>
        <v>272.48</v>
      </c>
      <c r="L17" s="36"/>
      <c r="M17" s="36"/>
      <c r="N17" s="36"/>
    </row>
    <row r="18" spans="1:15">
      <c r="A18" s="99" t="s">
        <v>37</v>
      </c>
      <c r="B18" s="31" t="s">
        <v>38</v>
      </c>
      <c r="C18" s="181" t="s">
        <v>710</v>
      </c>
      <c r="D18" s="88" t="s">
        <v>29</v>
      </c>
      <c r="E18" s="89" t="s">
        <v>30</v>
      </c>
      <c r="F18" s="36"/>
      <c r="G18" s="36"/>
      <c r="H18" s="36"/>
      <c r="I18" s="36"/>
      <c r="J18" s="36"/>
      <c r="K18" s="96">
        <f>SUM(139.89)*4</f>
        <v>559.56</v>
      </c>
      <c r="L18" s="36"/>
      <c r="M18" s="36"/>
      <c r="N18" s="36"/>
    </row>
    <row r="19" spans="1:15">
      <c r="A19" s="29" t="s">
        <v>174</v>
      </c>
      <c r="B19" s="31" t="s">
        <v>175</v>
      </c>
      <c r="C19" s="181" t="s">
        <v>710</v>
      </c>
      <c r="D19" s="88" t="s">
        <v>29</v>
      </c>
      <c r="E19" s="89" t="s">
        <v>30</v>
      </c>
      <c r="F19" s="36"/>
      <c r="G19" s="36"/>
      <c r="H19" s="36"/>
      <c r="I19" s="36"/>
      <c r="J19" s="36"/>
      <c r="K19" s="96">
        <f>SUM(27.64)*1</f>
        <v>27.64</v>
      </c>
      <c r="L19" s="36"/>
      <c r="M19" s="36"/>
      <c r="N19" s="36"/>
    </row>
    <row r="20" spans="1:15">
      <c r="A20" s="97" t="s">
        <v>39</v>
      </c>
      <c r="B20" s="31" t="s">
        <v>40</v>
      </c>
      <c r="C20" s="181" t="s">
        <v>710</v>
      </c>
      <c r="D20" s="88" t="s">
        <v>29</v>
      </c>
      <c r="E20" s="89" t="s">
        <v>30</v>
      </c>
      <c r="F20" s="36"/>
      <c r="G20" s="36"/>
      <c r="H20" s="36"/>
      <c r="I20" s="36"/>
      <c r="J20" s="36"/>
      <c r="K20" s="96">
        <f>SUM(120.12)*10</f>
        <v>1201.2</v>
      </c>
      <c r="L20" s="36"/>
      <c r="M20" s="36"/>
      <c r="N20" s="36"/>
    </row>
    <row r="21" spans="1:15">
      <c r="A21" s="97" t="s">
        <v>178</v>
      </c>
      <c r="B21" s="31" t="s">
        <v>179</v>
      </c>
      <c r="C21" s="181" t="s">
        <v>710</v>
      </c>
      <c r="D21" s="88" t="s">
        <v>29</v>
      </c>
      <c r="E21" s="89" t="s">
        <v>30</v>
      </c>
      <c r="F21" s="36"/>
      <c r="G21" s="36"/>
      <c r="H21" s="36"/>
      <c r="I21" s="36"/>
      <c r="J21" s="36"/>
      <c r="K21" s="96">
        <f>SUM(28.91)*6</f>
        <v>173.46</v>
      </c>
      <c r="L21" s="36"/>
      <c r="M21" s="36"/>
      <c r="N21" s="36"/>
    </row>
    <row r="22" spans="1:15">
      <c r="A22" s="97" t="s">
        <v>247</v>
      </c>
      <c r="B22" s="31" t="s">
        <v>248</v>
      </c>
      <c r="C22" s="181" t="s">
        <v>710</v>
      </c>
      <c r="D22" s="88" t="s">
        <v>29</v>
      </c>
      <c r="E22" s="89" t="s">
        <v>30</v>
      </c>
      <c r="F22" s="36"/>
      <c r="G22" s="36"/>
      <c r="H22" s="36"/>
      <c r="I22" s="36"/>
      <c r="J22" s="36"/>
      <c r="K22" s="96">
        <f>SUM(238.54)*4</f>
        <v>954.16</v>
      </c>
      <c r="L22" s="36"/>
      <c r="M22" s="36"/>
      <c r="N22" s="36"/>
    </row>
    <row r="23" spans="1:15">
      <c r="A23" s="99" t="s">
        <v>249</v>
      </c>
      <c r="B23" s="31" t="s">
        <v>250</v>
      </c>
      <c r="C23" s="181" t="s">
        <v>710</v>
      </c>
      <c r="D23" s="88" t="s">
        <v>29</v>
      </c>
      <c r="E23" s="89" t="s">
        <v>30</v>
      </c>
      <c r="F23" s="36"/>
      <c r="G23" s="36"/>
      <c r="H23" s="36"/>
      <c r="I23" s="36"/>
      <c r="J23" s="36"/>
      <c r="K23" s="96">
        <f>SUM(149.76)*2</f>
        <v>299.52</v>
      </c>
      <c r="L23" s="36"/>
      <c r="M23" s="36"/>
      <c r="N23" s="36"/>
    </row>
    <row r="24" spans="1:15">
      <c r="A24" s="97" t="s">
        <v>43</v>
      </c>
      <c r="B24" s="31" t="s">
        <v>44</v>
      </c>
      <c r="C24" s="181" t="s">
        <v>710</v>
      </c>
      <c r="D24" s="88" t="s">
        <v>29</v>
      </c>
      <c r="E24" s="89" t="s">
        <v>30</v>
      </c>
      <c r="F24" s="36"/>
      <c r="G24" s="36"/>
      <c r="H24" s="36"/>
      <c r="I24" s="36"/>
      <c r="J24" s="36"/>
      <c r="K24" s="96">
        <f>SUM(70.72)*4</f>
        <v>282.88</v>
      </c>
      <c r="L24" s="36"/>
      <c r="M24" s="36"/>
      <c r="N24" s="36"/>
    </row>
    <row r="25" spans="1:15">
      <c r="A25" s="97" t="s">
        <v>45</v>
      </c>
      <c r="B25" s="31" t="s">
        <v>46</v>
      </c>
      <c r="C25" s="181" t="s">
        <v>710</v>
      </c>
      <c r="D25" s="88" t="s">
        <v>29</v>
      </c>
      <c r="E25" s="89" t="s">
        <v>30</v>
      </c>
      <c r="F25" s="36"/>
      <c r="G25" s="36"/>
      <c r="H25" s="36"/>
      <c r="I25" s="36"/>
      <c r="J25" s="36"/>
      <c r="K25" s="96">
        <f>SUM(23.76)*30</f>
        <v>712.8</v>
      </c>
      <c r="L25" s="36"/>
      <c r="M25" s="36"/>
      <c r="N25" s="36"/>
    </row>
    <row r="26" spans="1:15">
      <c r="A26" s="97" t="s">
        <v>47</v>
      </c>
      <c r="B26" s="31" t="s">
        <v>48</v>
      </c>
      <c r="C26" s="181" t="s">
        <v>710</v>
      </c>
      <c r="D26" s="88" t="s">
        <v>29</v>
      </c>
      <c r="E26" s="89" t="s">
        <v>30</v>
      </c>
      <c r="F26" s="36"/>
      <c r="G26" s="36"/>
      <c r="H26" s="36"/>
      <c r="I26" s="36"/>
      <c r="J26" s="36"/>
      <c r="K26" s="96">
        <f>SUM(11.18)*12</f>
        <v>134.16</v>
      </c>
      <c r="L26" s="36"/>
      <c r="M26" s="36"/>
      <c r="N26" s="36"/>
    </row>
    <row r="27" spans="1:15">
      <c r="A27" s="97" t="s">
        <v>51</v>
      </c>
      <c r="B27" s="31" t="s">
        <v>52</v>
      </c>
      <c r="C27" s="181" t="s">
        <v>710</v>
      </c>
      <c r="D27" s="88" t="s">
        <v>29</v>
      </c>
      <c r="E27" s="89" t="s">
        <v>30</v>
      </c>
      <c r="F27" s="36"/>
      <c r="G27" s="36"/>
      <c r="H27" s="36"/>
      <c r="I27" s="36"/>
      <c r="J27" s="36"/>
      <c r="K27" s="96">
        <f>SUM(266.24)*4</f>
        <v>1064.96</v>
      </c>
      <c r="L27" s="36"/>
      <c r="M27" s="36"/>
      <c r="N27" s="36"/>
    </row>
    <row r="28" spans="1:15">
      <c r="A28" s="97" t="s">
        <v>55</v>
      </c>
      <c r="B28" s="31" t="s">
        <v>56</v>
      </c>
      <c r="C28" s="181" t="s">
        <v>710</v>
      </c>
      <c r="D28" s="88" t="s">
        <v>29</v>
      </c>
      <c r="E28" s="89" t="s">
        <v>30</v>
      </c>
      <c r="F28" s="36"/>
      <c r="G28" s="36"/>
      <c r="H28" s="36"/>
      <c r="I28" s="36"/>
      <c r="J28" s="36"/>
      <c r="K28" s="96">
        <f>SUM(11.53)*80</f>
        <v>922.4</v>
      </c>
      <c r="L28" s="36"/>
      <c r="M28" s="36"/>
      <c r="N28" s="36"/>
    </row>
    <row r="29" spans="1:15">
      <c r="A29" s="97" t="s">
        <v>133</v>
      </c>
      <c r="B29" s="31" t="s">
        <v>134</v>
      </c>
      <c r="C29" s="181" t="s">
        <v>710</v>
      </c>
      <c r="D29" s="88" t="s">
        <v>29</v>
      </c>
      <c r="E29" s="89" t="s">
        <v>30</v>
      </c>
      <c r="F29" s="36"/>
      <c r="G29" s="36"/>
      <c r="H29" s="36"/>
      <c r="I29" s="36"/>
      <c r="J29" s="36"/>
      <c r="K29" s="96">
        <f>SUM(453.96)*6</f>
        <v>2723.76</v>
      </c>
      <c r="L29" s="36"/>
      <c r="M29" s="36"/>
      <c r="N29" s="36"/>
    </row>
    <row r="30" spans="1:15">
      <c r="A30" s="99" t="s">
        <v>188</v>
      </c>
      <c r="B30" s="31" t="s">
        <v>189</v>
      </c>
      <c r="C30" s="181" t="s">
        <v>710</v>
      </c>
      <c r="D30" s="88" t="s">
        <v>29</v>
      </c>
      <c r="E30" s="89" t="s">
        <v>30</v>
      </c>
      <c r="F30" s="36"/>
      <c r="G30" s="36"/>
      <c r="H30" s="36"/>
      <c r="I30" s="36"/>
      <c r="J30" s="36"/>
      <c r="K30" s="96">
        <f>SUM(432.52)*1</f>
        <v>432.52</v>
      </c>
      <c r="L30" s="36"/>
      <c r="M30" s="36"/>
      <c r="N30" s="36"/>
    </row>
    <row r="31" spans="1:15">
      <c r="A31" s="99" t="s">
        <v>58</v>
      </c>
      <c r="B31" s="31" t="s">
        <v>59</v>
      </c>
      <c r="C31" s="181" t="s">
        <v>710</v>
      </c>
      <c r="D31" s="88" t="s">
        <v>29</v>
      </c>
      <c r="E31" s="89" t="s">
        <v>30</v>
      </c>
      <c r="F31" s="36"/>
      <c r="G31" s="36"/>
      <c r="H31" s="36"/>
      <c r="I31" s="36"/>
      <c r="J31" s="36"/>
      <c r="K31" s="96">
        <f>SUM(94.64)*12</f>
        <v>1135.68</v>
      </c>
      <c r="L31" s="36"/>
      <c r="M31" s="36"/>
      <c r="N31" s="36"/>
    </row>
    <row r="32" spans="1:15">
      <c r="A32" s="97" t="s">
        <v>66</v>
      </c>
      <c r="B32" s="31" t="s">
        <v>67</v>
      </c>
      <c r="C32" s="181" t="s">
        <v>710</v>
      </c>
      <c r="D32" s="88" t="s">
        <v>29</v>
      </c>
      <c r="E32" s="89" t="s">
        <v>30</v>
      </c>
      <c r="F32" s="36"/>
      <c r="G32" s="36"/>
      <c r="H32" s="36"/>
      <c r="I32" s="36"/>
      <c r="J32" s="36"/>
      <c r="K32" s="96">
        <f>SUM(8.82)*40</f>
        <v>352.8</v>
      </c>
      <c r="L32" s="36"/>
      <c r="M32" s="36"/>
      <c r="N32" s="36"/>
    </row>
    <row r="33" spans="1:15">
      <c r="A33" s="97" t="s">
        <v>68</v>
      </c>
      <c r="B33" s="31" t="s">
        <v>69</v>
      </c>
      <c r="C33" s="181" t="s">
        <v>710</v>
      </c>
      <c r="D33" s="88" t="s">
        <v>29</v>
      </c>
      <c r="E33" s="89" t="s">
        <v>30</v>
      </c>
      <c r="F33" s="36"/>
      <c r="G33" s="36"/>
      <c r="H33" s="36"/>
      <c r="I33" s="36"/>
      <c r="J33" s="36"/>
      <c r="K33" s="96">
        <f>SUM(13.78)*8</f>
        <v>110.24</v>
      </c>
      <c r="L33" s="36"/>
      <c r="M33" s="36"/>
      <c r="N33" s="36"/>
    </row>
    <row r="34" spans="1:15">
      <c r="A34" s="97" t="s">
        <v>147</v>
      </c>
      <c r="B34" s="31" t="s">
        <v>148</v>
      </c>
      <c r="C34" s="181" t="s">
        <v>710</v>
      </c>
      <c r="D34" s="88" t="s">
        <v>29</v>
      </c>
      <c r="E34" s="89" t="s">
        <v>30</v>
      </c>
      <c r="F34" s="36"/>
      <c r="G34" s="36"/>
      <c r="H34" s="36"/>
      <c r="I34" s="36"/>
      <c r="J34" s="36"/>
      <c r="K34" s="96">
        <f>SUM(20.79)*20</f>
        <v>415.8</v>
      </c>
      <c r="L34" s="36"/>
      <c r="M34" s="36"/>
      <c r="N34" s="36"/>
    </row>
    <row r="35" spans="1:15">
      <c r="A35" s="99" t="s">
        <v>261</v>
      </c>
      <c r="B35" s="31" t="s">
        <v>262</v>
      </c>
      <c r="C35" s="181" t="s">
        <v>710</v>
      </c>
      <c r="D35" s="88" t="s">
        <v>29</v>
      </c>
      <c r="E35" s="89" t="s">
        <v>30</v>
      </c>
      <c r="F35" s="36"/>
      <c r="G35" s="36"/>
      <c r="H35" s="36"/>
      <c r="I35" s="36"/>
      <c r="J35" s="36"/>
      <c r="K35" s="96">
        <f>SUM(274.23)*1</f>
        <v>274.23</v>
      </c>
      <c r="L35" s="36"/>
      <c r="M35" s="36"/>
      <c r="N35" s="36"/>
    </row>
    <row r="36" spans="1:15">
      <c r="A36" s="97" t="s">
        <v>263</v>
      </c>
      <c r="B36" s="31" t="s">
        <v>264</v>
      </c>
      <c r="C36" s="181" t="s">
        <v>710</v>
      </c>
      <c r="D36" s="88" t="s">
        <v>29</v>
      </c>
      <c r="E36" s="89" t="s">
        <v>30</v>
      </c>
      <c r="F36" s="36"/>
      <c r="G36" s="36"/>
      <c r="H36" s="36"/>
      <c r="I36" s="36"/>
      <c r="J36" s="36"/>
      <c r="K36" s="96">
        <f>SUM(135.2)*3</f>
        <v>405.6</v>
      </c>
      <c r="L36" s="36"/>
      <c r="M36" s="36"/>
      <c r="N36" s="36"/>
    </row>
    <row r="37" spans="1:15">
      <c r="A37" s="97" t="s">
        <v>72</v>
      </c>
      <c r="B37" s="31" t="s">
        <v>73</v>
      </c>
      <c r="C37" s="181" t="s">
        <v>710</v>
      </c>
      <c r="D37" s="88" t="s">
        <v>29</v>
      </c>
      <c r="E37" s="89" t="s">
        <v>30</v>
      </c>
      <c r="F37" s="36"/>
      <c r="G37" s="36"/>
      <c r="H37" s="36"/>
      <c r="I37" s="36"/>
      <c r="J37" s="36"/>
      <c r="K37" s="96">
        <f>SUM(39.92)*4</f>
        <v>159.68</v>
      </c>
      <c r="L37" s="36"/>
      <c r="M37" s="36"/>
      <c r="N37" s="36"/>
    </row>
    <row r="38" spans="1:15">
      <c r="A38" s="97" t="s">
        <v>74</v>
      </c>
      <c r="B38" s="31" t="s">
        <v>75</v>
      </c>
      <c r="C38" s="181" t="s">
        <v>710</v>
      </c>
      <c r="D38" s="88" t="s">
        <v>29</v>
      </c>
      <c r="E38" s="89" t="s">
        <v>30</v>
      </c>
      <c r="F38" s="36"/>
      <c r="G38" s="36"/>
      <c r="H38" s="36"/>
      <c r="I38" s="36"/>
      <c r="J38" s="36"/>
      <c r="K38" s="96">
        <f>SUM(145.6)*4</f>
        <v>582.4</v>
      </c>
      <c r="L38" s="36"/>
      <c r="M38" s="36"/>
      <c r="N38" s="36"/>
    </row>
    <row r="39" spans="1:15">
      <c r="A39" s="97" t="s">
        <v>76</v>
      </c>
      <c r="B39" s="31" t="s">
        <v>77</v>
      </c>
      <c r="C39" s="181" t="s">
        <v>710</v>
      </c>
      <c r="D39" s="88" t="s">
        <v>29</v>
      </c>
      <c r="E39" s="89" t="s">
        <v>30</v>
      </c>
      <c r="F39" s="36"/>
      <c r="G39" s="36"/>
      <c r="H39" s="36"/>
      <c r="I39" s="36"/>
      <c r="J39" s="36"/>
      <c r="K39" s="96">
        <f>SUM(37.06)*4</f>
        <v>148.24</v>
      </c>
      <c r="L39" s="36"/>
      <c r="M39" s="36"/>
      <c r="N39" s="36"/>
    </row>
    <row r="40" spans="1:15">
      <c r="A40" s="99" t="s">
        <v>269</v>
      </c>
      <c r="B40" s="31" t="s">
        <v>270</v>
      </c>
      <c r="C40" s="181" t="s">
        <v>710</v>
      </c>
      <c r="D40" s="88" t="s">
        <v>29</v>
      </c>
      <c r="E40" s="89" t="s">
        <v>30</v>
      </c>
      <c r="F40" s="36"/>
      <c r="G40" s="36"/>
      <c r="H40" s="36"/>
      <c r="I40" s="36"/>
      <c r="J40" s="36"/>
      <c r="K40" s="96">
        <f>SUM(165.65)*10</f>
        <v>1656.5</v>
      </c>
      <c r="L40" s="36"/>
      <c r="M40" s="36"/>
      <c r="N40" s="36"/>
    </row>
    <row r="41" spans="1:15">
      <c r="A41" s="97" t="s">
        <v>427</v>
      </c>
      <c r="B41" s="31" t="s">
        <v>428</v>
      </c>
      <c r="C41" s="181" t="s">
        <v>710</v>
      </c>
      <c r="D41" s="88" t="s">
        <v>29</v>
      </c>
      <c r="E41" s="89" t="s">
        <v>30</v>
      </c>
      <c r="F41" s="36"/>
      <c r="G41" s="36"/>
      <c r="H41" s="36"/>
      <c r="I41" s="36"/>
      <c r="J41" s="36"/>
      <c r="K41" s="96">
        <f>SUM(189.18)*35</f>
        <v>6621.3</v>
      </c>
      <c r="L41" s="36"/>
      <c r="M41" s="36"/>
      <c r="N41" s="36"/>
    </row>
    <row r="42" spans="1:15">
      <c r="A42" s="97" t="s">
        <v>80</v>
      </c>
      <c r="B42" s="31" t="s">
        <v>81</v>
      </c>
      <c r="C42" s="181" t="s">
        <v>710</v>
      </c>
      <c r="D42" s="88" t="s">
        <v>29</v>
      </c>
      <c r="E42" s="89" t="s">
        <v>30</v>
      </c>
      <c r="F42" s="36"/>
      <c r="G42" s="36"/>
      <c r="H42" s="36"/>
      <c r="I42" s="36"/>
      <c r="J42" s="36"/>
      <c r="K42" s="96">
        <f>SUM(62.4)*4</f>
        <v>249.6</v>
      </c>
      <c r="L42" s="36"/>
      <c r="M42" s="36"/>
      <c r="N42" s="36"/>
    </row>
    <row r="43" spans="1:15">
      <c r="A43" s="97" t="s">
        <v>82</v>
      </c>
      <c r="B43" s="31" t="s">
        <v>83</v>
      </c>
      <c r="C43" s="181" t="s">
        <v>710</v>
      </c>
      <c r="D43" s="88" t="s">
        <v>29</v>
      </c>
      <c r="E43" s="89" t="s">
        <v>30</v>
      </c>
      <c r="F43" s="36"/>
      <c r="G43" s="36"/>
      <c r="H43" s="36"/>
      <c r="I43" s="36"/>
      <c r="J43" s="36"/>
      <c r="K43" s="96">
        <f>SUM(104)*2</f>
        <v>208</v>
      </c>
      <c r="L43" s="36"/>
      <c r="M43" s="36"/>
      <c r="N43" s="36"/>
    </row>
    <row r="44" spans="1:15">
      <c r="A44" s="97" t="s">
        <v>711</v>
      </c>
      <c r="B44" s="31" t="s">
        <v>712</v>
      </c>
      <c r="C44" s="181" t="s">
        <v>710</v>
      </c>
      <c r="D44" s="88" t="s">
        <v>29</v>
      </c>
      <c r="E44" s="89" t="s">
        <v>30</v>
      </c>
      <c r="F44" s="36"/>
      <c r="G44" s="36"/>
      <c r="H44" s="36"/>
      <c r="I44" s="36"/>
      <c r="J44" s="36"/>
      <c r="K44" s="96">
        <f>SUM(3242.72)*2</f>
        <v>6485.44</v>
      </c>
      <c r="L44" s="36"/>
      <c r="M44" s="36"/>
      <c r="N44" s="36"/>
    </row>
    <row r="45" spans="1:15">
      <c r="A45" s="85"/>
      <c r="B45" s="100" t="s">
        <v>275</v>
      </c>
      <c r="C45" s="181" t="s">
        <v>710</v>
      </c>
      <c r="D45" s="88" t="s">
        <v>29</v>
      </c>
      <c r="E45" s="89" t="s">
        <v>30</v>
      </c>
      <c r="F45" s="36"/>
      <c r="G45" s="36"/>
      <c r="H45" s="36"/>
      <c r="I45" s="36"/>
      <c r="J45" s="36"/>
      <c r="K45" s="96">
        <f>SUM(255)*30</f>
        <v>7650</v>
      </c>
      <c r="L45" s="36"/>
      <c r="M45" s="36"/>
      <c r="N45" s="36"/>
    </row>
    <row r="46" spans="1:15">
      <c r="A46" s="85"/>
      <c r="B46" s="93" t="s">
        <v>276</v>
      </c>
      <c r="C46" s="181" t="s">
        <v>710</v>
      </c>
      <c r="D46" s="88" t="s">
        <v>29</v>
      </c>
      <c r="E46" s="89" t="s">
        <v>30</v>
      </c>
      <c r="F46" s="36"/>
      <c r="G46" s="36"/>
      <c r="H46" s="36"/>
      <c r="I46" s="36"/>
      <c r="J46" s="36"/>
      <c r="K46" s="96">
        <f>SUM(398)*20</f>
        <v>7960</v>
      </c>
      <c r="L46" s="36"/>
      <c r="M46" s="36"/>
      <c r="N46" s="36"/>
    </row>
    <row r="47" spans="1:15">
      <c r="A47" s="59"/>
      <c r="B47" s="93" t="s">
        <v>277</v>
      </c>
      <c r="C47" s="181" t="s">
        <v>710</v>
      </c>
      <c r="D47" s="88" t="s">
        <v>29</v>
      </c>
      <c r="E47" s="89" t="s">
        <v>30</v>
      </c>
      <c r="F47" s="36"/>
      <c r="G47" s="36"/>
      <c r="H47" s="36"/>
      <c r="I47" s="36"/>
      <c r="J47" s="36"/>
      <c r="K47" s="96">
        <f>SUM(398)*20</f>
        <v>7960</v>
      </c>
      <c r="L47" s="36"/>
      <c r="M47" s="36"/>
      <c r="N47" s="36"/>
    </row>
    <row r="48" spans="1:15">
      <c r="A48" s="59"/>
      <c r="B48" s="93" t="s">
        <v>278</v>
      </c>
      <c r="C48" s="181" t="s">
        <v>710</v>
      </c>
      <c r="D48" s="88" t="s">
        <v>29</v>
      </c>
      <c r="E48" s="89" t="s">
        <v>30</v>
      </c>
      <c r="F48" s="36"/>
      <c r="G48" s="36"/>
      <c r="H48" s="36"/>
      <c r="I48" s="36"/>
      <c r="J48" s="36"/>
      <c r="K48" s="96">
        <f>SUM(398)*20</f>
        <v>7960</v>
      </c>
      <c r="L48" s="36"/>
      <c r="M48" s="36"/>
      <c r="N48" s="36"/>
    </row>
    <row r="49" spans="1:15">
      <c r="A49" s="59"/>
      <c r="B49" s="93" t="s">
        <v>279</v>
      </c>
      <c r="C49" s="181" t="s">
        <v>710</v>
      </c>
      <c r="D49" s="88" t="s">
        <v>29</v>
      </c>
      <c r="E49" s="89" t="s">
        <v>30</v>
      </c>
      <c r="F49" s="36"/>
      <c r="G49" s="36"/>
      <c r="H49" s="36"/>
      <c r="I49" s="36"/>
      <c r="J49" s="36"/>
      <c r="K49" s="96">
        <f>SUM(398)*20</f>
        <v>7960</v>
      </c>
      <c r="L49" s="36"/>
      <c r="M49" s="36"/>
      <c r="N49" s="36"/>
    </row>
    <row r="50" spans="1:15">
      <c r="A50" s="59"/>
      <c r="B50" s="93" t="s">
        <v>713</v>
      </c>
      <c r="C50" s="181" t="s">
        <v>710</v>
      </c>
      <c r="D50" s="88" t="s">
        <v>29</v>
      </c>
      <c r="E50" s="89" t="s">
        <v>30</v>
      </c>
      <c r="F50" s="36"/>
      <c r="G50" s="36"/>
      <c r="H50" s="36"/>
      <c r="I50" s="36"/>
      <c r="J50" s="36"/>
      <c r="K50" s="96">
        <f>SUM(398)*10</f>
        <v>3980</v>
      </c>
      <c r="L50" s="36"/>
      <c r="M50" s="36"/>
      <c r="N50" s="36"/>
    </row>
    <row r="51" spans="1:15">
      <c r="A51" s="59"/>
      <c r="B51" s="93" t="s">
        <v>282</v>
      </c>
      <c r="C51" s="181" t="s">
        <v>710</v>
      </c>
      <c r="D51" s="88" t="s">
        <v>29</v>
      </c>
      <c r="E51" s="89" t="s">
        <v>30</v>
      </c>
      <c r="F51" s="36"/>
      <c r="G51" s="36"/>
      <c r="H51" s="36"/>
      <c r="I51" s="36"/>
      <c r="J51" s="36"/>
      <c r="K51" s="96">
        <f>SUM(7)*280</f>
        <v>1960</v>
      </c>
      <c r="L51" s="36"/>
      <c r="M51" s="36"/>
      <c r="N51" s="36"/>
    </row>
    <row r="52" spans="1:15">
      <c r="A52" s="59"/>
      <c r="B52" s="93" t="s">
        <v>283</v>
      </c>
      <c r="C52" s="181" t="s">
        <v>710</v>
      </c>
      <c r="D52" s="88" t="s">
        <v>29</v>
      </c>
      <c r="E52" s="89" t="s">
        <v>30</v>
      </c>
      <c r="F52" s="36"/>
      <c r="G52" s="36"/>
      <c r="H52" s="36"/>
      <c r="I52" s="36"/>
      <c r="J52" s="36"/>
      <c r="K52" s="96">
        <f>SUM(18)*12</f>
        <v>216</v>
      </c>
      <c r="L52" s="36"/>
      <c r="M52" s="36"/>
      <c r="N52" s="36"/>
    </row>
    <row r="53" spans="1:15">
      <c r="A53" s="59"/>
      <c r="B53" s="93" t="s">
        <v>284</v>
      </c>
      <c r="C53" s="181" t="s">
        <v>710</v>
      </c>
      <c r="D53" s="88" t="s">
        <v>29</v>
      </c>
      <c r="E53" s="89" t="s">
        <v>30</v>
      </c>
      <c r="F53" s="36"/>
      <c r="G53" s="36"/>
      <c r="H53" s="36"/>
      <c r="I53" s="36"/>
      <c r="J53" s="36"/>
      <c r="K53" s="96">
        <f>SUM(250)*2</f>
        <v>500</v>
      </c>
      <c r="L53" s="36"/>
      <c r="M53" s="36"/>
      <c r="N53" s="36"/>
    </row>
    <row r="54" spans="1:15">
      <c r="A54" s="59"/>
      <c r="B54" s="93" t="s">
        <v>714</v>
      </c>
      <c r="C54" s="181" t="s">
        <v>710</v>
      </c>
      <c r="D54" s="88" t="s">
        <v>29</v>
      </c>
      <c r="E54" s="89" t="s">
        <v>30</v>
      </c>
      <c r="F54" s="36"/>
      <c r="G54" s="36"/>
      <c r="H54" s="36"/>
      <c r="I54" s="36"/>
      <c r="J54" s="36"/>
      <c r="K54" s="96">
        <f>SUM(35)*15</f>
        <v>525</v>
      </c>
      <c r="L54" s="36"/>
      <c r="M54" s="36"/>
      <c r="N54" s="36"/>
    </row>
    <row r="55" spans="1:15">
      <c r="A55" s="59"/>
      <c r="B55" s="93" t="s">
        <v>286</v>
      </c>
      <c r="C55" s="181" t="s">
        <v>710</v>
      </c>
      <c r="D55" s="88" t="s">
        <v>29</v>
      </c>
      <c r="E55" s="89" t="s">
        <v>30</v>
      </c>
      <c r="F55" s="36"/>
      <c r="G55" s="36"/>
      <c r="H55" s="36"/>
      <c r="I55" s="36"/>
      <c r="J55" s="36"/>
      <c r="K55" s="96">
        <f>SUM(400)*1</f>
        <v>400</v>
      </c>
      <c r="L55" s="36"/>
      <c r="M55" s="36"/>
      <c r="N55" s="36"/>
    </row>
    <row r="56" spans="1:15">
      <c r="A56" s="59"/>
      <c r="B56" s="93" t="s">
        <v>715</v>
      </c>
      <c r="C56" s="181" t="s">
        <v>710</v>
      </c>
      <c r="D56" s="88" t="s">
        <v>29</v>
      </c>
      <c r="E56" s="89" t="s">
        <v>30</v>
      </c>
      <c r="F56" s="36"/>
      <c r="G56" s="36"/>
      <c r="H56" s="36"/>
      <c r="I56" s="36"/>
      <c r="J56" s="36"/>
      <c r="K56" s="96">
        <f>SUM(120)*4</f>
        <v>480</v>
      </c>
      <c r="L56" s="36"/>
      <c r="M56" s="36"/>
      <c r="N56" s="36"/>
    </row>
    <row r="57" spans="1:15">
      <c r="A57" s="59"/>
      <c r="B57" s="93" t="s">
        <v>288</v>
      </c>
      <c r="C57" s="181" t="s">
        <v>710</v>
      </c>
      <c r="D57" s="88" t="s">
        <v>29</v>
      </c>
      <c r="E57" s="89" t="s">
        <v>30</v>
      </c>
      <c r="F57" s="36"/>
      <c r="G57" s="36"/>
      <c r="H57" s="36"/>
      <c r="I57" s="36"/>
      <c r="J57" s="36"/>
      <c r="K57" s="96">
        <f>SUM(150)*2</f>
        <v>300</v>
      </c>
      <c r="L57" s="36"/>
      <c r="M57" s="36"/>
      <c r="N57" s="36"/>
    </row>
    <row r="58" spans="1:15">
      <c r="A58" s="59"/>
      <c r="B58" s="94" t="s">
        <v>716</v>
      </c>
      <c r="C58" s="181" t="s">
        <v>710</v>
      </c>
      <c r="D58" s="88" t="s">
        <v>29</v>
      </c>
      <c r="E58" s="89" t="s">
        <v>30</v>
      </c>
      <c r="F58" s="36"/>
      <c r="G58" s="36"/>
      <c r="H58" s="36"/>
      <c r="I58" s="36"/>
      <c r="J58" s="36"/>
      <c r="K58" s="96">
        <f>SUM(7)*800</f>
        <v>5600</v>
      </c>
      <c r="L58" s="36"/>
      <c r="M58" s="36"/>
      <c r="N58" s="36"/>
    </row>
    <row r="59" spans="1:15">
      <c r="A59" s="59"/>
      <c r="B59" s="93" t="s">
        <v>717</v>
      </c>
      <c r="C59" s="181" t="s">
        <v>710</v>
      </c>
      <c r="D59" s="88" t="s">
        <v>29</v>
      </c>
      <c r="E59" s="89" t="s">
        <v>30</v>
      </c>
      <c r="F59" s="36"/>
      <c r="G59" s="36"/>
      <c r="H59" s="36"/>
      <c r="I59" s="36"/>
      <c r="J59" s="36"/>
      <c r="K59" s="96">
        <f>SUM(288)*7</f>
        <v>2016</v>
      </c>
      <c r="L59" s="36"/>
      <c r="M59" s="36"/>
      <c r="N59" s="36"/>
    </row>
    <row r="60" spans="1:15">
      <c r="A60" s="59"/>
      <c r="B60" s="93" t="s">
        <v>292</v>
      </c>
      <c r="C60" s="181" t="s">
        <v>710</v>
      </c>
      <c r="D60" s="88" t="s">
        <v>29</v>
      </c>
      <c r="E60" s="89" t="s">
        <v>30</v>
      </c>
      <c r="F60" s="36"/>
      <c r="G60" s="36"/>
      <c r="H60" s="36"/>
      <c r="I60" s="36"/>
      <c r="J60" s="36"/>
      <c r="K60" s="96">
        <f>SUM(35)*5</f>
        <v>175</v>
      </c>
      <c r="L60" s="36"/>
      <c r="M60" s="36"/>
      <c r="N60" s="36"/>
    </row>
    <row r="61" spans="1:15">
      <c r="A61" s="59"/>
      <c r="B61" s="95" t="s">
        <v>718</v>
      </c>
      <c r="C61" s="181" t="s">
        <v>710</v>
      </c>
      <c r="D61" s="88" t="s">
        <v>29</v>
      </c>
      <c r="E61" s="89" t="s">
        <v>30</v>
      </c>
      <c r="F61" s="36"/>
      <c r="G61" s="36"/>
      <c r="H61" s="36"/>
      <c r="I61" s="36"/>
      <c r="J61" s="36"/>
      <c r="K61" s="96">
        <f>SUM(548)*8</f>
        <v>4384</v>
      </c>
      <c r="L61" s="36"/>
      <c r="M61" s="36"/>
      <c r="N61" s="36"/>
    </row>
    <row r="62" spans="1:15">
      <c r="A62" s="59"/>
      <c r="B62" s="72" t="s">
        <v>293</v>
      </c>
      <c r="C62" s="181" t="s">
        <v>710</v>
      </c>
      <c r="D62" s="88" t="s">
        <v>29</v>
      </c>
      <c r="E62" s="89" t="s">
        <v>30</v>
      </c>
      <c r="F62" s="36"/>
      <c r="G62" s="36"/>
      <c r="H62" s="36"/>
      <c r="I62" s="36"/>
      <c r="J62" s="36"/>
      <c r="K62" s="96">
        <f>SUM(20)*72</f>
        <v>1440</v>
      </c>
      <c r="L62" s="36"/>
      <c r="M62" s="36"/>
      <c r="N62" s="36"/>
    </row>
    <row r="63" spans="1:15">
      <c r="A63" s="59"/>
      <c r="B63" s="101" t="s">
        <v>719</v>
      </c>
      <c r="C63" s="181" t="s">
        <v>710</v>
      </c>
      <c r="D63" s="88" t="s">
        <v>29</v>
      </c>
      <c r="E63" s="89" t="s">
        <v>30</v>
      </c>
      <c r="F63" s="36"/>
      <c r="G63" s="36"/>
      <c r="H63" s="36"/>
      <c r="I63" s="36"/>
      <c r="J63" s="36"/>
      <c r="K63" s="96">
        <f>SUM(11000)*1</f>
        <v>11000</v>
      </c>
      <c r="L63" s="36"/>
      <c r="M63" s="36"/>
      <c r="N63" s="36"/>
    </row>
    <row r="64" spans="1:15">
      <c r="A64" s="59"/>
      <c r="B64" s="102" t="s">
        <v>720</v>
      </c>
      <c r="C64" s="181" t="s">
        <v>710</v>
      </c>
      <c r="D64" s="88" t="s">
        <v>29</v>
      </c>
      <c r="E64" s="89" t="s">
        <v>30</v>
      </c>
      <c r="F64" s="36"/>
      <c r="G64" s="36"/>
      <c r="H64" s="36"/>
      <c r="I64" s="36"/>
      <c r="J64" s="36"/>
      <c r="K64" s="96">
        <v>7200</v>
      </c>
      <c r="L64" s="36"/>
      <c r="M64" s="36"/>
      <c r="N64" s="36"/>
    </row>
    <row r="65" spans="1:15">
      <c r="A65" s="59"/>
      <c r="B65" s="93" t="s">
        <v>721</v>
      </c>
      <c r="C65" s="181" t="s">
        <v>710</v>
      </c>
      <c r="D65" s="88" t="s">
        <v>29</v>
      </c>
      <c r="E65" s="89" t="s">
        <v>30</v>
      </c>
      <c r="F65" s="36"/>
      <c r="G65" s="36"/>
      <c r="H65" s="36"/>
      <c r="I65" s="36"/>
      <c r="J65" s="36"/>
      <c r="K65" s="96">
        <f>SUM(150)*145</f>
        <v>21750</v>
      </c>
      <c r="L65" s="36"/>
      <c r="M65" s="36"/>
      <c r="N65" s="36"/>
    </row>
    <row r="66" spans="1:15">
      <c r="A66" s="59"/>
      <c r="B66" s="93" t="s">
        <v>722</v>
      </c>
      <c r="C66" s="181" t="s">
        <v>710</v>
      </c>
      <c r="D66" s="88" t="s">
        <v>29</v>
      </c>
      <c r="E66" s="89" t="s">
        <v>30</v>
      </c>
      <c r="F66" s="36"/>
      <c r="G66" s="36"/>
      <c r="H66" s="36"/>
      <c r="I66" s="36"/>
      <c r="J66" s="36"/>
      <c r="K66" s="96">
        <f>SUM(245)*2</f>
        <v>490</v>
      </c>
      <c r="L66" s="36"/>
      <c r="M66" s="36"/>
      <c r="N66" s="36"/>
    </row>
    <row r="67" spans="1:15">
      <c r="A67" s="59"/>
      <c r="B67" s="93" t="s">
        <v>723</v>
      </c>
      <c r="C67" s="181" t="s">
        <v>710</v>
      </c>
      <c r="D67" s="88" t="s">
        <v>29</v>
      </c>
      <c r="E67" s="89" t="s">
        <v>30</v>
      </c>
      <c r="F67" s="36"/>
      <c r="G67" s="36"/>
      <c r="H67" s="36"/>
      <c r="I67" s="36"/>
      <c r="J67" s="36"/>
      <c r="K67" s="96">
        <f>SUM(330)*5</f>
        <v>1650</v>
      </c>
      <c r="L67" s="36"/>
      <c r="M67" s="36"/>
      <c r="N67" s="36"/>
    </row>
    <row r="68" spans="1:15">
      <c r="A68" s="59"/>
      <c r="B68" s="103" t="s">
        <v>724</v>
      </c>
      <c r="C68" s="181" t="s">
        <v>710</v>
      </c>
      <c r="D68" s="88" t="s">
        <v>29</v>
      </c>
      <c r="E68" s="89" t="s">
        <v>30</v>
      </c>
      <c r="F68" s="36"/>
      <c r="G68" s="36"/>
      <c r="H68" s="36"/>
      <c r="I68" s="36"/>
      <c r="J68" s="36"/>
      <c r="K68" s="96">
        <f>SUM(120)*145</f>
        <v>17400</v>
      </c>
      <c r="L68" s="36"/>
      <c r="M68" s="36"/>
      <c r="N68" s="36"/>
    </row>
    <row r="69" spans="1:15">
      <c r="A69" s="59"/>
      <c r="B69" s="93" t="s">
        <v>725</v>
      </c>
      <c r="C69" s="181" t="s">
        <v>710</v>
      </c>
      <c r="D69" s="88" t="s">
        <v>29</v>
      </c>
      <c r="E69" s="89" t="s">
        <v>30</v>
      </c>
      <c r="F69" s="36"/>
      <c r="G69" s="36"/>
      <c r="H69" s="36"/>
      <c r="I69" s="36"/>
      <c r="J69" s="36"/>
      <c r="K69" s="96">
        <f>SUM(200)*35</f>
        <v>7000</v>
      </c>
      <c r="L69" s="36"/>
      <c r="M69" s="36"/>
      <c r="N69" s="36"/>
    </row>
    <row r="70" spans="1:15">
      <c r="A70" s="59"/>
      <c r="B70" s="93" t="s">
        <v>726</v>
      </c>
      <c r="C70" s="181" t="s">
        <v>710</v>
      </c>
      <c r="D70" s="88" t="s">
        <v>29</v>
      </c>
      <c r="E70" s="89" t="s">
        <v>30</v>
      </c>
      <c r="F70" s="36"/>
      <c r="G70" s="36"/>
      <c r="H70" s="36"/>
      <c r="I70" s="36"/>
      <c r="J70" s="36"/>
      <c r="K70" s="96">
        <f>SUM(220)*135</f>
        <v>29700</v>
      </c>
      <c r="L70" s="36"/>
      <c r="M70" s="36"/>
      <c r="N70" s="36"/>
    </row>
    <row r="71" spans="1:15">
      <c r="A71" s="59"/>
      <c r="B71" s="93" t="s">
        <v>727</v>
      </c>
      <c r="C71" s="181" t="s">
        <v>710</v>
      </c>
      <c r="D71" s="88" t="s">
        <v>29</v>
      </c>
      <c r="E71" s="89" t="s">
        <v>30</v>
      </c>
      <c r="F71" s="36"/>
      <c r="G71" s="36"/>
      <c r="H71" s="36"/>
      <c r="I71" s="36"/>
      <c r="J71" s="36"/>
      <c r="K71" s="96">
        <f>SUM(130)*1</f>
        <v>130</v>
      </c>
      <c r="L71" s="36"/>
      <c r="M71" s="36"/>
      <c r="N71" s="36"/>
    </row>
    <row r="72" spans="1:15" s="187" customFormat="1">
      <c r="A72" s="185" t="s">
        <v>560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54">
        <f>SUM(K12:K71)</f>
        <v>189028.41</v>
      </c>
      <c r="L72" s="185"/>
      <c r="M72" s="185"/>
      <c r="N72" s="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139"/>
  <sheetViews>
    <sheetView tabSelected="0" workbookViewId="0" zoomScale="80" zoomScaleNormal="80" showGridLines="true" showRowColHeaders="1">
      <selection activeCell="K139" sqref="K139"/>
    </sheetView>
  </sheetViews>
  <sheetFormatPr defaultRowHeight="14.4" defaultColWidth="20.7109375" outlineLevelRow="0" outlineLevelCol="0"/>
  <cols>
    <col min="1" max="1" width="20.85546875" customWidth="true" style="63"/>
    <col min="2" max="2" width="61.140625" customWidth="true" style="63"/>
    <col min="3" max="3" width="20.7109375" style="63"/>
    <col min="4" max="4" width="15.7109375" customWidth="true" style="63"/>
    <col min="5" max="5" width="15.7109375" customWidth="true" style="63"/>
    <col min="6" max="6" width="15.7109375" customWidth="true" style="63"/>
    <col min="7" max="7" width="15.7109375" customWidth="true" style="63"/>
    <col min="8" max="8" width="15.7109375" customWidth="true" style="63"/>
    <col min="9" max="9" width="15.7109375" customWidth="true" style="63"/>
    <col min="10" max="10" width="15.7109375" customWidth="true" style="63"/>
    <col min="11" max="11" width="15.7109375" customWidth="true" style="63"/>
    <col min="12" max="12" width="15.7109375" customWidth="true" style="63"/>
    <col min="13" max="13" width="24" customWidth="true" style="63"/>
    <col min="14" max="14" width="20.7109375" style="63"/>
    <col min="15" max="15" width="20.7109375" style="64"/>
  </cols>
  <sheetData>
    <row r="1" spans="1:15">
      <c r="A1" s="61" t="s">
        <v>0</v>
      </c>
      <c r="B1" s="62"/>
      <c r="C1" s="62"/>
      <c r="D1" s="62"/>
      <c r="E1" s="62"/>
    </row>
    <row r="2" spans="1:15">
      <c r="A2" s="65"/>
      <c r="B2" s="62"/>
      <c r="C2" s="62"/>
      <c r="D2" s="62"/>
      <c r="E2" s="62"/>
    </row>
    <row r="3" spans="1:15">
      <c r="A3" s="364" t="s">
        <v>1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</row>
    <row r="4" spans="1:15">
      <c r="B4" s="66"/>
      <c r="C4" s="66"/>
      <c r="D4" s="66"/>
      <c r="E4" s="66"/>
    </row>
    <row r="5" spans="1:15">
      <c r="A5" s="67" t="s">
        <v>2</v>
      </c>
      <c r="B5" s="63">
        <v>1</v>
      </c>
      <c r="C5" s="68"/>
      <c r="D5" s="67" t="s">
        <v>3</v>
      </c>
      <c r="E5" s="68"/>
      <c r="F5" s="63">
        <v>2023</v>
      </c>
    </row>
    <row r="6" spans="1:15">
      <c r="A6" s="69" t="s">
        <v>4</v>
      </c>
      <c r="B6" s="272" t="s">
        <v>5</v>
      </c>
      <c r="C6" s="70"/>
      <c r="D6" s="69" t="s">
        <v>6</v>
      </c>
      <c r="E6" s="70"/>
      <c r="F6" s="271" t="s">
        <v>728</v>
      </c>
    </row>
    <row r="7" spans="1:15">
      <c r="A7" s="69" t="s">
        <v>8</v>
      </c>
      <c r="B7" s="273" t="s">
        <v>9</v>
      </c>
    </row>
    <row r="9" spans="1:15" customHeight="1" ht="16.15"/>
    <row r="10" spans="1:15" customHeight="1" ht="15.6" s="65" customFormat="1">
      <c r="A10" s="355" t="s">
        <v>10</v>
      </c>
      <c r="B10" s="357" t="s">
        <v>11</v>
      </c>
      <c r="C10" s="357" t="s">
        <v>12</v>
      </c>
      <c r="D10" s="359" t="s">
        <v>13</v>
      </c>
      <c r="E10" s="357" t="s">
        <v>14</v>
      </c>
      <c r="F10" s="357" t="s">
        <v>15</v>
      </c>
      <c r="G10" s="357"/>
      <c r="H10" s="357"/>
      <c r="I10" s="357"/>
      <c r="J10" s="357" t="s">
        <v>16</v>
      </c>
      <c r="K10" s="357" t="s">
        <v>17</v>
      </c>
      <c r="L10" s="357"/>
      <c r="M10" s="357"/>
      <c r="N10" s="353" t="s">
        <v>18</v>
      </c>
    </row>
    <row r="11" spans="1:15" customHeight="1" ht="33.6" s="65" customFormat="1">
      <c r="A11" s="361"/>
      <c r="B11" s="363"/>
      <c r="C11" s="363"/>
      <c r="D11" s="365"/>
      <c r="E11" s="363"/>
      <c r="F11" s="90" t="s">
        <v>19</v>
      </c>
      <c r="G11" s="90" t="s">
        <v>20</v>
      </c>
      <c r="H11" s="90" t="s">
        <v>21</v>
      </c>
      <c r="I11" s="90" t="s">
        <v>22</v>
      </c>
      <c r="J11" s="363"/>
      <c r="K11" s="92" t="s">
        <v>23</v>
      </c>
      <c r="L11" s="92" t="s">
        <v>24</v>
      </c>
      <c r="M11" s="92" t="s">
        <v>25</v>
      </c>
      <c r="N11" s="354"/>
    </row>
    <row r="12" spans="1:15">
      <c r="A12" s="279" t="s">
        <v>110</v>
      </c>
      <c r="B12" s="287" t="s">
        <v>345</v>
      </c>
      <c r="C12" s="181" t="s">
        <v>729</v>
      </c>
      <c r="D12" s="197" t="s">
        <v>29</v>
      </c>
      <c r="E12" s="198" t="s">
        <v>30</v>
      </c>
      <c r="F12" s="87"/>
      <c r="G12" s="87"/>
      <c r="H12" s="87"/>
      <c r="I12" s="87"/>
      <c r="J12" s="87"/>
      <c r="K12" s="281">
        <v>7933.2</v>
      </c>
      <c r="L12" s="87"/>
      <c r="M12" s="87"/>
      <c r="N12" s="36"/>
    </row>
    <row r="13" spans="1:15">
      <c r="A13" s="279" t="s">
        <v>471</v>
      </c>
      <c r="B13" s="288" t="s">
        <v>472</v>
      </c>
      <c r="C13" s="181" t="s">
        <v>729</v>
      </c>
      <c r="D13" s="197" t="s">
        <v>29</v>
      </c>
      <c r="E13" s="198" t="s">
        <v>30</v>
      </c>
      <c r="F13" s="36"/>
      <c r="G13" s="36"/>
      <c r="H13" s="36"/>
      <c r="I13" s="36"/>
      <c r="J13" s="36"/>
      <c r="K13" s="281">
        <v>263.28</v>
      </c>
      <c r="L13" s="36"/>
      <c r="M13" s="36"/>
      <c r="N13" s="36"/>
    </row>
    <row r="14" spans="1:15">
      <c r="A14" s="279" t="s">
        <v>473</v>
      </c>
      <c r="B14" s="288" t="s">
        <v>474</v>
      </c>
      <c r="C14" s="181" t="s">
        <v>729</v>
      </c>
      <c r="D14" s="197" t="s">
        <v>29</v>
      </c>
      <c r="E14" s="198" t="s">
        <v>30</v>
      </c>
      <c r="F14" s="36"/>
      <c r="G14" s="36"/>
      <c r="H14" s="36"/>
      <c r="I14" s="36"/>
      <c r="J14" s="36"/>
      <c r="K14" s="281">
        <v>290.08</v>
      </c>
      <c r="L14" s="36"/>
      <c r="M14" s="36"/>
      <c r="N14" s="36"/>
    </row>
    <row r="15" spans="1:15">
      <c r="A15" s="279" t="s">
        <v>31</v>
      </c>
      <c r="B15" s="287" t="s">
        <v>32</v>
      </c>
      <c r="C15" s="181" t="s">
        <v>729</v>
      </c>
      <c r="D15" s="197" t="s">
        <v>29</v>
      </c>
      <c r="E15" s="198" t="s">
        <v>30</v>
      </c>
      <c r="F15" s="36"/>
      <c r="G15" s="36"/>
      <c r="H15" s="36"/>
      <c r="I15" s="36"/>
      <c r="J15" s="36"/>
      <c r="K15" s="281">
        <v>1598.4</v>
      </c>
      <c r="L15" s="36"/>
      <c r="M15" s="36"/>
      <c r="N15" s="36"/>
    </row>
    <row r="16" spans="1:15">
      <c r="A16" s="279" t="s">
        <v>33</v>
      </c>
      <c r="B16" s="287" t="s">
        <v>34</v>
      </c>
      <c r="C16" s="181" t="s">
        <v>729</v>
      </c>
      <c r="D16" s="197" t="s">
        <v>29</v>
      </c>
      <c r="E16" s="198" t="s">
        <v>30</v>
      </c>
      <c r="F16" s="36"/>
      <c r="G16" s="36"/>
      <c r="H16" s="36"/>
      <c r="I16" s="36"/>
      <c r="J16" s="36"/>
      <c r="K16" s="281">
        <v>737.64</v>
      </c>
      <c r="L16" s="36"/>
      <c r="M16" s="36"/>
      <c r="N16" s="36"/>
    </row>
    <row r="17" spans="1:15">
      <c r="A17" s="279" t="s">
        <v>241</v>
      </c>
      <c r="B17" s="287" t="s">
        <v>242</v>
      </c>
      <c r="C17" s="181" t="s">
        <v>729</v>
      </c>
      <c r="D17" s="197" t="s">
        <v>29</v>
      </c>
      <c r="E17" s="198" t="s">
        <v>30</v>
      </c>
      <c r="F17" s="36"/>
      <c r="G17" s="36"/>
      <c r="H17" s="36"/>
      <c r="I17" s="36"/>
      <c r="J17" s="36"/>
      <c r="K17" s="281">
        <v>660.24</v>
      </c>
      <c r="L17" s="36"/>
      <c r="M17" s="36"/>
      <c r="N17" s="36"/>
    </row>
    <row r="18" spans="1:15">
      <c r="A18" s="279" t="s">
        <v>114</v>
      </c>
      <c r="B18" s="287" t="s">
        <v>171</v>
      </c>
      <c r="C18" s="181" t="s">
        <v>729</v>
      </c>
      <c r="D18" s="197" t="s">
        <v>29</v>
      </c>
      <c r="E18" s="198" t="s">
        <v>30</v>
      </c>
      <c r="F18" s="36"/>
      <c r="G18" s="36"/>
      <c r="H18" s="36"/>
      <c r="I18" s="36"/>
      <c r="J18" s="36"/>
      <c r="K18" s="281">
        <v>1469.52</v>
      </c>
      <c r="L18" s="36"/>
      <c r="M18" s="36"/>
      <c r="N18" s="36"/>
    </row>
    <row r="19" spans="1:15">
      <c r="A19" s="289" t="s">
        <v>35</v>
      </c>
      <c r="B19" s="287" t="s">
        <v>36</v>
      </c>
      <c r="C19" s="181" t="s">
        <v>729</v>
      </c>
      <c r="D19" s="197" t="s">
        <v>29</v>
      </c>
      <c r="E19" s="198" t="s">
        <v>30</v>
      </c>
      <c r="F19" s="36"/>
      <c r="G19" s="36"/>
      <c r="H19" s="36"/>
      <c r="I19" s="36"/>
      <c r="J19" s="36"/>
      <c r="K19" s="281">
        <v>272.48</v>
      </c>
      <c r="L19" s="36"/>
      <c r="M19" s="36"/>
      <c r="N19" s="36"/>
    </row>
    <row r="20" spans="1:15">
      <c r="A20" s="289" t="s">
        <v>117</v>
      </c>
      <c r="B20" s="287" t="s">
        <v>417</v>
      </c>
      <c r="C20" s="181" t="s">
        <v>729</v>
      </c>
      <c r="D20" s="197" t="s">
        <v>29</v>
      </c>
      <c r="E20" s="198" t="s">
        <v>30</v>
      </c>
      <c r="F20" s="36"/>
      <c r="G20" s="36"/>
      <c r="H20" s="36"/>
      <c r="I20" s="36"/>
      <c r="J20" s="36"/>
      <c r="K20" s="281">
        <v>91.12</v>
      </c>
      <c r="L20" s="36"/>
      <c r="M20" s="36"/>
      <c r="N20" s="36"/>
    </row>
    <row r="21" spans="1:15">
      <c r="A21" s="279" t="s">
        <v>119</v>
      </c>
      <c r="B21" s="287" t="s">
        <v>446</v>
      </c>
      <c r="C21" s="181" t="s">
        <v>729</v>
      </c>
      <c r="D21" s="197" t="s">
        <v>29</v>
      </c>
      <c r="E21" s="198" t="s">
        <v>30</v>
      </c>
      <c r="F21" s="36"/>
      <c r="G21" s="36"/>
      <c r="H21" s="36"/>
      <c r="I21" s="36"/>
      <c r="J21" s="36"/>
      <c r="K21" s="281">
        <v>2496</v>
      </c>
      <c r="L21" s="36"/>
      <c r="M21" s="36"/>
      <c r="N21" s="36"/>
    </row>
    <row r="22" spans="1:15">
      <c r="A22" s="279" t="s">
        <v>475</v>
      </c>
      <c r="B22" s="287" t="s">
        <v>476</v>
      </c>
      <c r="C22" s="181" t="s">
        <v>729</v>
      </c>
      <c r="D22" s="197" t="s">
        <v>29</v>
      </c>
      <c r="E22" s="198" t="s">
        <v>30</v>
      </c>
      <c r="F22" s="36"/>
      <c r="G22" s="36"/>
      <c r="H22" s="36"/>
      <c r="I22" s="36"/>
      <c r="J22" s="36"/>
      <c r="K22" s="281">
        <v>861.12</v>
      </c>
      <c r="L22" s="36"/>
      <c r="M22" s="36"/>
      <c r="N22" s="36"/>
    </row>
    <row r="23" spans="1:15">
      <c r="A23" s="279" t="s">
        <v>350</v>
      </c>
      <c r="B23" s="287" t="s">
        <v>351</v>
      </c>
      <c r="C23" s="181" t="s">
        <v>729</v>
      </c>
      <c r="D23" s="197" t="s">
        <v>29</v>
      </c>
      <c r="E23" s="198" t="s">
        <v>30</v>
      </c>
      <c r="F23" s="36"/>
      <c r="G23" s="36"/>
      <c r="H23" s="36"/>
      <c r="I23" s="36"/>
      <c r="J23" s="36"/>
      <c r="K23" s="281">
        <v>298.8</v>
      </c>
      <c r="L23" s="36"/>
      <c r="M23" s="36"/>
      <c r="N23" s="36"/>
    </row>
    <row r="24" spans="1:15">
      <c r="A24" s="279" t="s">
        <v>172</v>
      </c>
      <c r="B24" s="287" t="s">
        <v>173</v>
      </c>
      <c r="C24" s="181" t="s">
        <v>729</v>
      </c>
      <c r="D24" s="197" t="s">
        <v>29</v>
      </c>
      <c r="E24" s="198" t="s">
        <v>30</v>
      </c>
      <c r="F24" s="36"/>
      <c r="G24" s="36"/>
      <c r="H24" s="36"/>
      <c r="I24" s="36"/>
      <c r="J24" s="36"/>
      <c r="K24" s="281">
        <v>1892.8</v>
      </c>
      <c r="L24" s="36"/>
      <c r="M24" s="36"/>
      <c r="N24" s="36"/>
    </row>
    <row r="25" spans="1:15">
      <c r="A25" s="289" t="s">
        <v>37</v>
      </c>
      <c r="B25" s="287" t="s">
        <v>38</v>
      </c>
      <c r="C25" s="181" t="s">
        <v>729</v>
      </c>
      <c r="D25" s="197" t="s">
        <v>29</v>
      </c>
      <c r="E25" s="198" t="s">
        <v>30</v>
      </c>
      <c r="F25" s="36"/>
      <c r="G25" s="36"/>
      <c r="H25" s="36"/>
      <c r="I25" s="36"/>
      <c r="J25" s="36"/>
      <c r="K25" s="281">
        <v>5036.04</v>
      </c>
      <c r="L25" s="36"/>
      <c r="M25" s="36"/>
      <c r="N25" s="36"/>
    </row>
    <row r="26" spans="1:15">
      <c r="A26" s="290" t="s">
        <v>174</v>
      </c>
      <c r="B26" s="291" t="s">
        <v>175</v>
      </c>
      <c r="C26" s="181" t="s">
        <v>729</v>
      </c>
      <c r="D26" s="197" t="s">
        <v>29</v>
      </c>
      <c r="E26" s="198" t="s">
        <v>30</v>
      </c>
      <c r="F26" s="36"/>
      <c r="G26" s="36"/>
      <c r="H26" s="36"/>
      <c r="I26" s="36"/>
      <c r="J26" s="36"/>
      <c r="K26" s="281">
        <v>55.28</v>
      </c>
      <c r="L26" s="36"/>
      <c r="M26" s="36"/>
      <c r="N26" s="36"/>
    </row>
    <row r="27" spans="1:15">
      <c r="A27" s="292" t="s">
        <v>39</v>
      </c>
      <c r="B27" s="293" t="s">
        <v>40</v>
      </c>
      <c r="C27" s="181" t="s">
        <v>729</v>
      </c>
      <c r="D27" s="197" t="s">
        <v>29</v>
      </c>
      <c r="E27" s="198" t="s">
        <v>30</v>
      </c>
      <c r="F27" s="36"/>
      <c r="G27" s="36"/>
      <c r="H27" s="36"/>
      <c r="I27" s="36"/>
      <c r="J27" s="36"/>
      <c r="K27" s="281">
        <v>960.96</v>
      </c>
      <c r="L27" s="36"/>
      <c r="M27" s="36"/>
      <c r="N27" s="36"/>
    </row>
    <row r="28" spans="1:15">
      <c r="A28" s="279" t="s">
        <v>122</v>
      </c>
      <c r="B28" s="294" t="s">
        <v>302</v>
      </c>
      <c r="C28" s="181" t="s">
        <v>729</v>
      </c>
      <c r="D28" s="197" t="s">
        <v>29</v>
      </c>
      <c r="E28" s="198" t="s">
        <v>30</v>
      </c>
      <c r="F28" s="36"/>
      <c r="G28" s="36"/>
      <c r="H28" s="36"/>
      <c r="I28" s="36"/>
      <c r="J28" s="36"/>
      <c r="K28" s="281">
        <v>944.9</v>
      </c>
      <c r="L28" s="36"/>
      <c r="M28" s="36"/>
      <c r="N28" s="36"/>
    </row>
    <row r="29" spans="1:15">
      <c r="A29" s="279" t="s">
        <v>124</v>
      </c>
      <c r="B29" s="287" t="s">
        <v>479</v>
      </c>
      <c r="C29" s="181" t="s">
        <v>729</v>
      </c>
      <c r="D29" s="197" t="s">
        <v>29</v>
      </c>
      <c r="E29" s="198" t="s">
        <v>30</v>
      </c>
      <c r="F29" s="36"/>
      <c r="G29" s="36"/>
      <c r="H29" s="36"/>
      <c r="I29" s="36"/>
      <c r="J29" s="36"/>
      <c r="K29" s="281">
        <v>4576</v>
      </c>
      <c r="L29" s="36"/>
      <c r="M29" s="36"/>
      <c r="N29" s="36"/>
    </row>
    <row r="30" spans="1:15">
      <c r="A30" s="290" t="s">
        <v>480</v>
      </c>
      <c r="B30" s="291" t="s">
        <v>481</v>
      </c>
      <c r="C30" s="181" t="s">
        <v>729</v>
      </c>
      <c r="D30" s="197" t="s">
        <v>29</v>
      </c>
      <c r="E30" s="198" t="s">
        <v>30</v>
      </c>
      <c r="F30" s="36"/>
      <c r="G30" s="36"/>
      <c r="H30" s="36"/>
      <c r="I30" s="36"/>
      <c r="J30" s="36"/>
      <c r="K30" s="281">
        <v>249.6</v>
      </c>
      <c r="L30" s="36"/>
      <c r="M30" s="36"/>
      <c r="N30" s="36"/>
    </row>
    <row r="31" spans="1:15">
      <c r="A31" s="295" t="s">
        <v>176</v>
      </c>
      <c r="B31" s="296" t="s">
        <v>177</v>
      </c>
      <c r="C31" s="181" t="s">
        <v>729</v>
      </c>
      <c r="D31" s="197" t="s">
        <v>29</v>
      </c>
      <c r="E31" s="198" t="s">
        <v>30</v>
      </c>
      <c r="F31" s="36"/>
      <c r="G31" s="36"/>
      <c r="H31" s="36"/>
      <c r="I31" s="36"/>
      <c r="J31" s="36"/>
      <c r="K31" s="281">
        <v>1700.48</v>
      </c>
      <c r="L31" s="36"/>
      <c r="M31" s="36"/>
      <c r="N31" s="36"/>
    </row>
    <row r="32" spans="1:15">
      <c r="A32" s="279" t="s">
        <v>126</v>
      </c>
      <c r="B32" s="287" t="s">
        <v>127</v>
      </c>
      <c r="C32" s="181" t="s">
        <v>729</v>
      </c>
      <c r="D32" s="197" t="s">
        <v>29</v>
      </c>
      <c r="E32" s="198" t="s">
        <v>30</v>
      </c>
      <c r="F32" s="36"/>
      <c r="G32" s="36"/>
      <c r="H32" s="36"/>
      <c r="I32" s="36"/>
      <c r="J32" s="36"/>
      <c r="K32" s="281">
        <v>15844.4</v>
      </c>
      <c r="L32" s="36"/>
      <c r="M32" s="36"/>
      <c r="N32" s="36"/>
    </row>
    <row r="33" spans="1:15">
      <c r="A33" s="279" t="s">
        <v>245</v>
      </c>
      <c r="B33" s="287" t="s">
        <v>246</v>
      </c>
      <c r="C33" s="181" t="s">
        <v>729</v>
      </c>
      <c r="D33" s="197" t="s">
        <v>29</v>
      </c>
      <c r="E33" s="198" t="s">
        <v>30</v>
      </c>
      <c r="F33" s="36"/>
      <c r="G33" s="36"/>
      <c r="H33" s="36"/>
      <c r="I33" s="36"/>
      <c r="J33" s="36"/>
      <c r="K33" s="281">
        <v>255.28</v>
      </c>
      <c r="L33" s="36"/>
      <c r="M33" s="36"/>
      <c r="N33" s="36"/>
    </row>
    <row r="34" spans="1:15">
      <c r="A34" s="279" t="s">
        <v>178</v>
      </c>
      <c r="B34" s="287" t="s">
        <v>179</v>
      </c>
      <c r="C34" s="181" t="s">
        <v>729</v>
      </c>
      <c r="D34" s="197" t="s">
        <v>29</v>
      </c>
      <c r="E34" s="198" t="s">
        <v>30</v>
      </c>
      <c r="F34" s="36"/>
      <c r="G34" s="36"/>
      <c r="H34" s="36"/>
      <c r="I34" s="36"/>
      <c r="J34" s="36"/>
      <c r="K34" s="281">
        <v>636.02</v>
      </c>
      <c r="L34" s="36"/>
      <c r="M34" s="36"/>
      <c r="N34" s="36"/>
    </row>
    <row r="35" spans="1:15">
      <c r="A35" s="279" t="s">
        <v>482</v>
      </c>
      <c r="B35" s="297" t="s">
        <v>483</v>
      </c>
      <c r="C35" s="181" t="s">
        <v>729</v>
      </c>
      <c r="D35" s="197" t="s">
        <v>29</v>
      </c>
      <c r="E35" s="198" t="s">
        <v>30</v>
      </c>
      <c r="F35" s="36"/>
      <c r="G35" s="36"/>
      <c r="H35" s="36"/>
      <c r="I35" s="36"/>
      <c r="J35" s="36"/>
      <c r="K35" s="281">
        <v>852.5</v>
      </c>
      <c r="L35" s="36"/>
      <c r="M35" s="36"/>
      <c r="N35" s="36"/>
    </row>
    <row r="36" spans="1:15">
      <c r="A36" s="279" t="s">
        <v>247</v>
      </c>
      <c r="B36" s="287" t="s">
        <v>248</v>
      </c>
      <c r="C36" s="181" t="s">
        <v>729</v>
      </c>
      <c r="D36" s="197" t="s">
        <v>29</v>
      </c>
      <c r="E36" s="198" t="s">
        <v>30</v>
      </c>
      <c r="F36" s="36"/>
      <c r="G36" s="36"/>
      <c r="H36" s="36"/>
      <c r="I36" s="36"/>
      <c r="J36" s="36"/>
      <c r="K36" s="281">
        <v>954.16</v>
      </c>
      <c r="L36" s="36"/>
      <c r="M36" s="36"/>
      <c r="N36" s="36"/>
    </row>
    <row r="37" spans="1:15">
      <c r="A37" s="279" t="s">
        <v>41</v>
      </c>
      <c r="B37" s="287" t="s">
        <v>42</v>
      </c>
      <c r="C37" s="181" t="s">
        <v>729</v>
      </c>
      <c r="D37" s="197" t="s">
        <v>29</v>
      </c>
      <c r="E37" s="198" t="s">
        <v>30</v>
      </c>
      <c r="F37" s="36"/>
      <c r="G37" s="36"/>
      <c r="H37" s="36"/>
      <c r="I37" s="36"/>
      <c r="J37" s="36"/>
      <c r="K37" s="314">
        <v>2792.4</v>
      </c>
      <c r="L37" s="36"/>
      <c r="M37" s="36"/>
      <c r="N37" s="36"/>
    </row>
    <row r="38" spans="1:15">
      <c r="A38" s="279" t="s">
        <v>492</v>
      </c>
      <c r="B38" s="298" t="s">
        <v>493</v>
      </c>
      <c r="C38" s="181" t="s">
        <v>729</v>
      </c>
      <c r="D38" s="197" t="s">
        <v>29</v>
      </c>
      <c r="E38" s="198" t="s">
        <v>30</v>
      </c>
      <c r="F38" s="36"/>
      <c r="G38" s="36"/>
      <c r="H38" s="36"/>
      <c r="I38" s="36"/>
      <c r="J38" s="36"/>
      <c r="K38" s="314">
        <v>46800</v>
      </c>
      <c r="L38" s="36"/>
      <c r="M38" s="36"/>
      <c r="N38" s="36"/>
    </row>
    <row r="39" spans="1:15">
      <c r="A39" s="289" t="s">
        <v>249</v>
      </c>
      <c r="B39" s="280" t="s">
        <v>250</v>
      </c>
      <c r="C39" s="181" t="s">
        <v>729</v>
      </c>
      <c r="D39" s="197" t="s">
        <v>29</v>
      </c>
      <c r="E39" s="198" t="s">
        <v>30</v>
      </c>
      <c r="F39" s="36"/>
      <c r="G39" s="36"/>
      <c r="H39" s="36"/>
      <c r="I39" s="36"/>
      <c r="J39" s="36"/>
      <c r="K39" s="281">
        <v>1198.08</v>
      </c>
      <c r="L39" s="36"/>
      <c r="M39" s="36"/>
      <c r="N39" s="36"/>
    </row>
    <row r="40" spans="1:15">
      <c r="A40" s="289" t="s">
        <v>494</v>
      </c>
      <c r="B40" s="280" t="s">
        <v>495</v>
      </c>
      <c r="C40" s="181" t="s">
        <v>729</v>
      </c>
      <c r="D40" s="197" t="s">
        <v>29</v>
      </c>
      <c r="E40" s="198" t="s">
        <v>30</v>
      </c>
      <c r="F40" s="36"/>
      <c r="G40" s="36"/>
      <c r="H40" s="36"/>
      <c r="I40" s="36"/>
      <c r="J40" s="36"/>
      <c r="K40" s="281">
        <v>907.32</v>
      </c>
      <c r="L40" s="36"/>
      <c r="M40" s="36"/>
      <c r="N40" s="36"/>
    </row>
    <row r="41" spans="1:15">
      <c r="A41" s="279" t="s">
        <v>496</v>
      </c>
      <c r="B41" s="280" t="s">
        <v>497</v>
      </c>
      <c r="C41" s="181" t="s">
        <v>729</v>
      </c>
      <c r="D41" s="197" t="s">
        <v>29</v>
      </c>
      <c r="E41" s="198" t="s">
        <v>30</v>
      </c>
      <c r="F41" s="36"/>
      <c r="G41" s="36"/>
      <c r="H41" s="36"/>
      <c r="I41" s="36"/>
      <c r="J41" s="36"/>
      <c r="K41" s="281">
        <v>4939.68</v>
      </c>
      <c r="L41" s="36"/>
      <c r="M41" s="36"/>
      <c r="N41" s="36"/>
    </row>
    <row r="42" spans="1:15">
      <c r="A42" s="279" t="s">
        <v>43</v>
      </c>
      <c r="B42" s="280" t="s">
        <v>44</v>
      </c>
      <c r="C42" s="181" t="s">
        <v>729</v>
      </c>
      <c r="D42" s="197" t="s">
        <v>29</v>
      </c>
      <c r="E42" s="198" t="s">
        <v>30</v>
      </c>
      <c r="F42" s="36"/>
      <c r="G42" s="36"/>
      <c r="H42" s="36"/>
      <c r="I42" s="36"/>
      <c r="J42" s="36"/>
      <c r="K42" s="281">
        <v>848.64</v>
      </c>
      <c r="L42" s="36"/>
      <c r="M42" s="36"/>
      <c r="N42" s="36"/>
    </row>
    <row r="43" spans="1:15">
      <c r="A43" s="279" t="s">
        <v>128</v>
      </c>
      <c r="B43" s="280" t="s">
        <v>129</v>
      </c>
      <c r="C43" s="181" t="s">
        <v>729</v>
      </c>
      <c r="D43" s="197" t="s">
        <v>29</v>
      </c>
      <c r="E43" s="198" t="s">
        <v>30</v>
      </c>
      <c r="F43" s="36"/>
      <c r="G43" s="36"/>
      <c r="H43" s="36"/>
      <c r="I43" s="36"/>
      <c r="J43" s="36"/>
      <c r="K43" s="281">
        <v>541.2</v>
      </c>
      <c r="L43" s="36"/>
      <c r="M43" s="36"/>
      <c r="N43" s="36"/>
    </row>
    <row r="44" spans="1:15">
      <c r="A44" s="279" t="s">
        <v>45</v>
      </c>
      <c r="B44" s="280" t="s">
        <v>46</v>
      </c>
      <c r="C44" s="181" t="s">
        <v>729</v>
      </c>
      <c r="D44" s="197" t="s">
        <v>29</v>
      </c>
      <c r="E44" s="198" t="s">
        <v>30</v>
      </c>
      <c r="F44" s="36"/>
      <c r="G44" s="36"/>
      <c r="H44" s="36"/>
      <c r="I44" s="36"/>
      <c r="J44" s="36"/>
      <c r="K44" s="281">
        <v>1425.6</v>
      </c>
      <c r="L44" s="36"/>
      <c r="M44" s="36"/>
      <c r="N44" s="36"/>
    </row>
    <row r="45" spans="1:15">
      <c r="A45" s="279" t="s">
        <v>303</v>
      </c>
      <c r="B45" s="280" t="s">
        <v>304</v>
      </c>
      <c r="C45" s="181" t="s">
        <v>729</v>
      </c>
      <c r="D45" s="197" t="s">
        <v>29</v>
      </c>
      <c r="E45" s="198" t="s">
        <v>30</v>
      </c>
      <c r="F45" s="36"/>
      <c r="G45" s="36"/>
      <c r="H45" s="36"/>
      <c r="I45" s="36"/>
      <c r="J45" s="36"/>
      <c r="K45" s="281">
        <v>233.4</v>
      </c>
      <c r="L45" s="36"/>
      <c r="M45" s="36"/>
      <c r="N45" s="36"/>
    </row>
    <row r="46" spans="1:15">
      <c r="A46" s="279" t="s">
        <v>180</v>
      </c>
      <c r="B46" s="280" t="s">
        <v>181</v>
      </c>
      <c r="C46" s="181" t="s">
        <v>729</v>
      </c>
      <c r="D46" s="197" t="s">
        <v>29</v>
      </c>
      <c r="E46" s="198" t="s">
        <v>30</v>
      </c>
      <c r="F46" s="36"/>
      <c r="G46" s="36"/>
      <c r="H46" s="36"/>
      <c r="I46" s="36"/>
      <c r="J46" s="36"/>
      <c r="K46" s="281">
        <v>1485.12</v>
      </c>
      <c r="L46" s="36"/>
      <c r="M46" s="36"/>
      <c r="N46" s="36"/>
    </row>
    <row r="47" spans="1:15">
      <c r="A47" s="279" t="s">
        <v>182</v>
      </c>
      <c r="B47" s="280" t="s">
        <v>183</v>
      </c>
      <c r="C47" s="181" t="s">
        <v>729</v>
      </c>
      <c r="D47" s="197" t="s">
        <v>29</v>
      </c>
      <c r="E47" s="198" t="s">
        <v>30</v>
      </c>
      <c r="F47" s="36"/>
      <c r="G47" s="36"/>
      <c r="H47" s="36"/>
      <c r="I47" s="36"/>
      <c r="J47" s="36"/>
      <c r="K47" s="281">
        <v>1938.56</v>
      </c>
      <c r="L47" s="36"/>
      <c r="M47" s="36"/>
      <c r="N47" s="36"/>
    </row>
    <row r="48" spans="1:15">
      <c r="A48" s="279" t="s">
        <v>305</v>
      </c>
      <c r="B48" s="280" t="s">
        <v>306</v>
      </c>
      <c r="C48" s="181" t="s">
        <v>729</v>
      </c>
      <c r="D48" s="197" t="s">
        <v>29</v>
      </c>
      <c r="E48" s="198" t="s">
        <v>30</v>
      </c>
      <c r="F48" s="36"/>
      <c r="G48" s="36"/>
      <c r="H48" s="36"/>
      <c r="I48" s="36"/>
      <c r="J48" s="36"/>
      <c r="K48" s="281">
        <v>89.44</v>
      </c>
      <c r="L48" s="36"/>
      <c r="M48" s="36"/>
      <c r="N48" s="36"/>
    </row>
    <row r="49" spans="1:15">
      <c r="A49" s="279" t="s">
        <v>47</v>
      </c>
      <c r="B49" s="280" t="s">
        <v>48</v>
      </c>
      <c r="C49" s="181" t="s">
        <v>729</v>
      </c>
      <c r="D49" s="197" t="s">
        <v>29</v>
      </c>
      <c r="E49" s="198" t="s">
        <v>30</v>
      </c>
      <c r="F49" s="36"/>
      <c r="G49" s="36"/>
      <c r="H49" s="36"/>
      <c r="I49" s="36"/>
      <c r="J49" s="36"/>
      <c r="K49" s="281">
        <v>268.32</v>
      </c>
      <c r="L49" s="36"/>
      <c r="M49" s="36"/>
      <c r="N49" s="36"/>
    </row>
    <row r="50" spans="1:15">
      <c r="A50" s="279" t="s">
        <v>498</v>
      </c>
      <c r="B50" s="280" t="s">
        <v>499</v>
      </c>
      <c r="C50" s="181" t="s">
        <v>729</v>
      </c>
      <c r="D50" s="197" t="s">
        <v>29</v>
      </c>
      <c r="E50" s="198" t="s">
        <v>30</v>
      </c>
      <c r="F50" s="36"/>
      <c r="G50" s="36"/>
      <c r="H50" s="36"/>
      <c r="I50" s="36"/>
      <c r="J50" s="36"/>
      <c r="K50" s="281">
        <v>799.44</v>
      </c>
      <c r="L50" s="36"/>
      <c r="M50" s="36"/>
      <c r="N50" s="36"/>
    </row>
    <row r="51" spans="1:15">
      <c r="A51" s="279" t="s">
        <v>49</v>
      </c>
      <c r="B51" s="280" t="s">
        <v>50</v>
      </c>
      <c r="C51" s="181" t="s">
        <v>729</v>
      </c>
      <c r="D51" s="197" t="s">
        <v>29</v>
      </c>
      <c r="E51" s="198" t="s">
        <v>30</v>
      </c>
      <c r="F51" s="36"/>
      <c r="G51" s="36"/>
      <c r="H51" s="36"/>
      <c r="I51" s="36"/>
      <c r="J51" s="36"/>
      <c r="K51" s="281">
        <v>99.84</v>
      </c>
      <c r="L51" s="36"/>
      <c r="M51" s="36"/>
      <c r="N51" s="36"/>
    </row>
    <row r="52" spans="1:15">
      <c r="A52" s="279" t="s">
        <v>500</v>
      </c>
      <c r="B52" s="280" t="s">
        <v>501</v>
      </c>
      <c r="C52" s="181" t="s">
        <v>729</v>
      </c>
      <c r="D52" s="197" t="s">
        <v>29</v>
      </c>
      <c r="E52" s="198" t="s">
        <v>30</v>
      </c>
      <c r="F52" s="36"/>
      <c r="G52" s="36"/>
      <c r="H52" s="36"/>
      <c r="I52" s="36"/>
      <c r="J52" s="36"/>
      <c r="K52" s="281">
        <v>118.56</v>
      </c>
      <c r="L52" s="36"/>
      <c r="M52" s="36"/>
      <c r="N52" s="36"/>
    </row>
    <row r="53" spans="1:15">
      <c r="A53" s="279" t="s">
        <v>51</v>
      </c>
      <c r="B53" s="280" t="s">
        <v>52</v>
      </c>
      <c r="C53" s="181" t="s">
        <v>729</v>
      </c>
      <c r="D53" s="197" t="s">
        <v>29</v>
      </c>
      <c r="E53" s="198" t="s">
        <v>30</v>
      </c>
      <c r="F53" s="36"/>
      <c r="G53" s="36"/>
      <c r="H53" s="36"/>
      <c r="I53" s="36"/>
      <c r="J53" s="36"/>
      <c r="K53" s="281">
        <v>532.48</v>
      </c>
      <c r="L53" s="36"/>
      <c r="M53" s="36"/>
      <c r="N53" s="36"/>
    </row>
    <row r="54" spans="1:15">
      <c r="A54" s="279" t="s">
        <v>502</v>
      </c>
      <c r="B54" s="280" t="s">
        <v>503</v>
      </c>
      <c r="C54" s="181" t="s">
        <v>729</v>
      </c>
      <c r="D54" s="197" t="s">
        <v>29</v>
      </c>
      <c r="E54" s="198" t="s">
        <v>30</v>
      </c>
      <c r="F54" s="36"/>
      <c r="G54" s="36"/>
      <c r="H54" s="36"/>
      <c r="I54" s="36"/>
      <c r="J54" s="36"/>
      <c r="K54" s="281">
        <v>523.2</v>
      </c>
      <c r="L54" s="36"/>
      <c r="M54" s="36"/>
      <c r="N54" s="36"/>
    </row>
    <row r="55" spans="1:15">
      <c r="A55" s="279" t="s">
        <v>449</v>
      </c>
      <c r="B55" s="280" t="s">
        <v>450</v>
      </c>
      <c r="C55" s="181" t="s">
        <v>729</v>
      </c>
      <c r="D55" s="197" t="s">
        <v>29</v>
      </c>
      <c r="E55" s="198" t="s">
        <v>30</v>
      </c>
      <c r="F55" s="36"/>
      <c r="G55" s="36"/>
      <c r="H55" s="36"/>
      <c r="I55" s="36"/>
      <c r="J55" s="36"/>
      <c r="K55" s="281">
        <v>885</v>
      </c>
      <c r="L55" s="36"/>
      <c r="M55" s="36"/>
      <c r="N55" s="36"/>
    </row>
    <row r="56" spans="1:15">
      <c r="A56" s="279" t="s">
        <v>392</v>
      </c>
      <c r="B56" s="280" t="s">
        <v>393</v>
      </c>
      <c r="C56" s="181" t="s">
        <v>729</v>
      </c>
      <c r="D56" s="197" t="s">
        <v>29</v>
      </c>
      <c r="E56" s="198" t="s">
        <v>30</v>
      </c>
      <c r="F56" s="36"/>
      <c r="G56" s="36"/>
      <c r="H56" s="36"/>
      <c r="I56" s="36"/>
      <c r="J56" s="36"/>
      <c r="K56" s="281">
        <v>1533.6</v>
      </c>
      <c r="L56" s="36"/>
      <c r="M56" s="36"/>
      <c r="N56" s="36"/>
    </row>
    <row r="57" spans="1:15">
      <c r="A57" s="290" t="s">
        <v>55</v>
      </c>
      <c r="B57" s="291" t="s">
        <v>56</v>
      </c>
      <c r="C57" s="181" t="s">
        <v>729</v>
      </c>
      <c r="D57" s="197" t="s">
        <v>29</v>
      </c>
      <c r="E57" s="198" t="s">
        <v>30</v>
      </c>
      <c r="F57" s="36"/>
      <c r="G57" s="36"/>
      <c r="H57" s="36"/>
      <c r="I57" s="36"/>
      <c r="J57" s="36"/>
      <c r="K57" s="281">
        <v>691.8</v>
      </c>
      <c r="L57" s="36"/>
      <c r="M57" s="36"/>
      <c r="N57" s="36"/>
    </row>
    <row r="58" spans="1:15">
      <c r="A58" s="292" t="s">
        <v>307</v>
      </c>
      <c r="B58" s="293" t="s">
        <v>308</v>
      </c>
      <c r="C58" s="181" t="s">
        <v>729</v>
      </c>
      <c r="D58" s="197" t="s">
        <v>29</v>
      </c>
      <c r="E58" s="198" t="s">
        <v>30</v>
      </c>
      <c r="F58" s="36"/>
      <c r="G58" s="36"/>
      <c r="H58" s="36"/>
      <c r="I58" s="36"/>
      <c r="J58" s="36"/>
      <c r="K58" s="281">
        <v>401.16</v>
      </c>
      <c r="L58" s="36"/>
      <c r="M58" s="36"/>
      <c r="N58" s="36"/>
    </row>
    <row r="59" spans="1:15">
      <c r="A59" s="279" t="s">
        <v>184</v>
      </c>
      <c r="B59" s="280" t="s">
        <v>185</v>
      </c>
      <c r="C59" s="181" t="s">
        <v>729</v>
      </c>
      <c r="D59" s="197" t="s">
        <v>29</v>
      </c>
      <c r="E59" s="198" t="s">
        <v>30</v>
      </c>
      <c r="F59" s="36"/>
      <c r="G59" s="36"/>
      <c r="H59" s="36"/>
      <c r="I59" s="36"/>
      <c r="J59" s="36"/>
      <c r="K59" s="281">
        <v>772</v>
      </c>
      <c r="L59" s="36"/>
      <c r="M59" s="36"/>
      <c r="N59" s="36"/>
    </row>
    <row r="60" spans="1:15">
      <c r="A60" s="279" t="s">
        <v>132</v>
      </c>
      <c r="B60" s="280" t="s">
        <v>57</v>
      </c>
      <c r="C60" s="181" t="s">
        <v>729</v>
      </c>
      <c r="D60" s="197" t="s">
        <v>29</v>
      </c>
      <c r="E60" s="198" t="s">
        <v>30</v>
      </c>
      <c r="F60" s="36"/>
      <c r="G60" s="36"/>
      <c r="H60" s="36"/>
      <c r="I60" s="36"/>
      <c r="J60" s="36"/>
      <c r="K60" s="281">
        <v>686.4</v>
      </c>
      <c r="L60" s="36"/>
      <c r="M60" s="36"/>
      <c r="N60" s="36"/>
    </row>
    <row r="61" spans="1:15">
      <c r="A61" s="289" t="s">
        <v>137</v>
      </c>
      <c r="B61" s="280" t="s">
        <v>138</v>
      </c>
      <c r="C61" s="181" t="s">
        <v>729</v>
      </c>
      <c r="D61" s="197" t="s">
        <v>29</v>
      </c>
      <c r="E61" s="198" t="s">
        <v>30</v>
      </c>
      <c r="F61" s="36"/>
      <c r="G61" s="36"/>
      <c r="H61" s="36"/>
      <c r="I61" s="36"/>
      <c r="J61" s="36"/>
      <c r="K61" s="281">
        <v>3922.88</v>
      </c>
      <c r="L61" s="36"/>
      <c r="M61" s="36"/>
      <c r="N61" s="36"/>
    </row>
    <row r="62" spans="1:15">
      <c r="A62" s="279" t="s">
        <v>341</v>
      </c>
      <c r="B62" s="280" t="s">
        <v>418</v>
      </c>
      <c r="C62" s="181" t="s">
        <v>729</v>
      </c>
      <c r="D62" s="197" t="s">
        <v>29</v>
      </c>
      <c r="E62" s="198" t="s">
        <v>30</v>
      </c>
      <c r="F62" s="36"/>
      <c r="G62" s="36"/>
      <c r="H62" s="36"/>
      <c r="I62" s="36"/>
      <c r="J62" s="36"/>
      <c r="K62" s="281">
        <v>1476.8</v>
      </c>
      <c r="L62" s="36"/>
      <c r="M62" s="36"/>
      <c r="N62" s="36"/>
    </row>
    <row r="63" spans="1:15">
      <c r="A63" s="279" t="s">
        <v>186</v>
      </c>
      <c r="B63" s="280" t="s">
        <v>187</v>
      </c>
      <c r="C63" s="181" t="s">
        <v>729</v>
      </c>
      <c r="D63" s="197" t="s">
        <v>29</v>
      </c>
      <c r="E63" s="198" t="s">
        <v>30</v>
      </c>
      <c r="F63" s="36"/>
      <c r="G63" s="36"/>
      <c r="H63" s="36"/>
      <c r="I63" s="36"/>
      <c r="J63" s="36"/>
      <c r="K63" s="281">
        <v>609.8</v>
      </c>
      <c r="L63" s="36"/>
      <c r="M63" s="36"/>
      <c r="N63" s="36"/>
    </row>
    <row r="64" spans="1:15">
      <c r="A64" s="289" t="s">
        <v>188</v>
      </c>
      <c r="B64" s="280" t="s">
        <v>189</v>
      </c>
      <c r="C64" s="181" t="s">
        <v>729</v>
      </c>
      <c r="D64" s="197" t="s">
        <v>29</v>
      </c>
      <c r="E64" s="198" t="s">
        <v>30</v>
      </c>
      <c r="F64" s="36"/>
      <c r="G64" s="36"/>
      <c r="H64" s="36"/>
      <c r="I64" s="36"/>
      <c r="J64" s="36"/>
      <c r="K64" s="281">
        <v>1297.56</v>
      </c>
      <c r="L64" s="36"/>
      <c r="M64" s="36"/>
      <c r="N64" s="36"/>
    </row>
    <row r="65" spans="1:15">
      <c r="A65" s="290" t="s">
        <v>419</v>
      </c>
      <c r="B65" s="291" t="s">
        <v>420</v>
      </c>
      <c r="C65" s="181" t="s">
        <v>729</v>
      </c>
      <c r="D65" s="197" t="s">
        <v>29</v>
      </c>
      <c r="E65" s="198" t="s">
        <v>30</v>
      </c>
      <c r="F65" s="36"/>
      <c r="G65" s="36"/>
      <c r="H65" s="36"/>
      <c r="I65" s="36"/>
      <c r="J65" s="36"/>
      <c r="K65" s="281">
        <v>977.6</v>
      </c>
      <c r="L65" s="36"/>
      <c r="M65" s="36"/>
      <c r="N65" s="36"/>
    </row>
    <row r="66" spans="1:15">
      <c r="A66" s="295" t="s">
        <v>139</v>
      </c>
      <c r="B66" s="296" t="s">
        <v>140</v>
      </c>
      <c r="C66" s="181" t="s">
        <v>729</v>
      </c>
      <c r="D66" s="197" t="s">
        <v>29</v>
      </c>
      <c r="E66" s="198" t="s">
        <v>30</v>
      </c>
      <c r="F66" s="36"/>
      <c r="G66" s="36"/>
      <c r="H66" s="36"/>
      <c r="I66" s="36"/>
      <c r="J66" s="36"/>
      <c r="K66" s="281">
        <v>171.15</v>
      </c>
      <c r="L66" s="36"/>
      <c r="M66" s="36"/>
      <c r="N66" s="36"/>
    </row>
    <row r="67" spans="1:15">
      <c r="A67" s="279" t="s">
        <v>251</v>
      </c>
      <c r="B67" s="280" t="s">
        <v>252</v>
      </c>
      <c r="C67" s="181" t="s">
        <v>729</v>
      </c>
      <c r="D67" s="197" t="s">
        <v>29</v>
      </c>
      <c r="E67" s="198" t="s">
        <v>30</v>
      </c>
      <c r="F67" s="36"/>
      <c r="G67" s="36"/>
      <c r="H67" s="36"/>
      <c r="I67" s="36"/>
      <c r="J67" s="36"/>
      <c r="K67" s="281">
        <v>133.56</v>
      </c>
      <c r="L67" s="36"/>
      <c r="M67" s="36"/>
      <c r="N67" s="36"/>
    </row>
    <row r="68" spans="1:15">
      <c r="A68" s="279" t="s">
        <v>253</v>
      </c>
      <c r="B68" s="280" t="s">
        <v>254</v>
      </c>
      <c r="C68" s="181" t="s">
        <v>729</v>
      </c>
      <c r="D68" s="197" t="s">
        <v>29</v>
      </c>
      <c r="E68" s="198" t="s">
        <v>30</v>
      </c>
      <c r="F68" s="36"/>
      <c r="G68" s="36"/>
      <c r="H68" s="36"/>
      <c r="I68" s="36"/>
      <c r="J68" s="36"/>
      <c r="K68" s="281">
        <v>113.84</v>
      </c>
      <c r="L68" s="36"/>
      <c r="M68" s="36"/>
      <c r="N68" s="36"/>
    </row>
    <row r="69" spans="1:15">
      <c r="A69" s="279" t="s">
        <v>309</v>
      </c>
      <c r="B69" s="280" t="s">
        <v>310</v>
      </c>
      <c r="C69" s="181" t="s">
        <v>729</v>
      </c>
      <c r="D69" s="197" t="s">
        <v>29</v>
      </c>
      <c r="E69" s="198" t="s">
        <v>30</v>
      </c>
      <c r="F69" s="36"/>
      <c r="G69" s="36"/>
      <c r="H69" s="36"/>
      <c r="I69" s="36"/>
      <c r="J69" s="36"/>
      <c r="K69" s="281">
        <v>286.52</v>
      </c>
      <c r="L69" s="36"/>
      <c r="M69" s="36"/>
      <c r="N69" s="36"/>
    </row>
    <row r="70" spans="1:15">
      <c r="A70" s="289" t="s">
        <v>143</v>
      </c>
      <c r="B70" s="280" t="s">
        <v>144</v>
      </c>
      <c r="C70" s="181" t="s">
        <v>729</v>
      </c>
      <c r="D70" s="197" t="s">
        <v>29</v>
      </c>
      <c r="E70" s="198" t="s">
        <v>30</v>
      </c>
      <c r="F70" s="36"/>
      <c r="G70" s="36"/>
      <c r="H70" s="36"/>
      <c r="I70" s="36"/>
      <c r="J70" s="36"/>
      <c r="K70" s="281">
        <v>238.57</v>
      </c>
      <c r="L70" s="36"/>
      <c r="M70" s="36"/>
      <c r="N70" s="36"/>
    </row>
    <row r="71" spans="1:15">
      <c r="A71" s="289" t="s">
        <v>62</v>
      </c>
      <c r="B71" s="280" t="s">
        <v>63</v>
      </c>
      <c r="C71" s="181" t="s">
        <v>729</v>
      </c>
      <c r="D71" s="197" t="s">
        <v>29</v>
      </c>
      <c r="E71" s="198" t="s">
        <v>30</v>
      </c>
      <c r="F71" s="36"/>
      <c r="G71" s="36"/>
      <c r="H71" s="36"/>
      <c r="I71" s="36"/>
      <c r="J71" s="36"/>
      <c r="K71" s="281">
        <v>1666.3</v>
      </c>
      <c r="L71" s="36"/>
      <c r="M71" s="36"/>
      <c r="N71" s="36"/>
    </row>
    <row r="72" spans="1:15" s="187" customFormat="1">
      <c r="A72" s="279" t="s">
        <v>421</v>
      </c>
      <c r="B72" s="280" t="s">
        <v>422</v>
      </c>
      <c r="C72" s="181" t="s">
        <v>729</v>
      </c>
      <c r="D72" s="197" t="s">
        <v>29</v>
      </c>
      <c r="E72" s="198" t="s">
        <v>30</v>
      </c>
      <c r="F72" s="185"/>
      <c r="G72" s="185"/>
      <c r="H72" s="185"/>
      <c r="I72" s="185"/>
      <c r="J72" s="185"/>
      <c r="K72" s="281">
        <v>499.2</v>
      </c>
      <c r="L72" s="185"/>
      <c r="M72" s="185"/>
      <c r="N72" s="185"/>
    </row>
    <row r="73" spans="1:15">
      <c r="A73" s="279" t="s">
        <v>255</v>
      </c>
      <c r="B73" s="280" t="s">
        <v>256</v>
      </c>
      <c r="C73" s="181" t="s">
        <v>729</v>
      </c>
      <c r="D73" s="197" t="s">
        <v>29</v>
      </c>
      <c r="E73" s="198" t="s">
        <v>30</v>
      </c>
      <c r="F73" s="185"/>
      <c r="G73" s="185"/>
      <c r="H73" s="185"/>
      <c r="I73" s="185"/>
      <c r="J73" s="185"/>
      <c r="K73" s="281">
        <v>73.32</v>
      </c>
      <c r="L73" s="36"/>
      <c r="M73" s="36"/>
      <c r="N73" s="36"/>
    </row>
    <row r="74" spans="1:15">
      <c r="A74" s="289" t="s">
        <v>64</v>
      </c>
      <c r="B74" s="280" t="s">
        <v>65</v>
      </c>
      <c r="C74" s="181" t="s">
        <v>729</v>
      </c>
      <c r="D74" s="197" t="s">
        <v>29</v>
      </c>
      <c r="E74" s="198" t="s">
        <v>30</v>
      </c>
      <c r="F74" s="185"/>
      <c r="G74" s="185"/>
      <c r="H74" s="185"/>
      <c r="I74" s="185"/>
      <c r="J74" s="185"/>
      <c r="K74" s="281">
        <v>179.28</v>
      </c>
      <c r="L74" s="185"/>
      <c r="M74" s="185"/>
      <c r="N74" s="185"/>
    </row>
    <row r="75" spans="1:15">
      <c r="A75" s="289" t="s">
        <v>145</v>
      </c>
      <c r="B75" s="280" t="s">
        <v>146</v>
      </c>
      <c r="C75" s="181" t="s">
        <v>729</v>
      </c>
      <c r="D75" s="197" t="s">
        <v>29</v>
      </c>
      <c r="E75" s="198" t="s">
        <v>30</v>
      </c>
      <c r="F75" s="185"/>
      <c r="G75" s="185"/>
      <c r="H75" s="185"/>
      <c r="I75" s="185"/>
      <c r="J75" s="185"/>
      <c r="K75" s="281">
        <v>202.65</v>
      </c>
      <c r="L75" s="36"/>
      <c r="M75" s="36"/>
      <c r="N75" s="36"/>
    </row>
    <row r="76" spans="1:15">
      <c r="A76" s="279" t="s">
        <v>66</v>
      </c>
      <c r="B76" s="280" t="s">
        <v>67</v>
      </c>
      <c r="C76" s="181" t="s">
        <v>729</v>
      </c>
      <c r="D76" s="197" t="s">
        <v>29</v>
      </c>
      <c r="E76" s="198" t="s">
        <v>30</v>
      </c>
      <c r="F76" s="185"/>
      <c r="G76" s="185"/>
      <c r="H76" s="185"/>
      <c r="I76" s="185"/>
      <c r="J76" s="185"/>
      <c r="K76" s="281">
        <v>485.1</v>
      </c>
      <c r="L76" s="185"/>
      <c r="M76" s="185"/>
      <c r="N76" s="185"/>
    </row>
    <row r="77" spans="1:15">
      <c r="A77" s="279" t="s">
        <v>68</v>
      </c>
      <c r="B77" s="280" t="s">
        <v>69</v>
      </c>
      <c r="C77" s="181" t="s">
        <v>729</v>
      </c>
      <c r="D77" s="197" t="s">
        <v>29</v>
      </c>
      <c r="E77" s="198" t="s">
        <v>30</v>
      </c>
      <c r="F77" s="185"/>
      <c r="G77" s="185"/>
      <c r="H77" s="185"/>
      <c r="I77" s="185"/>
      <c r="J77" s="185"/>
      <c r="K77" s="281">
        <v>826.8</v>
      </c>
      <c r="L77" s="36"/>
      <c r="M77" s="36"/>
      <c r="N77" s="36"/>
    </row>
    <row r="78" spans="1:15">
      <c r="A78" s="292" t="s">
        <v>147</v>
      </c>
      <c r="B78" s="293" t="s">
        <v>148</v>
      </c>
      <c r="C78" s="181" t="s">
        <v>729</v>
      </c>
      <c r="D78" s="197" t="s">
        <v>29</v>
      </c>
      <c r="E78" s="198" t="s">
        <v>30</v>
      </c>
      <c r="F78" s="185"/>
      <c r="G78" s="185"/>
      <c r="H78" s="185"/>
      <c r="I78" s="185"/>
      <c r="J78" s="185"/>
      <c r="K78" s="281">
        <v>1143.45</v>
      </c>
      <c r="L78" s="185"/>
      <c r="M78" s="185"/>
      <c r="N78" s="185"/>
    </row>
    <row r="79" spans="1:15">
      <c r="A79" s="289" t="s">
        <v>259</v>
      </c>
      <c r="B79" s="280" t="s">
        <v>260</v>
      </c>
      <c r="C79" s="181" t="s">
        <v>729</v>
      </c>
      <c r="D79" s="197" t="s">
        <v>29</v>
      </c>
      <c r="E79" s="198" t="s">
        <v>30</v>
      </c>
      <c r="F79" s="185"/>
      <c r="G79" s="185"/>
      <c r="H79" s="185"/>
      <c r="I79" s="185"/>
      <c r="J79" s="185"/>
      <c r="K79" s="281">
        <v>425.74</v>
      </c>
      <c r="L79" s="36"/>
      <c r="M79" s="36"/>
      <c r="N79" s="36"/>
    </row>
    <row r="80" spans="1:15">
      <c r="A80" s="279" t="s">
        <v>70</v>
      </c>
      <c r="B80" s="280" t="s">
        <v>71</v>
      </c>
      <c r="C80" s="181" t="s">
        <v>729</v>
      </c>
      <c r="D80" s="197" t="s">
        <v>29</v>
      </c>
      <c r="E80" s="198" t="s">
        <v>30</v>
      </c>
      <c r="F80" s="185"/>
      <c r="G80" s="185"/>
      <c r="H80" s="185"/>
      <c r="I80" s="185"/>
      <c r="J80" s="185"/>
      <c r="K80" s="281">
        <v>1206.4</v>
      </c>
      <c r="L80" s="185"/>
      <c r="M80" s="185"/>
      <c r="N80" s="185"/>
    </row>
    <row r="81" spans="1:15">
      <c r="A81" s="289" t="s">
        <v>261</v>
      </c>
      <c r="B81" s="280" t="s">
        <v>262</v>
      </c>
      <c r="C81" s="181" t="s">
        <v>729</v>
      </c>
      <c r="D81" s="197" t="s">
        <v>29</v>
      </c>
      <c r="E81" s="198" t="s">
        <v>30</v>
      </c>
      <c r="F81" s="185"/>
      <c r="G81" s="185"/>
      <c r="H81" s="185"/>
      <c r="I81" s="185"/>
      <c r="J81" s="185"/>
      <c r="K81" s="281">
        <v>1096.92</v>
      </c>
      <c r="L81" s="36"/>
      <c r="M81" s="36"/>
      <c r="N81" s="36"/>
    </row>
    <row r="82" spans="1:15">
      <c r="A82" s="279" t="s">
        <v>72</v>
      </c>
      <c r="B82" s="280" t="s">
        <v>73</v>
      </c>
      <c r="C82" s="181" t="s">
        <v>729</v>
      </c>
      <c r="D82" s="197" t="s">
        <v>29</v>
      </c>
      <c r="E82" s="198" t="s">
        <v>30</v>
      </c>
      <c r="F82" s="185"/>
      <c r="G82" s="185"/>
      <c r="H82" s="185"/>
      <c r="I82" s="185"/>
      <c r="J82" s="185"/>
      <c r="K82" s="281">
        <v>239.52</v>
      </c>
      <c r="L82" s="185"/>
      <c r="M82" s="185"/>
      <c r="N82" s="185"/>
    </row>
    <row r="83" spans="1:15">
      <c r="A83" s="289" t="s">
        <v>190</v>
      </c>
      <c r="B83" s="280" t="s">
        <v>191</v>
      </c>
      <c r="C83" s="181" t="s">
        <v>729</v>
      </c>
      <c r="D83" s="197" t="s">
        <v>29</v>
      </c>
      <c r="E83" s="198" t="s">
        <v>30</v>
      </c>
      <c r="F83" s="185"/>
      <c r="G83" s="185"/>
      <c r="H83" s="185"/>
      <c r="I83" s="185"/>
      <c r="J83" s="185"/>
      <c r="K83" s="281">
        <v>133.48</v>
      </c>
      <c r="L83" s="36"/>
      <c r="M83" s="36"/>
      <c r="N83" s="36"/>
    </row>
    <row r="84" spans="1:15">
      <c r="A84" s="279" t="s">
        <v>74</v>
      </c>
      <c r="B84" s="280" t="s">
        <v>75</v>
      </c>
      <c r="C84" s="181" t="s">
        <v>729</v>
      </c>
      <c r="D84" s="197" t="s">
        <v>29</v>
      </c>
      <c r="E84" s="198" t="s">
        <v>30</v>
      </c>
      <c r="F84" s="185"/>
      <c r="G84" s="185"/>
      <c r="H84" s="185"/>
      <c r="I84" s="185"/>
      <c r="J84" s="185"/>
      <c r="K84" s="281">
        <v>2912</v>
      </c>
      <c r="L84" s="185"/>
      <c r="M84" s="185"/>
      <c r="N84" s="185"/>
    </row>
    <row r="85" spans="1:15">
      <c r="A85" s="289" t="s">
        <v>390</v>
      </c>
      <c r="B85" s="291" t="s">
        <v>391</v>
      </c>
      <c r="C85" s="181" t="s">
        <v>729</v>
      </c>
      <c r="D85" s="197" t="s">
        <v>29</v>
      </c>
      <c r="E85" s="198" t="s">
        <v>30</v>
      </c>
      <c r="F85" s="185"/>
      <c r="G85" s="185"/>
      <c r="H85" s="185"/>
      <c r="I85" s="185"/>
      <c r="J85" s="185"/>
      <c r="K85" s="281">
        <v>1776.32</v>
      </c>
      <c r="L85" s="36"/>
      <c r="M85" s="36"/>
      <c r="N85" s="36"/>
    </row>
    <row r="86" spans="1:15">
      <c r="A86" s="289" t="s">
        <v>265</v>
      </c>
      <c r="B86" s="296" t="s">
        <v>266</v>
      </c>
      <c r="C86" s="181" t="s">
        <v>729</v>
      </c>
      <c r="D86" s="197" t="s">
        <v>29</v>
      </c>
      <c r="E86" s="198" t="s">
        <v>30</v>
      </c>
      <c r="F86" s="185"/>
      <c r="G86" s="185"/>
      <c r="H86" s="185"/>
      <c r="I86" s="185"/>
      <c r="J86" s="185"/>
      <c r="K86" s="281">
        <v>222.96</v>
      </c>
      <c r="L86" s="185"/>
      <c r="M86" s="185"/>
      <c r="N86" s="185"/>
    </row>
    <row r="87" spans="1:15">
      <c r="A87" s="289" t="s">
        <v>149</v>
      </c>
      <c r="B87" s="293" t="s">
        <v>150</v>
      </c>
      <c r="C87" s="181" t="s">
        <v>729</v>
      </c>
      <c r="D87" s="197" t="s">
        <v>29</v>
      </c>
      <c r="E87" s="198" t="s">
        <v>30</v>
      </c>
      <c r="F87" s="185"/>
      <c r="G87" s="185"/>
      <c r="H87" s="185"/>
      <c r="I87" s="185"/>
      <c r="J87" s="185"/>
      <c r="K87" s="281">
        <v>582.4</v>
      </c>
      <c r="L87" s="36"/>
      <c r="M87" s="36"/>
      <c r="N87" s="36"/>
    </row>
    <row r="88" spans="1:15">
      <c r="A88" s="279" t="s">
        <v>76</v>
      </c>
      <c r="B88" s="280" t="s">
        <v>77</v>
      </c>
      <c r="C88" s="181" t="s">
        <v>729</v>
      </c>
      <c r="D88" s="197" t="s">
        <v>29</v>
      </c>
      <c r="E88" s="198" t="s">
        <v>30</v>
      </c>
      <c r="F88" s="185"/>
      <c r="G88" s="185"/>
      <c r="H88" s="185"/>
      <c r="I88" s="185"/>
      <c r="J88" s="185"/>
      <c r="K88" s="281">
        <v>2223.6</v>
      </c>
      <c r="L88" s="185"/>
      <c r="M88" s="185"/>
      <c r="N88" s="185"/>
    </row>
    <row r="89" spans="1:15">
      <c r="A89" s="279" t="s">
        <v>192</v>
      </c>
      <c r="B89" s="280" t="s">
        <v>193</v>
      </c>
      <c r="C89" s="181" t="s">
        <v>729</v>
      </c>
      <c r="D89" s="197" t="s">
        <v>29</v>
      </c>
      <c r="E89" s="198" t="s">
        <v>30</v>
      </c>
      <c r="F89" s="185"/>
      <c r="G89" s="185"/>
      <c r="H89" s="185"/>
      <c r="I89" s="185"/>
      <c r="J89" s="185"/>
      <c r="K89" s="281">
        <v>3556.8</v>
      </c>
      <c r="L89" s="36"/>
      <c r="M89" s="36"/>
      <c r="N89" s="36"/>
    </row>
    <row r="90" spans="1:15">
      <c r="A90" s="279" t="s">
        <v>194</v>
      </c>
      <c r="B90" s="280" t="s">
        <v>195</v>
      </c>
      <c r="C90" s="181" t="s">
        <v>729</v>
      </c>
      <c r="D90" s="197" t="s">
        <v>29</v>
      </c>
      <c r="E90" s="198" t="s">
        <v>30</v>
      </c>
      <c r="F90" s="185"/>
      <c r="G90" s="185"/>
      <c r="H90" s="185"/>
      <c r="I90" s="185"/>
      <c r="J90" s="185"/>
      <c r="K90" s="281">
        <v>3120</v>
      </c>
      <c r="L90" s="185"/>
      <c r="M90" s="185"/>
      <c r="N90" s="185"/>
    </row>
    <row r="91" spans="1:15">
      <c r="A91" s="279"/>
      <c r="B91" s="280" t="s">
        <v>520</v>
      </c>
      <c r="C91" s="181" t="s">
        <v>729</v>
      </c>
      <c r="D91" s="197" t="s">
        <v>29</v>
      </c>
      <c r="E91" s="198" t="s">
        <v>30</v>
      </c>
      <c r="F91" s="185"/>
      <c r="G91" s="185"/>
      <c r="H91" s="185"/>
      <c r="I91" s="185"/>
      <c r="J91" s="185"/>
      <c r="K91" s="281">
        <v>17050</v>
      </c>
      <c r="L91" s="185"/>
      <c r="M91" s="185"/>
      <c r="N91" s="185"/>
    </row>
    <row r="92" spans="1:15">
      <c r="A92" s="279" t="s">
        <v>269</v>
      </c>
      <c r="B92" s="280" t="s">
        <v>270</v>
      </c>
      <c r="C92" s="181" t="s">
        <v>729</v>
      </c>
      <c r="D92" s="197" t="s">
        <v>29</v>
      </c>
      <c r="E92" s="198" t="s">
        <v>30</v>
      </c>
      <c r="F92" s="185"/>
      <c r="G92" s="185"/>
      <c r="H92" s="185"/>
      <c r="I92" s="185"/>
      <c r="J92" s="185"/>
      <c r="K92" s="281">
        <v>18221.5</v>
      </c>
      <c r="L92" s="36"/>
      <c r="M92" s="36"/>
      <c r="N92" s="36"/>
    </row>
    <row r="93" spans="1:15">
      <c r="A93" s="279" t="s">
        <v>427</v>
      </c>
      <c r="B93" s="280" t="s">
        <v>428</v>
      </c>
      <c r="C93" s="181" t="s">
        <v>729</v>
      </c>
      <c r="D93" s="197" t="s">
        <v>29</v>
      </c>
      <c r="E93" s="198" t="s">
        <v>30</v>
      </c>
      <c r="F93" s="185"/>
      <c r="G93" s="185"/>
      <c r="H93" s="185"/>
      <c r="I93" s="185"/>
      <c r="J93" s="185"/>
      <c r="K93" s="281">
        <v>22701.6</v>
      </c>
      <c r="L93" s="185"/>
      <c r="M93" s="185"/>
      <c r="N93" s="185"/>
    </row>
    <row r="94" spans="1:15">
      <c r="A94" s="279" t="s">
        <v>271</v>
      </c>
      <c r="B94" s="280" t="s">
        <v>272</v>
      </c>
      <c r="C94" s="181" t="s">
        <v>729</v>
      </c>
      <c r="D94" s="197" t="s">
        <v>29</v>
      </c>
      <c r="E94" s="198" t="s">
        <v>30</v>
      </c>
      <c r="F94" s="185"/>
      <c r="G94" s="185"/>
      <c r="H94" s="185"/>
      <c r="I94" s="185"/>
      <c r="J94" s="185"/>
      <c r="K94" s="281">
        <v>4545.42</v>
      </c>
      <c r="L94" s="36"/>
      <c r="M94" s="36"/>
      <c r="N94" s="36"/>
    </row>
    <row r="95" spans="1:15">
      <c r="A95" s="279" t="s">
        <v>78</v>
      </c>
      <c r="B95" s="280" t="s">
        <v>79</v>
      </c>
      <c r="C95" s="181" t="s">
        <v>729</v>
      </c>
      <c r="D95" s="197" t="s">
        <v>29</v>
      </c>
      <c r="E95" s="198" t="s">
        <v>30</v>
      </c>
      <c r="F95" s="185"/>
      <c r="G95" s="185"/>
      <c r="H95" s="185"/>
      <c r="I95" s="185"/>
      <c r="J95" s="185"/>
      <c r="K95" s="281">
        <v>9375.69</v>
      </c>
      <c r="L95" s="185"/>
      <c r="M95" s="185"/>
      <c r="N95" s="185"/>
    </row>
    <row r="96" spans="1:15">
      <c r="A96" s="279" t="s">
        <v>352</v>
      </c>
      <c r="B96" s="299" t="s">
        <v>353</v>
      </c>
      <c r="C96" s="181" t="s">
        <v>729</v>
      </c>
      <c r="D96" s="197" t="s">
        <v>29</v>
      </c>
      <c r="E96" s="198" t="s">
        <v>30</v>
      </c>
      <c r="F96" s="185"/>
      <c r="G96" s="185"/>
      <c r="H96" s="185"/>
      <c r="I96" s="185"/>
      <c r="J96" s="185"/>
      <c r="K96" s="281">
        <v>538.25</v>
      </c>
      <c r="L96" s="36"/>
      <c r="M96" s="36"/>
      <c r="N96" s="36"/>
    </row>
    <row r="97" spans="1:15">
      <c r="A97" s="279" t="s">
        <v>521</v>
      </c>
      <c r="B97" s="299" t="s">
        <v>522</v>
      </c>
      <c r="C97" s="181" t="s">
        <v>729</v>
      </c>
      <c r="D97" s="197" t="s">
        <v>29</v>
      </c>
      <c r="E97" s="198" t="s">
        <v>30</v>
      </c>
      <c r="F97" s="185"/>
      <c r="G97" s="185"/>
      <c r="H97" s="185"/>
      <c r="I97" s="185"/>
      <c r="J97" s="185"/>
      <c r="K97" s="281">
        <v>1961</v>
      </c>
      <c r="L97" s="185"/>
      <c r="M97" s="185"/>
      <c r="N97" s="185"/>
    </row>
    <row r="98" spans="1:15">
      <c r="A98" s="279" t="s">
        <v>80</v>
      </c>
      <c r="B98" s="280" t="s">
        <v>81</v>
      </c>
      <c r="C98" s="181" t="s">
        <v>729</v>
      </c>
      <c r="D98" s="197" t="s">
        <v>29</v>
      </c>
      <c r="E98" s="198" t="s">
        <v>30</v>
      </c>
      <c r="F98" s="185"/>
      <c r="G98" s="185"/>
      <c r="H98" s="185"/>
      <c r="I98" s="185"/>
      <c r="J98" s="185"/>
      <c r="K98" s="281">
        <v>499.2</v>
      </c>
      <c r="L98" s="36"/>
      <c r="M98" s="36"/>
      <c r="N98" s="36"/>
    </row>
    <row r="99" spans="1:15">
      <c r="A99" s="279" t="s">
        <v>82</v>
      </c>
      <c r="B99" s="280" t="s">
        <v>83</v>
      </c>
      <c r="C99" s="181" t="s">
        <v>729</v>
      </c>
      <c r="D99" s="197" t="s">
        <v>29</v>
      </c>
      <c r="E99" s="198" t="s">
        <v>30</v>
      </c>
      <c r="F99" s="185"/>
      <c r="G99" s="185"/>
      <c r="H99" s="185"/>
      <c r="I99" s="185"/>
      <c r="J99" s="185"/>
      <c r="K99" s="281">
        <v>832</v>
      </c>
      <c r="L99" s="185"/>
      <c r="M99" s="185"/>
      <c r="N99" s="185"/>
    </row>
    <row r="100" spans="1:15">
      <c r="A100" s="279" t="s">
        <v>196</v>
      </c>
      <c r="B100" s="280" t="s">
        <v>197</v>
      </c>
      <c r="C100" s="181" t="s">
        <v>729</v>
      </c>
      <c r="D100" s="197" t="s">
        <v>29</v>
      </c>
      <c r="E100" s="198" t="s">
        <v>30</v>
      </c>
      <c r="F100" s="185"/>
      <c r="G100" s="185"/>
      <c r="H100" s="185"/>
      <c r="I100" s="185"/>
      <c r="J100" s="185"/>
      <c r="K100" s="281">
        <v>3718</v>
      </c>
      <c r="L100" s="185"/>
      <c r="M100" s="185"/>
      <c r="N100" s="185"/>
    </row>
    <row r="101" spans="1:15">
      <c r="A101" s="279" t="s">
        <v>84</v>
      </c>
      <c r="B101" s="280" t="s">
        <v>85</v>
      </c>
      <c r="C101" s="181" t="s">
        <v>729</v>
      </c>
      <c r="D101" s="197" t="s">
        <v>29</v>
      </c>
      <c r="E101" s="198" t="s">
        <v>30</v>
      </c>
      <c r="F101" s="185"/>
      <c r="G101" s="185"/>
      <c r="H101" s="185"/>
      <c r="I101" s="185"/>
      <c r="J101" s="185"/>
      <c r="K101" s="281">
        <v>10358.4</v>
      </c>
      <c r="L101" s="36"/>
      <c r="M101" s="36"/>
      <c r="N101" s="36"/>
    </row>
    <row r="102" spans="1:15">
      <c r="A102" s="279" t="s">
        <v>273</v>
      </c>
      <c r="B102" s="280" t="s">
        <v>274</v>
      </c>
      <c r="C102" s="181" t="s">
        <v>729</v>
      </c>
      <c r="D102" s="197" t="s">
        <v>29</v>
      </c>
      <c r="E102" s="198" t="s">
        <v>30</v>
      </c>
      <c r="F102" s="185"/>
      <c r="G102" s="185"/>
      <c r="H102" s="185"/>
      <c r="I102" s="185"/>
      <c r="J102" s="185"/>
      <c r="K102" s="281">
        <v>4851</v>
      </c>
      <c r="L102" s="185"/>
      <c r="M102" s="185"/>
      <c r="N102" s="185"/>
    </row>
    <row r="103" spans="1:15">
      <c r="A103" s="279" t="s">
        <v>151</v>
      </c>
      <c r="B103" s="280" t="s">
        <v>152</v>
      </c>
      <c r="C103" s="181" t="s">
        <v>729</v>
      </c>
      <c r="D103" s="197" t="s">
        <v>29</v>
      </c>
      <c r="E103" s="198" t="s">
        <v>30</v>
      </c>
      <c r="F103" s="185"/>
      <c r="G103" s="185"/>
      <c r="H103" s="185"/>
      <c r="I103" s="185"/>
      <c r="J103" s="185"/>
      <c r="K103" s="281">
        <v>1672.32</v>
      </c>
      <c r="L103" s="36"/>
      <c r="M103" s="36"/>
      <c r="N103" s="36"/>
    </row>
    <row r="104" spans="1:15">
      <c r="A104" s="279"/>
      <c r="B104" s="280" t="s">
        <v>525</v>
      </c>
      <c r="C104" s="181" t="s">
        <v>729</v>
      </c>
      <c r="D104" s="197" t="s">
        <v>29</v>
      </c>
      <c r="E104" s="198" t="s">
        <v>30</v>
      </c>
      <c r="F104" s="185"/>
      <c r="G104" s="185"/>
      <c r="H104" s="185"/>
      <c r="I104" s="185"/>
      <c r="J104" s="185"/>
      <c r="K104" s="281">
        <v>18000</v>
      </c>
      <c r="L104" s="185"/>
      <c r="M104" s="185"/>
      <c r="N104" s="185"/>
    </row>
    <row r="105" spans="1:15">
      <c r="A105" s="279"/>
      <c r="B105" s="280" t="s">
        <v>526</v>
      </c>
      <c r="C105" s="181" t="s">
        <v>729</v>
      </c>
      <c r="D105" s="197" t="s">
        <v>29</v>
      </c>
      <c r="E105" s="198" t="s">
        <v>30</v>
      </c>
      <c r="F105" s="185"/>
      <c r="G105" s="185"/>
      <c r="H105" s="185"/>
      <c r="I105" s="185"/>
      <c r="J105" s="185"/>
      <c r="K105" s="281">
        <v>18000</v>
      </c>
      <c r="L105" s="36"/>
      <c r="M105" s="36"/>
      <c r="N105" s="36"/>
    </row>
    <row r="106" spans="1:15">
      <c r="A106" s="290"/>
      <c r="B106" s="291" t="s">
        <v>527</v>
      </c>
      <c r="C106" s="181" t="s">
        <v>729</v>
      </c>
      <c r="D106" s="197" t="s">
        <v>29</v>
      </c>
      <c r="E106" s="198" t="s">
        <v>30</v>
      </c>
      <c r="F106" s="185"/>
      <c r="G106" s="185"/>
      <c r="H106" s="185"/>
      <c r="I106" s="185"/>
      <c r="J106" s="185"/>
      <c r="K106" s="281">
        <v>18000</v>
      </c>
      <c r="L106" s="185"/>
      <c r="M106" s="185"/>
      <c r="N106" s="185"/>
    </row>
    <row r="107" spans="1:15">
      <c r="A107" s="292"/>
      <c r="B107" s="293" t="s">
        <v>528</v>
      </c>
      <c r="C107" s="181" t="s">
        <v>729</v>
      </c>
      <c r="D107" s="197" t="s">
        <v>29</v>
      </c>
      <c r="E107" s="198" t="s">
        <v>30</v>
      </c>
      <c r="F107" s="185"/>
      <c r="G107" s="185"/>
      <c r="H107" s="185"/>
      <c r="I107" s="185"/>
      <c r="J107" s="185"/>
      <c r="K107" s="281">
        <v>18000</v>
      </c>
      <c r="L107" s="36"/>
      <c r="M107" s="36"/>
      <c r="N107" s="36"/>
    </row>
    <row r="108" spans="1:15">
      <c r="A108" s="279"/>
      <c r="B108" s="280" t="s">
        <v>529</v>
      </c>
      <c r="C108" s="181" t="s">
        <v>729</v>
      </c>
      <c r="D108" s="197" t="s">
        <v>29</v>
      </c>
      <c r="E108" s="198" t="s">
        <v>30</v>
      </c>
      <c r="F108" s="185"/>
      <c r="G108" s="185"/>
      <c r="H108" s="185"/>
      <c r="I108" s="185"/>
      <c r="J108" s="185"/>
      <c r="K108" s="281">
        <v>18000</v>
      </c>
      <c r="L108" s="185"/>
      <c r="M108" s="185"/>
      <c r="N108" s="185"/>
    </row>
    <row r="109" spans="1:15">
      <c r="A109" s="279"/>
      <c r="B109" s="280" t="s">
        <v>530</v>
      </c>
      <c r="C109" s="181" t="s">
        <v>729</v>
      </c>
      <c r="D109" s="197" t="s">
        <v>29</v>
      </c>
      <c r="E109" s="198" t="s">
        <v>30</v>
      </c>
      <c r="F109" s="185"/>
      <c r="G109" s="185"/>
      <c r="H109" s="185"/>
      <c r="I109" s="185"/>
      <c r="J109" s="185"/>
      <c r="K109" s="281">
        <v>21600</v>
      </c>
      <c r="L109" s="36"/>
      <c r="M109" s="36"/>
      <c r="N109" s="36"/>
    </row>
    <row r="110" spans="1:15">
      <c r="A110" s="279"/>
      <c r="B110" s="280" t="s">
        <v>531</v>
      </c>
      <c r="C110" s="181" t="s">
        <v>729</v>
      </c>
      <c r="D110" s="197" t="s">
        <v>29</v>
      </c>
      <c r="E110" s="198" t="s">
        <v>30</v>
      </c>
      <c r="F110" s="185"/>
      <c r="G110" s="185"/>
      <c r="H110" s="185"/>
      <c r="I110" s="185"/>
      <c r="J110" s="185"/>
      <c r="K110" s="281">
        <v>21600</v>
      </c>
      <c r="L110" s="185"/>
      <c r="M110" s="185"/>
      <c r="N110" s="185"/>
    </row>
    <row r="111" spans="1:15">
      <c r="A111" s="279"/>
      <c r="B111" s="280" t="s">
        <v>532</v>
      </c>
      <c r="C111" s="181" t="s">
        <v>729</v>
      </c>
      <c r="D111" s="197" t="s">
        <v>29</v>
      </c>
      <c r="E111" s="198" t="s">
        <v>30</v>
      </c>
      <c r="F111" s="185"/>
      <c r="G111" s="185"/>
      <c r="H111" s="185"/>
      <c r="I111" s="185"/>
      <c r="J111" s="185"/>
      <c r="K111" s="281">
        <v>21600</v>
      </c>
      <c r="L111" s="36"/>
      <c r="M111" s="36"/>
      <c r="N111" s="36"/>
    </row>
    <row r="112" spans="1:15">
      <c r="A112" s="279"/>
      <c r="B112" s="280" t="s">
        <v>533</v>
      </c>
      <c r="C112" s="181" t="s">
        <v>729</v>
      </c>
      <c r="D112" s="197" t="s">
        <v>29</v>
      </c>
      <c r="E112" s="198" t="s">
        <v>30</v>
      </c>
      <c r="F112" s="185"/>
      <c r="G112" s="185"/>
      <c r="H112" s="185"/>
      <c r="I112" s="185"/>
      <c r="J112" s="185"/>
      <c r="K112" s="281">
        <v>15000</v>
      </c>
      <c r="L112" s="185"/>
      <c r="M112" s="185"/>
      <c r="N112" s="185"/>
    </row>
    <row r="113" spans="1:15">
      <c r="A113" s="279"/>
      <c r="B113" s="280" t="s">
        <v>534</v>
      </c>
      <c r="C113" s="181" t="s">
        <v>729</v>
      </c>
      <c r="D113" s="197" t="s">
        <v>29</v>
      </c>
      <c r="E113" s="198" t="s">
        <v>30</v>
      </c>
      <c r="F113" s="185"/>
      <c r="G113" s="185"/>
      <c r="H113" s="185"/>
      <c r="I113" s="185"/>
      <c r="J113" s="185"/>
      <c r="K113" s="281">
        <v>94800</v>
      </c>
      <c r="L113" s="36"/>
      <c r="M113" s="36"/>
      <c r="N113" s="36"/>
    </row>
    <row r="114" spans="1:15">
      <c r="A114" s="279"/>
      <c r="B114" s="280" t="s">
        <v>730</v>
      </c>
      <c r="C114" s="181" t="s">
        <v>729</v>
      </c>
      <c r="D114" s="197" t="s">
        <v>29</v>
      </c>
      <c r="E114" s="198" t="s">
        <v>30</v>
      </c>
      <c r="F114" s="185"/>
      <c r="G114" s="185"/>
      <c r="H114" s="185"/>
      <c r="I114" s="185"/>
      <c r="J114" s="185"/>
      <c r="K114" s="281">
        <v>6960</v>
      </c>
      <c r="L114" s="185"/>
      <c r="M114" s="185"/>
      <c r="N114" s="185"/>
    </row>
    <row r="115" spans="1:15">
      <c r="A115" s="279"/>
      <c r="B115" s="280" t="s">
        <v>536</v>
      </c>
      <c r="C115" s="181" t="s">
        <v>729</v>
      </c>
      <c r="D115" s="197" t="s">
        <v>29</v>
      </c>
      <c r="E115" s="198" t="s">
        <v>30</v>
      </c>
      <c r="F115" s="185"/>
      <c r="G115" s="185"/>
      <c r="H115" s="185"/>
      <c r="I115" s="185"/>
      <c r="J115" s="185"/>
      <c r="K115" s="281">
        <v>9800</v>
      </c>
      <c r="L115" s="36"/>
      <c r="M115" s="36"/>
      <c r="N115" s="36"/>
    </row>
    <row r="116" spans="1:15">
      <c r="A116" s="292"/>
      <c r="B116" s="300" t="s">
        <v>537</v>
      </c>
      <c r="C116" s="181" t="s">
        <v>729</v>
      </c>
      <c r="D116" s="197" t="s">
        <v>29</v>
      </c>
      <c r="E116" s="198" t="s">
        <v>30</v>
      </c>
      <c r="F116" s="185"/>
      <c r="G116" s="185"/>
      <c r="H116" s="185"/>
      <c r="I116" s="185"/>
      <c r="J116" s="185"/>
      <c r="K116" s="281">
        <v>240000</v>
      </c>
      <c r="L116" s="185"/>
      <c r="M116" s="185"/>
      <c r="N116" s="185"/>
    </row>
    <row r="117" spans="1:15">
      <c r="A117" s="279"/>
      <c r="B117" s="301" t="s">
        <v>538</v>
      </c>
      <c r="C117" s="181" t="s">
        <v>729</v>
      </c>
      <c r="D117" s="197" t="s">
        <v>29</v>
      </c>
      <c r="E117" s="198" t="s">
        <v>30</v>
      </c>
      <c r="F117" s="185"/>
      <c r="G117" s="185"/>
      <c r="H117" s="185"/>
      <c r="I117" s="185"/>
      <c r="J117" s="185"/>
      <c r="K117" s="281">
        <v>18400</v>
      </c>
      <c r="L117" s="36"/>
      <c r="M117" s="36"/>
      <c r="N117" s="36"/>
    </row>
    <row r="118" spans="1:15">
      <c r="A118" s="279"/>
      <c r="B118" s="301" t="s">
        <v>539</v>
      </c>
      <c r="C118" s="181" t="s">
        <v>729</v>
      </c>
      <c r="D118" s="197" t="s">
        <v>29</v>
      </c>
      <c r="E118" s="198" t="s">
        <v>30</v>
      </c>
      <c r="F118" s="185"/>
      <c r="G118" s="185"/>
      <c r="H118" s="185"/>
      <c r="I118" s="185"/>
      <c r="J118" s="185"/>
      <c r="K118" s="281">
        <v>36000</v>
      </c>
      <c r="L118" s="185"/>
      <c r="M118" s="185"/>
      <c r="N118" s="185"/>
    </row>
    <row r="119" spans="1:15">
      <c r="A119" s="279"/>
      <c r="B119" s="301" t="s">
        <v>731</v>
      </c>
      <c r="C119" s="181" t="s">
        <v>729</v>
      </c>
      <c r="D119" s="197" t="s">
        <v>29</v>
      </c>
      <c r="E119" s="198" t="s">
        <v>30</v>
      </c>
      <c r="F119" s="185"/>
      <c r="G119" s="185"/>
      <c r="H119" s="185"/>
      <c r="I119" s="185"/>
      <c r="J119" s="185"/>
      <c r="K119" s="281">
        <v>10440</v>
      </c>
      <c r="L119" s="36"/>
      <c r="M119" s="36"/>
      <c r="N119" s="36"/>
    </row>
    <row r="120" spans="1:15">
      <c r="A120" s="279"/>
      <c r="B120" s="301" t="s">
        <v>541</v>
      </c>
      <c r="C120" s="181" t="s">
        <v>729</v>
      </c>
      <c r="D120" s="197" t="s">
        <v>29</v>
      </c>
      <c r="E120" s="198" t="s">
        <v>30</v>
      </c>
      <c r="F120" s="185"/>
      <c r="G120" s="185"/>
      <c r="H120" s="185"/>
      <c r="I120" s="185"/>
      <c r="J120" s="185"/>
      <c r="K120" s="281">
        <v>33250</v>
      </c>
      <c r="L120" s="185"/>
      <c r="M120" s="185"/>
      <c r="N120" s="185"/>
    </row>
    <row r="121" spans="1:15">
      <c r="A121" s="279"/>
      <c r="B121" s="301" t="s">
        <v>732</v>
      </c>
      <c r="C121" s="181" t="s">
        <v>729</v>
      </c>
      <c r="D121" s="197" t="s">
        <v>29</v>
      </c>
      <c r="E121" s="198" t="s">
        <v>30</v>
      </c>
      <c r="F121" s="185"/>
      <c r="G121" s="185"/>
      <c r="H121" s="185"/>
      <c r="I121" s="185"/>
      <c r="J121" s="185"/>
      <c r="K121" s="281">
        <v>2000</v>
      </c>
      <c r="L121" s="36"/>
      <c r="M121" s="36"/>
      <c r="N121" s="36"/>
    </row>
    <row r="122" spans="1:15">
      <c r="A122" s="279"/>
      <c r="B122" s="301" t="s">
        <v>733</v>
      </c>
      <c r="C122" s="181" t="s">
        <v>729</v>
      </c>
      <c r="D122" s="197" t="s">
        <v>29</v>
      </c>
      <c r="E122" s="198" t="s">
        <v>30</v>
      </c>
      <c r="F122" s="185"/>
      <c r="G122" s="185"/>
      <c r="H122" s="185"/>
      <c r="I122" s="185"/>
      <c r="J122" s="185"/>
      <c r="K122" s="281">
        <v>9600</v>
      </c>
      <c r="L122" s="185"/>
      <c r="M122" s="185"/>
      <c r="N122" s="185"/>
    </row>
    <row r="123" spans="1:15">
      <c r="A123" s="279"/>
      <c r="B123" s="301" t="s">
        <v>734</v>
      </c>
      <c r="C123" s="181" t="s">
        <v>729</v>
      </c>
      <c r="D123" s="197" t="s">
        <v>29</v>
      </c>
      <c r="E123" s="198" t="s">
        <v>30</v>
      </c>
      <c r="F123" s="185"/>
      <c r="G123" s="185"/>
      <c r="H123" s="185"/>
      <c r="I123" s="185"/>
      <c r="J123" s="185"/>
      <c r="K123" s="281">
        <v>1632</v>
      </c>
      <c r="L123" s="36"/>
      <c r="M123" s="36"/>
      <c r="N123" s="36"/>
    </row>
    <row r="124" spans="1:15">
      <c r="A124" s="279"/>
      <c r="B124" s="301" t="s">
        <v>280</v>
      </c>
      <c r="C124" s="181" t="s">
        <v>729</v>
      </c>
      <c r="D124" s="197" t="s">
        <v>29</v>
      </c>
      <c r="E124" s="198" t="s">
        <v>30</v>
      </c>
      <c r="F124" s="185"/>
      <c r="G124" s="185"/>
      <c r="H124" s="185"/>
      <c r="I124" s="185"/>
      <c r="J124" s="185"/>
      <c r="K124" s="281">
        <v>4752</v>
      </c>
      <c r="L124" s="185"/>
      <c r="M124" s="185"/>
      <c r="N124" s="185"/>
    </row>
    <row r="125" spans="1:15">
      <c r="A125" s="303"/>
      <c r="B125" s="301" t="s">
        <v>735</v>
      </c>
      <c r="C125" s="181" t="s">
        <v>729</v>
      </c>
      <c r="D125" s="197" t="s">
        <v>29</v>
      </c>
      <c r="E125" s="198" t="s">
        <v>30</v>
      </c>
      <c r="F125" s="185"/>
      <c r="G125" s="185"/>
      <c r="H125" s="185"/>
      <c r="I125" s="185"/>
      <c r="J125" s="185"/>
      <c r="K125" s="281">
        <v>300</v>
      </c>
      <c r="L125" s="185"/>
      <c r="M125" s="185"/>
      <c r="N125" s="185"/>
    </row>
    <row r="126" spans="1:15">
      <c r="A126" s="303"/>
      <c r="B126" s="301" t="s">
        <v>736</v>
      </c>
      <c r="C126" s="181" t="s">
        <v>729</v>
      </c>
      <c r="D126" s="197" t="s">
        <v>29</v>
      </c>
      <c r="E126" s="198" t="s">
        <v>30</v>
      </c>
      <c r="F126" s="185"/>
      <c r="G126" s="185"/>
      <c r="H126" s="185"/>
      <c r="I126" s="185"/>
      <c r="J126" s="185"/>
      <c r="K126" s="281">
        <v>3552</v>
      </c>
      <c r="L126" s="36"/>
      <c r="M126" s="36"/>
      <c r="N126" s="36"/>
    </row>
    <row r="127" spans="1:15">
      <c r="A127" s="303"/>
      <c r="B127" s="301" t="s">
        <v>737</v>
      </c>
      <c r="C127" s="181" t="s">
        <v>729</v>
      </c>
      <c r="D127" s="197" t="s">
        <v>29</v>
      </c>
      <c r="E127" s="198" t="s">
        <v>30</v>
      </c>
      <c r="F127" s="185"/>
      <c r="G127" s="185"/>
      <c r="H127" s="185"/>
      <c r="I127" s="185"/>
      <c r="J127" s="185"/>
      <c r="K127" s="281">
        <v>1595</v>
      </c>
      <c r="L127" s="185"/>
      <c r="M127" s="185"/>
      <c r="N127" s="185"/>
    </row>
    <row r="128" spans="1:15">
      <c r="A128" s="303"/>
      <c r="B128" s="301" t="s">
        <v>738</v>
      </c>
      <c r="C128" s="181" t="s">
        <v>729</v>
      </c>
      <c r="D128" s="197" t="s">
        <v>29</v>
      </c>
      <c r="E128" s="198" t="s">
        <v>30</v>
      </c>
      <c r="F128" s="185"/>
      <c r="G128" s="185"/>
      <c r="H128" s="185"/>
      <c r="I128" s="185"/>
      <c r="J128" s="185"/>
      <c r="K128" s="281">
        <v>3600</v>
      </c>
      <c r="L128" s="36"/>
      <c r="M128" s="36"/>
      <c r="N128" s="36"/>
    </row>
    <row r="129" spans="1:15">
      <c r="A129" s="303"/>
      <c r="B129" s="301" t="s">
        <v>739</v>
      </c>
      <c r="C129" s="181" t="s">
        <v>729</v>
      </c>
      <c r="D129" s="197" t="s">
        <v>29</v>
      </c>
      <c r="E129" s="198" t="s">
        <v>30</v>
      </c>
      <c r="F129" s="185"/>
      <c r="G129" s="185"/>
      <c r="H129" s="185"/>
      <c r="I129" s="185"/>
      <c r="J129" s="185"/>
      <c r="K129" s="281">
        <v>3200</v>
      </c>
      <c r="L129" s="185"/>
      <c r="M129" s="185"/>
      <c r="N129" s="185"/>
    </row>
    <row r="130" spans="1:15">
      <c r="A130" s="303"/>
      <c r="B130" s="301" t="s">
        <v>740</v>
      </c>
      <c r="C130" s="181" t="s">
        <v>729</v>
      </c>
      <c r="D130" s="197" t="s">
        <v>29</v>
      </c>
      <c r="E130" s="198" t="s">
        <v>30</v>
      </c>
      <c r="F130" s="185"/>
      <c r="G130" s="185"/>
      <c r="H130" s="185"/>
      <c r="I130" s="185"/>
      <c r="J130" s="185"/>
      <c r="K130" s="281">
        <v>560</v>
      </c>
      <c r="L130" s="36"/>
      <c r="M130" s="36"/>
      <c r="N130" s="36"/>
    </row>
    <row r="131" spans="1:15">
      <c r="A131" s="304"/>
      <c r="B131" s="302" t="s">
        <v>741</v>
      </c>
      <c r="C131" s="181" t="s">
        <v>729</v>
      </c>
      <c r="D131" s="197" t="s">
        <v>29</v>
      </c>
      <c r="E131" s="198" t="s">
        <v>30</v>
      </c>
      <c r="F131" s="185"/>
      <c r="G131" s="185"/>
      <c r="H131" s="185"/>
      <c r="I131" s="185"/>
      <c r="J131" s="185"/>
      <c r="K131" s="305">
        <v>500</v>
      </c>
      <c r="L131" s="185"/>
      <c r="M131" s="185"/>
      <c r="N131" s="185"/>
    </row>
    <row r="132" spans="1:15">
      <c r="A132" s="306"/>
      <c r="B132" s="307" t="s">
        <v>554</v>
      </c>
      <c r="C132" s="181" t="s">
        <v>729</v>
      </c>
      <c r="D132" s="197" t="s">
        <v>29</v>
      </c>
      <c r="E132" s="198" t="s">
        <v>30</v>
      </c>
      <c r="F132" s="185"/>
      <c r="G132" s="185"/>
      <c r="H132" s="185"/>
      <c r="I132" s="185"/>
      <c r="J132" s="185"/>
      <c r="K132" s="308">
        <v>96000</v>
      </c>
      <c r="L132" s="36"/>
      <c r="M132" s="36"/>
      <c r="N132" s="36"/>
    </row>
    <row r="133" spans="1:15">
      <c r="A133" s="306"/>
      <c r="B133" s="307" t="s">
        <v>742</v>
      </c>
      <c r="C133" s="181" t="s">
        <v>729</v>
      </c>
      <c r="D133" s="197" t="s">
        <v>29</v>
      </c>
      <c r="E133" s="198" t="s">
        <v>30</v>
      </c>
      <c r="F133" s="185"/>
      <c r="G133" s="185"/>
      <c r="H133" s="185"/>
      <c r="I133" s="185"/>
      <c r="J133" s="185"/>
      <c r="K133" s="309">
        <v>7200</v>
      </c>
      <c r="L133" s="185"/>
      <c r="M133" s="185"/>
      <c r="N133" s="185"/>
    </row>
    <row r="134" spans="1:15">
      <c r="A134" s="310"/>
      <c r="B134" s="307" t="s">
        <v>282</v>
      </c>
      <c r="C134" s="181" t="s">
        <v>729</v>
      </c>
      <c r="D134" s="197" t="s">
        <v>29</v>
      </c>
      <c r="E134" s="198" t="s">
        <v>30</v>
      </c>
      <c r="F134" s="185"/>
      <c r="G134" s="185"/>
      <c r="H134" s="185"/>
      <c r="I134" s="185"/>
      <c r="J134" s="185"/>
      <c r="K134" s="308">
        <v>4800</v>
      </c>
      <c r="L134" s="36"/>
      <c r="M134" s="36"/>
      <c r="N134" s="36"/>
    </row>
    <row r="135" spans="1:15">
      <c r="A135" s="306"/>
      <c r="B135" s="307" t="s">
        <v>743</v>
      </c>
      <c r="C135" s="181" t="s">
        <v>729</v>
      </c>
      <c r="D135" s="197" t="s">
        <v>29</v>
      </c>
      <c r="E135" s="198" t="s">
        <v>30</v>
      </c>
      <c r="F135" s="185"/>
      <c r="G135" s="185"/>
      <c r="H135" s="185"/>
      <c r="I135" s="185"/>
      <c r="J135" s="185"/>
      <c r="K135" s="309">
        <v>5400</v>
      </c>
      <c r="L135" s="185"/>
      <c r="M135" s="185"/>
      <c r="N135" s="185"/>
    </row>
    <row r="136" spans="1:15">
      <c r="A136" s="306"/>
      <c r="B136" s="307" t="s">
        <v>744</v>
      </c>
      <c r="C136" s="181" t="s">
        <v>729</v>
      </c>
      <c r="D136" s="197" t="s">
        <v>29</v>
      </c>
      <c r="E136" s="198" t="s">
        <v>30</v>
      </c>
      <c r="F136" s="185"/>
      <c r="G136" s="185"/>
      <c r="H136" s="185"/>
      <c r="I136" s="185"/>
      <c r="J136" s="185"/>
      <c r="K136" s="308">
        <v>4000</v>
      </c>
      <c r="L136" s="36"/>
      <c r="M136" s="36"/>
      <c r="N136" s="36"/>
    </row>
    <row r="137" spans="1:15">
      <c r="A137" s="306"/>
      <c r="B137" s="307" t="s">
        <v>745</v>
      </c>
      <c r="C137" s="181" t="s">
        <v>729</v>
      </c>
      <c r="D137" s="197" t="s">
        <v>29</v>
      </c>
      <c r="E137" s="198" t="s">
        <v>30</v>
      </c>
      <c r="F137" s="185"/>
      <c r="G137" s="185"/>
      <c r="H137" s="185"/>
      <c r="I137" s="185"/>
      <c r="J137" s="185"/>
      <c r="K137" s="308">
        <v>5000</v>
      </c>
      <c r="L137" s="185"/>
      <c r="M137" s="185"/>
      <c r="N137" s="185"/>
    </row>
    <row r="138" spans="1:15">
      <c r="A138" s="311"/>
      <c r="B138" s="312" t="s">
        <v>746</v>
      </c>
      <c r="C138" s="282" t="s">
        <v>729</v>
      </c>
      <c r="D138" s="283" t="s">
        <v>29</v>
      </c>
      <c r="E138" s="284" t="s">
        <v>30</v>
      </c>
      <c r="F138" s="285"/>
      <c r="G138" s="285"/>
      <c r="H138" s="285"/>
      <c r="I138" s="285"/>
      <c r="J138" s="285"/>
      <c r="K138" s="313">
        <v>60000</v>
      </c>
      <c r="L138" s="166"/>
      <c r="M138" s="166"/>
      <c r="N138" s="166"/>
    </row>
    <row r="139" spans="1:15" s="187" customFormat="1">
      <c r="A139" s="286" t="s">
        <v>560</v>
      </c>
      <c r="B139" s="286"/>
      <c r="C139" s="286"/>
      <c r="D139" s="286"/>
      <c r="E139" s="286"/>
      <c r="F139" s="286"/>
      <c r="G139" s="286"/>
      <c r="H139" s="286"/>
      <c r="I139" s="286"/>
      <c r="J139" s="286"/>
      <c r="K139" s="315">
        <f>SUM(K12:K138)</f>
        <v>1082707.44</v>
      </c>
      <c r="L139" s="286"/>
      <c r="M139" s="286"/>
      <c r="N139" s="2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N10:N11"/>
    <mergeCell ref="A3:M3"/>
    <mergeCell ref="A10:A11"/>
    <mergeCell ref="B10:B11"/>
    <mergeCell ref="C10:C11"/>
    <mergeCell ref="D10:D11"/>
    <mergeCell ref="E10:E11"/>
    <mergeCell ref="F10:I10"/>
    <mergeCell ref="J10:J11"/>
    <mergeCell ref="K10:M10"/>
  </mergeCells>
  <printOptions gridLines="false" gridLinesSet="true"/>
  <pageMargins left="0.5" right="0.5" top="0.5" bottom="0.5" header="0.3" footer="0.3"/>
  <pageSetup paperSize="9" orientation="landscape" scale="55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0" workbookViewId="0" showGridLines="true" showRowColHeaders="1">
      <selection activeCell="I8" sqref="I8"/>
    </sheetView>
  </sheetViews>
  <sheetFormatPr defaultRowHeight="14.4" outlineLevelRow="0" outlineLevelCol="0"/>
  <sheetData>
    <row r="1" spans="1:3">
      <c r="A1" s="20" t="s">
        <v>747</v>
      </c>
      <c r="B1" s="20" t="s">
        <v>748</v>
      </c>
      <c r="C1" t="s">
        <v>749</v>
      </c>
    </row>
    <row r="2" spans="1:3">
      <c r="A2" s="20" t="s">
        <v>750</v>
      </c>
      <c r="B2" s="20" t="s">
        <v>751</v>
      </c>
      <c r="C2" t="s">
        <v>752</v>
      </c>
    </row>
    <row r="3" spans="1:3">
      <c r="A3" s="20" t="s">
        <v>753</v>
      </c>
      <c r="B3" s="20" t="s">
        <v>754</v>
      </c>
    </row>
    <row r="4" spans="1:3">
      <c r="A4" s="20" t="s">
        <v>755</v>
      </c>
      <c r="B4" s="20" t="s">
        <v>756</v>
      </c>
    </row>
    <row r="5" spans="1:3">
      <c r="A5" s="20" t="s">
        <v>30</v>
      </c>
      <c r="B5" s="20" t="s">
        <v>757</v>
      </c>
    </row>
    <row r="6" spans="1:3">
      <c r="A6" s="20" t="s">
        <v>758</v>
      </c>
      <c r="B6" s="20" t="s">
        <v>759</v>
      </c>
    </row>
    <row r="7" spans="1:3">
      <c r="A7" s="20" t="s">
        <v>760</v>
      </c>
      <c r="B7" s="20"/>
    </row>
    <row r="8" spans="1:3" customHeight="1" ht="93">
      <c r="A8" s="21" t="s">
        <v>761</v>
      </c>
      <c r="B8" s="20"/>
    </row>
    <row r="9" spans="1:3">
      <c r="A9" s="20" t="s">
        <v>762</v>
      </c>
    </row>
    <row r="10" spans="1:3">
      <c r="A10" s="20" t="s">
        <v>763</v>
      </c>
    </row>
    <row r="11" spans="1:3">
      <c r="A11" s="20" t="s">
        <v>764</v>
      </c>
      <c r="B11" s="20"/>
    </row>
    <row r="12" spans="1:3">
      <c r="A12" s="20" t="s">
        <v>765</v>
      </c>
    </row>
    <row r="13" spans="1:3">
      <c r="A13" s="20" t="s">
        <v>766</v>
      </c>
    </row>
    <row r="14" spans="1:3">
      <c r="A14" s="20" t="s">
        <v>767</v>
      </c>
    </row>
    <row r="15" spans="1:3">
      <c r="A15" s="20" t="s">
        <v>768</v>
      </c>
      <c r="B15" s="20"/>
    </row>
    <row r="16" spans="1:3">
      <c r="A16" s="20" t="s">
        <v>769</v>
      </c>
    </row>
    <row r="17" spans="1:3">
      <c r="A17" s="20" t="s">
        <v>770</v>
      </c>
    </row>
    <row r="18" spans="1:3">
      <c r="A18" s="20" t="s">
        <v>771</v>
      </c>
    </row>
    <row r="19" spans="1:3">
      <c r="A19" s="20" t="s">
        <v>772</v>
      </c>
    </row>
    <row r="20" spans="1:3">
      <c r="A20" s="20" t="s">
        <v>773</v>
      </c>
    </row>
    <row r="21" spans="1:3">
      <c r="A21" t="s">
        <v>774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35"/>
  <sheetViews>
    <sheetView tabSelected="0" workbookViewId="0" zoomScale="160" zoomScaleNormal="160" showGridLines="true" showRowColHeaders="1">
      <selection activeCell="I25" sqref="I25"/>
    </sheetView>
  </sheetViews>
  <sheetFormatPr defaultRowHeight="14.4" outlineLevelRow="0" outlineLevelCol="0"/>
  <cols>
    <col min="1" max="1" width="22" customWidth="true" style="11"/>
    <col min="2" max="2" width="22" customWidth="true" style="11"/>
    <col min="3" max="3" width="7.28515625" customWidth="true" style="11"/>
    <col min="4" max="4" width="21.28515625" customWidth="true" style="11"/>
    <col min="5" max="5" width="13.140625" customWidth="true" style="11"/>
    <col min="6" max="6" width="8.85546875" customWidth="true" style="11"/>
  </cols>
  <sheetData>
    <row r="1" spans="1:6">
      <c r="A1" s="17" t="s">
        <v>775</v>
      </c>
      <c r="B1" s="9"/>
      <c r="C1" s="10"/>
      <c r="D1" s="10"/>
    </row>
    <row r="2" spans="1:6">
      <c r="A2" s="12"/>
      <c r="B2" s="12"/>
      <c r="C2" s="12"/>
      <c r="D2" s="12"/>
    </row>
    <row r="3" spans="1:6">
      <c r="A3" s="368" t="s">
        <v>776</v>
      </c>
      <c r="B3" s="368"/>
      <c r="C3" s="368"/>
      <c r="D3" s="368"/>
      <c r="E3" s="368"/>
    </row>
    <row r="4" spans="1:6">
      <c r="A4" s="13"/>
      <c r="B4" s="13"/>
      <c r="C4" s="13"/>
      <c r="D4" s="13"/>
    </row>
    <row r="5" spans="1:6">
      <c r="A5" s="18" t="s">
        <v>2</v>
      </c>
      <c r="B5" s="379">
        <v>1</v>
      </c>
      <c r="C5" s="379"/>
      <c r="D5" s="1" t="s">
        <v>3</v>
      </c>
      <c r="E5" s="19">
        <v>2023</v>
      </c>
    </row>
    <row r="6" spans="1:6">
      <c r="A6" s="1" t="s">
        <v>4</v>
      </c>
      <c r="B6" s="380" t="s">
        <v>5</v>
      </c>
      <c r="C6" s="380"/>
      <c r="D6" s="1" t="s">
        <v>6</v>
      </c>
      <c r="E6" s="11" t="s">
        <v>777</v>
      </c>
    </row>
    <row r="7" spans="1:6">
      <c r="A7" s="1" t="s">
        <v>8</v>
      </c>
      <c r="B7" s="380" t="s">
        <v>9</v>
      </c>
      <c r="C7" s="380"/>
    </row>
    <row r="9" spans="1:6" customHeight="1" ht="14.45">
      <c r="A9" s="381" t="s">
        <v>778</v>
      </c>
      <c r="B9" s="382"/>
      <c r="C9" s="382"/>
      <c r="D9" s="382"/>
      <c r="E9" s="383"/>
    </row>
    <row r="10" spans="1:6">
      <c r="A10" s="384"/>
      <c r="B10" s="385"/>
      <c r="C10" s="385"/>
      <c r="D10" s="385"/>
      <c r="E10" s="386"/>
    </row>
    <row r="11" spans="1:6">
      <c r="A11" s="276" t="s">
        <v>779</v>
      </c>
      <c r="B11" s="377" t="s">
        <v>780</v>
      </c>
      <c r="C11" s="378"/>
      <c r="D11" s="377" t="s">
        <v>781</v>
      </c>
      <c r="E11" s="378"/>
    </row>
    <row r="12" spans="1:6">
      <c r="A12" s="277" t="s">
        <v>28</v>
      </c>
      <c r="B12" s="392" t="s">
        <v>782</v>
      </c>
      <c r="C12" s="388"/>
      <c r="D12" s="366">
        <v>38365.86</v>
      </c>
      <c r="E12" s="367"/>
    </row>
    <row r="13" spans="1:6" customHeight="1" ht="15.75">
      <c r="A13" s="278" t="s">
        <v>109</v>
      </c>
      <c r="B13" s="392" t="s">
        <v>783</v>
      </c>
      <c r="C13" s="388"/>
      <c r="D13" s="366">
        <v>41376.01</v>
      </c>
      <c r="E13" s="367"/>
    </row>
    <row r="14" spans="1:6" customHeight="1" ht="15.75">
      <c r="A14" s="278" t="s">
        <v>238</v>
      </c>
      <c r="B14" s="392" t="s">
        <v>784</v>
      </c>
      <c r="C14" s="393"/>
      <c r="D14" s="366">
        <v>89781.57</v>
      </c>
      <c r="E14" s="367"/>
    </row>
    <row r="15" spans="1:6" customHeight="1" ht="15.75">
      <c r="A15" s="278" t="s">
        <v>169</v>
      </c>
      <c r="B15" s="392" t="s">
        <v>785</v>
      </c>
      <c r="C15" s="388"/>
      <c r="D15" s="366">
        <v>49941.067</v>
      </c>
      <c r="E15" s="367"/>
    </row>
    <row r="16" spans="1:6" customHeight="1" ht="15.75">
      <c r="A16" s="278" t="s">
        <v>295</v>
      </c>
      <c r="B16" s="392" t="s">
        <v>786</v>
      </c>
      <c r="C16" s="388"/>
      <c r="D16" s="366">
        <v>32887.27</v>
      </c>
      <c r="E16" s="367"/>
    </row>
    <row r="17" spans="1:6" customHeight="1" ht="15.75">
      <c r="A17" s="278" t="s">
        <v>297</v>
      </c>
      <c r="B17" s="392" t="s">
        <v>787</v>
      </c>
      <c r="C17" s="388"/>
      <c r="D17" s="366">
        <v>65012.58</v>
      </c>
      <c r="E17" s="367"/>
    </row>
    <row r="18" spans="1:6" customHeight="1" ht="15.75">
      <c r="A18" s="278" t="s">
        <v>344</v>
      </c>
      <c r="B18" s="392" t="s">
        <v>788</v>
      </c>
      <c r="C18" s="388"/>
      <c r="D18" s="366">
        <v>68400.06</v>
      </c>
      <c r="E18" s="367"/>
    </row>
    <row r="19" spans="1:6" customHeight="1" ht="15.75">
      <c r="A19" s="278" t="s">
        <v>389</v>
      </c>
      <c r="B19" s="392" t="s">
        <v>789</v>
      </c>
      <c r="C19" s="388"/>
      <c r="D19" s="366">
        <v>41394.49</v>
      </c>
      <c r="E19" s="367"/>
    </row>
    <row r="20" spans="1:6" customHeight="1" ht="15.75">
      <c r="A20" s="278" t="s">
        <v>416</v>
      </c>
      <c r="B20" s="394" t="s">
        <v>790</v>
      </c>
      <c r="C20" s="393"/>
      <c r="D20" s="366">
        <v>133956.23</v>
      </c>
      <c r="E20" s="367"/>
    </row>
    <row r="21" spans="1:6" customHeight="1" ht="15.75">
      <c r="A21" s="278" t="s">
        <v>444</v>
      </c>
      <c r="B21" s="392" t="s">
        <v>791</v>
      </c>
      <c r="C21" s="388"/>
      <c r="D21" s="366">
        <v>38203.84</v>
      </c>
      <c r="E21" s="367"/>
    </row>
    <row r="22" spans="1:6" customHeight="1" ht="15.75">
      <c r="A22" s="278" t="s">
        <v>469</v>
      </c>
      <c r="B22" s="392" t="s">
        <v>792</v>
      </c>
      <c r="C22" s="388"/>
      <c r="D22" s="366">
        <v>2662263.9</v>
      </c>
      <c r="E22" s="367"/>
    </row>
    <row r="23" spans="1:6" customHeight="1" ht="15.75">
      <c r="A23" s="278" t="s">
        <v>561</v>
      </c>
      <c r="B23" s="392" t="s">
        <v>793</v>
      </c>
      <c r="C23" s="388"/>
      <c r="D23" s="366">
        <v>1706572.39</v>
      </c>
      <c r="E23" s="367"/>
    </row>
    <row r="24" spans="1:6" customHeight="1" ht="15.75">
      <c r="A24" s="278" t="s">
        <v>686</v>
      </c>
      <c r="B24" s="394" t="s">
        <v>794</v>
      </c>
      <c r="C24" s="393"/>
      <c r="D24" s="366">
        <v>67997.1</v>
      </c>
      <c r="E24" s="367"/>
    </row>
    <row r="25" spans="1:6" customHeight="1" ht="15.75">
      <c r="A25" s="278" t="s">
        <v>710</v>
      </c>
      <c r="B25" s="392" t="s">
        <v>795</v>
      </c>
      <c r="C25" s="388"/>
      <c r="D25" s="366">
        <v>189028.41</v>
      </c>
      <c r="E25" s="367"/>
    </row>
    <row r="26" spans="1:6" customHeight="1" ht="15.75">
      <c r="A26" s="275" t="s">
        <v>728</v>
      </c>
      <c r="B26" s="387" t="s">
        <v>796</v>
      </c>
      <c r="C26" s="388"/>
      <c r="D26" s="366">
        <v>1082707.44</v>
      </c>
      <c r="E26" s="367"/>
    </row>
    <row r="27" spans="1:6" s="155" customFormat="1">
      <c r="A27" s="340" t="s">
        <v>388</v>
      </c>
      <c r="B27" s="389"/>
      <c r="C27" s="390"/>
      <c r="D27" s="375">
        <f>SUM(D12:D26)</f>
        <v>6307888.217</v>
      </c>
      <c r="E27" s="376"/>
      <c r="F27" s="341"/>
    </row>
    <row r="28" spans="1:6">
      <c r="A28" s="14"/>
      <c r="B28" s="391"/>
      <c r="C28" s="388"/>
      <c r="D28" s="373"/>
      <c r="E28" s="374"/>
    </row>
    <row r="29" spans="1:6">
      <c r="A29" s="14"/>
      <c r="B29" s="391"/>
      <c r="C29" s="388"/>
      <c r="D29" s="373"/>
      <c r="E29" s="374"/>
    </row>
    <row r="30" spans="1:6">
      <c r="A30" s="14"/>
      <c r="B30" s="391"/>
      <c r="C30" s="388"/>
      <c r="D30" s="373"/>
      <c r="E30" s="374"/>
    </row>
    <row r="31" spans="1:6">
      <c r="A31" s="15"/>
      <c r="B31" s="15"/>
      <c r="C31" s="15"/>
      <c r="D31" s="372"/>
      <c r="E31" s="372"/>
    </row>
    <row r="32" spans="1:6">
      <c r="A32" s="11" t="s">
        <v>797</v>
      </c>
      <c r="C32" s="16"/>
      <c r="D32" s="369" t="s">
        <v>798</v>
      </c>
      <c r="E32" s="369"/>
    </row>
    <row r="33" spans="1:6">
      <c r="D33" s="369"/>
      <c r="E33" s="369"/>
    </row>
    <row r="34" spans="1:6">
      <c r="A34" s="370" t="s">
        <v>799</v>
      </c>
      <c r="B34" s="371"/>
      <c r="D34" s="370" t="s">
        <v>800</v>
      </c>
      <c r="E34" s="371"/>
    </row>
    <row r="35" spans="1:6">
      <c r="A35" s="372" t="s">
        <v>801</v>
      </c>
      <c r="B35" s="372"/>
      <c r="D35" s="372" t="s">
        <v>802</v>
      </c>
      <c r="E35" s="3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3:C23"/>
    <mergeCell ref="B25:C25"/>
    <mergeCell ref="B17:C17"/>
    <mergeCell ref="B18:C18"/>
    <mergeCell ref="B19:C19"/>
    <mergeCell ref="B21:C21"/>
    <mergeCell ref="B22:C22"/>
    <mergeCell ref="B24:C24"/>
    <mergeCell ref="B20:C20"/>
    <mergeCell ref="B12:C12"/>
    <mergeCell ref="B13:C13"/>
    <mergeCell ref="B14:C14"/>
    <mergeCell ref="B15:C15"/>
    <mergeCell ref="B16:C16"/>
    <mergeCell ref="B26:C26"/>
    <mergeCell ref="B27:C27"/>
    <mergeCell ref="B28:C28"/>
    <mergeCell ref="B29:C29"/>
    <mergeCell ref="B30:C30"/>
    <mergeCell ref="D16:E16"/>
    <mergeCell ref="D17:E17"/>
    <mergeCell ref="D18:E18"/>
    <mergeCell ref="D19:E19"/>
    <mergeCell ref="D21:E21"/>
    <mergeCell ref="D11:E11"/>
    <mergeCell ref="D12:E12"/>
    <mergeCell ref="D13:E13"/>
    <mergeCell ref="D14:E14"/>
    <mergeCell ref="D15:E15"/>
    <mergeCell ref="A35:B35"/>
    <mergeCell ref="A34:B34"/>
    <mergeCell ref="D35:E35"/>
    <mergeCell ref="D31:E31"/>
    <mergeCell ref="D28:E28"/>
    <mergeCell ref="D29:E29"/>
    <mergeCell ref="D30:E30"/>
    <mergeCell ref="D20:E20"/>
    <mergeCell ref="A3:E3"/>
    <mergeCell ref="D32:E32"/>
    <mergeCell ref="D33:E33"/>
    <mergeCell ref="D34:E34"/>
    <mergeCell ref="D22:E22"/>
    <mergeCell ref="D23:E23"/>
    <mergeCell ref="D25:E25"/>
    <mergeCell ref="D26:E26"/>
    <mergeCell ref="D27:E27"/>
    <mergeCell ref="D24:E24"/>
    <mergeCell ref="B11:C11"/>
    <mergeCell ref="B5:C5"/>
    <mergeCell ref="B6:C6"/>
    <mergeCell ref="B7:C7"/>
    <mergeCell ref="A9:E10"/>
  </mergeCells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I13" sqref="I13"/>
    </sheetView>
  </sheetViews>
  <sheetFormatPr defaultRowHeight="14.4" outlineLevelRow="0" outlineLevelCol="0"/>
  <sheetData>
    <row r="1" spans="1:1" customHeight="1" ht="23.45">
      <c r="A1" s="2" t="s">
        <v>803</v>
      </c>
    </row>
    <row r="3" spans="1:1">
      <c r="A3" t="s">
        <v>804</v>
      </c>
    </row>
    <row r="5" spans="1:1">
      <c r="A5" t="s">
        <v>805</v>
      </c>
    </row>
    <row r="6" spans="1:1">
      <c r="A6" s="1" t="s">
        <v>806</v>
      </c>
    </row>
    <row r="9" spans="1:1">
      <c r="A9" t="s">
        <v>807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 APP Accouting Office </vt:lpstr>
      <vt:lpstr>APP Agriculture Office</vt:lpstr>
      <vt:lpstr>APP Assesor Office</vt:lpstr>
      <vt:lpstr>APP Budget Office </vt:lpstr>
      <vt:lpstr>APP DILG Office</vt:lpstr>
      <vt:lpstr>APP EngineeringOffice</vt:lpstr>
      <vt:lpstr>APP HR Office</vt:lpstr>
      <vt:lpstr>APP MPDC Office</vt:lpstr>
      <vt:lpstr>APP MSWD Office</vt:lpstr>
      <vt:lpstr>APP MDRRM Office</vt:lpstr>
      <vt:lpstr>APP MAyors Office</vt:lpstr>
      <vt:lpstr>APP RHU Office</vt:lpstr>
      <vt:lpstr>APP Registrar Office</vt:lpstr>
      <vt:lpstr>APP Treasury Office </vt:lpstr>
      <vt:lpstr>APP Vice MAyor's Office</vt:lpstr>
      <vt:lpstr>data validation</vt:lpstr>
      <vt:lpstr>Form 4b - APP Summary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2023-05-22T08:51:41+08:00</dcterms:modified>
  <dc:title/>
  <dc:description/>
  <dc:subject/>
  <cp:keywords/>
  <cp:category/>
</cp:coreProperties>
</file>