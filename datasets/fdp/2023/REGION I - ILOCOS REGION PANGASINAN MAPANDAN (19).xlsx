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re_report (2)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<sst xmlns="http://schemas.openxmlformats.org/spreadsheetml/2006/main" uniqueCount="133">
  <si>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BUREAU OF LOCAL GOVERNMENT FINANCE
DEPARTMENT OF FINANCE
http://blgf.gov.ph/</t>
  </si>
  <si>
    <t>STATEMENT OF RECEIPTS AND EXPENDITURES</t>
  </si>
  <si>
    <t>LGU:</t>
  </si>
  <si>
    <t>MAPANDAN, PANGASINAN</t>
  </si>
  <si>
    <t>Period Covered:</t>
  </si>
  <si>
    <t>Q1, 2023</t>
  </si>
  <si>
    <t>Particulars</t>
  </si>
  <si>
    <t>Income Target/ Budget Appropriation</t>
  </si>
  <si>
    <t>General Fund</t>
  </si>
  <si>
    <t>SEF</t>
  </si>
  <si>
    <t>Trust Fund</t>
  </si>
  <si>
    <t>Trust Liability</t>
  </si>
  <si>
    <t>Total</t>
  </si>
  <si>
    <t>% to Total Income</t>
  </si>
  <si>
    <t>LOCAL SOURCES</t>
  </si>
  <si>
    <t>17,818,000.00</t>
  </si>
  <si>
    <t>100.00 %</t>
  </si>
  <si>
    <t>TAX REVENUE</t>
  </si>
  <si>
    <t>7,725,000.00</t>
  </si>
  <si>
    <t>56.91 %</t>
  </si>
  <si>
    <t xml:space="preserve">     Real Property Tax</t>
  </si>
  <si>
    <t>4,500,000.00</t>
  </si>
  <si>
    <t>i</t>
  </si>
  <si>
    <t>32.46 %</t>
  </si>
  <si>
    <t xml:space="preserve">     Tax on Business</t>
  </si>
  <si>
    <t>2,625,000.00</t>
  </si>
  <si>
    <t>19.74 %</t>
  </si>
  <si>
    <t xml:space="preserve">     Other Taxes</t>
  </si>
  <si>
    <t>600,000.00</t>
  </si>
  <si>
    <t>4.71 %</t>
  </si>
  <si>
    <t>NON-TAX REVENUE</t>
  </si>
  <si>
    <t>10,093,000.00</t>
  </si>
  <si>
    <t>43.09 %</t>
  </si>
  <si>
    <t xml:space="preserve">     Regulatory Fees (Permits and Licenses)</t>
  </si>
  <si>
    <t>2,440,000.00</t>
  </si>
  <si>
    <t>19.93 %</t>
  </si>
  <si>
    <t xml:space="preserve">     Service/User Charges (Service Income)</t>
  </si>
  <si>
    <t>1,398,000.00</t>
  </si>
  <si>
    <t>8.75 %</t>
  </si>
  <si>
    <t xml:space="preserve">     Receipts from Economic Enterprises (Business Income)</t>
  </si>
  <si>
    <t>6,220,000.00</t>
  </si>
  <si>
    <t>14.35 %</t>
  </si>
  <si>
    <t xml:space="preserve">     Other Receipts (Other General Income)</t>
  </si>
  <si>
    <t>35,000.00</t>
  </si>
  <si>
    <t>0.06 %</t>
  </si>
  <si>
    <t>EXTERNAL SOURCES</t>
  </si>
  <si>
    <t>136,222,728.00</t>
  </si>
  <si>
    <t>0.00 %</t>
  </si>
  <si>
    <t xml:space="preserve">     Internal Revenue Allotment</t>
  </si>
  <si>
    <t xml:space="preserve">     Other Shares from National Tax Collections</t>
  </si>
  <si>
    <t>0.00</t>
  </si>
  <si>
    <t xml:space="preserve">     Inter-Local Transfers</t>
  </si>
  <si>
    <t xml:space="preserve">     Extraordinary Receipts/Grants/Donations/Aids</t>
  </si>
  <si>
    <t>TOTAL CURRENT OPERATING INCOME</t>
  </si>
  <si>
    <t>154,040,728.00</t>
  </si>
  <si>
    <t xml:space="preserve">ADD: SUPPLEMENTAL BUDGET (UNAPPROPRIATED SURPLUS) FOR CURRENT OPERATING </t>
  </si>
  <si>
    <t>40,989.42</t>
  </si>
  <si>
    <t>TOTAL AVAILABLE FOR CURRENT OPERATING EXPENDITURES</t>
  </si>
  <si>
    <t>154,081,717.42</t>
  </si>
  <si>
    <t>LESS: CURRENT OPERATING EXPENDITURES (PS + MOOE + FE)</t>
  </si>
  <si>
    <t xml:space="preserve">    General Public Services</t>
  </si>
  <si>
    <t>76,128,313.73</t>
  </si>
  <si>
    <t>72.14 %</t>
  </si>
  <si>
    <t xml:space="preserve">    Education, Culture &amp; Sports/Manpower Development</t>
  </si>
  <si>
    <t>2,540,989.42</t>
  </si>
  <si>
    <t xml:space="preserve">    Health, Nutrition &amp; Population Control</t>
  </si>
  <si>
    <t>13,815,066.72</t>
  </si>
  <si>
    <t>8.18 %</t>
  </si>
  <si>
    <t xml:space="preserve">    Labor and Employment</t>
  </si>
  <si>
    <t xml:space="preserve">    Housing and Community Development</t>
  </si>
  <si>
    <t>3,850,000.00</t>
  </si>
  <si>
    <t>2.48 %</t>
  </si>
  <si>
    <t xml:space="preserve">    Social Services and Social Welfare</t>
  </si>
  <si>
    <t>10,579,667.91</t>
  </si>
  <si>
    <t>3.72 %</t>
  </si>
  <si>
    <t xml:space="preserve">    Economic Services</t>
  </si>
  <si>
    <t>16,743,134.04</t>
  </si>
  <si>
    <t>9.51 %</t>
  </si>
  <si>
    <t xml:space="preserve">    Debt Service (FE) (Interest Expense &amp; Other Charges)</t>
  </si>
  <si>
    <t>4,120,932.32</t>
  </si>
  <si>
    <t>3.96 %</t>
  </si>
  <si>
    <t>TOTAL CURRENT OPERATING EXPENDITURES</t>
  </si>
  <si>
    <t>127,778,104.14</t>
  </si>
  <si>
    <t>NET OPERATING INCOME/(LOSS) FROM CURRENT OPERATIONS</t>
  </si>
  <si>
    <t>26,303,613.28</t>
  </si>
  <si>
    <t>ADD: NON-INCOME RECEIPTS</t>
  </si>
  <si>
    <t>CAPITAL/INVESTMENT RECEIPTS</t>
  </si>
  <si>
    <t xml:space="preserve">     Proceeds from Sale of Assets</t>
  </si>
  <si>
    <t xml:space="preserve">     Proceeds from Sale of Debt Securities of Other Entities</t>
  </si>
  <si>
    <t xml:space="preserve">     Collection of Loans Receivables</t>
  </si>
  <si>
    <t>RECEIPTS FROM LOANS AND BORROWINGS (Payable)</t>
  </si>
  <si>
    <t xml:space="preserve">     Acquisition of Loans</t>
  </si>
  <si>
    <t xml:space="preserve">     Issuance of Bonds</t>
  </si>
  <si>
    <t>OTHER NON-INCOME RECEIPTS</t>
  </si>
  <si>
    <t>TOTAL NON-INCOME RECEIPTS</t>
  </si>
  <si>
    <t>ADD: SUPPLEMENTAL BUDGET FOR CAPITAL OUTLAY</t>
  </si>
  <si>
    <t>TOTAL AMOUNT AVAILABLE FOR CAPITAL EXPENDITURES</t>
  </si>
  <si>
    <t>LESS: NON-OPERATING EXPENDITURES</t>
  </si>
  <si>
    <t>CAPITAL/INVESTMENT EXPENDITURES</t>
  </si>
  <si>
    <t>14,694,183.31</t>
  </si>
  <si>
    <t xml:space="preserve">    Purchase/Construct of Property Plant and Equipment  (Assets/Capital Outlay)</t>
  </si>
  <si>
    <t xml:space="preserve">    Purchase of Debt Securities of Other Entities (Investment Outlay)</t>
  </si>
  <si>
    <t xml:space="preserve">    Grant/Make Loan to Other Entities (Investment Outlay)</t>
  </si>
  <si>
    <t>DEBT SERVICE (Principal Cost)</t>
  </si>
  <si>
    <t>11,609,429.97</t>
  </si>
  <si>
    <t xml:space="preserve">    Payment of Loan Amortization</t>
  </si>
  <si>
    <t xml:space="preserve">    Retirement/Redemption of Bonds/Debt Securities</t>
  </si>
  <si>
    <t>OTHER NON-OPERATING EXPENDITURES</t>
  </si>
  <si>
    <t>TOTAL NON-OPERATING EXPENDITURES</t>
  </si>
  <si>
    <t>NET INCREASE/(DECREASE) IN FUNDS</t>
  </si>
  <si>
    <t>ADD: CASH BALANCE, BEGINNING</t>
  </si>
  <si>
    <t>46,353,369.35</t>
  </si>
  <si>
    <t>FUND/CASH AVAILABLE</t>
  </si>
  <si>
    <t>Less: Payment of Prior Year/s Accounts Payable</t>
  </si>
  <si>
    <t>12,383,153.10</t>
  </si>
  <si>
    <t>CONTINUING  APPROPRIATION</t>
  </si>
  <si>
    <t>9,238,795.62</t>
  </si>
  <si>
    <t>FUND/CASH BALANCE, END</t>
  </si>
  <si>
    <t>24,731,420.63</t>
  </si>
  <si>
    <t>GF</t>
  </si>
  <si>
    <t>TF</t>
  </si>
  <si>
    <t>TL</t>
  </si>
  <si>
    <t>TOTAL</t>
  </si>
  <si>
    <t>Amount set aside to finance projects with appropriations</t>
  </si>
  <si>
    <t xml:space="preserve">     provided in the previous years (Continuing appropriations)</t>
  </si>
  <si>
    <t>Amount set aside for payment of Accounts Payable</t>
  </si>
  <si>
    <t>Amount set aside for Obligation not yet Due and Demandable</t>
  </si>
  <si>
    <t>Amount Available for appropriations/operations</t>
  </si>
  <si>
    <t>Total Assets (net of accumulated depreciation)</t>
  </si>
  <si>
    <t>Certified correct:</t>
  </si>
  <si>
    <t>Municipal Treasurer</t>
  </si>
  <si>
    <t xml:space="preserve">Generated by Eden, Teresita Suprimido on </t>
  </si>
  <si>
    <t>07/06/2023 3.53 PM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</si>
</sst>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ansSerif"/>
    </font>
    <font>
      <b val="0"/>
      <i val="0"/>
      <strike val="0"/>
      <u val="none"/>
      <sz val="8"/>
      <color rgb="FF000000"/>
      <name val="SansSerif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numFmtId="0" fontId="0" fillId="0" borderId="0"/>
  </cellStyleXfs>
  <cellXfs count="2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right" vertical="center" textRotation="0" wrapText="true" shrinkToFit="false"/>
    </xf>
    <xf xfId="0" fontId="2" numFmtId="0" fillId="2" borderId="1" applyFont="1" applyNumberFormat="0" applyFill="0" applyBorder="1" applyAlignment="1">
      <alignment horizontal="right" vertical="center" textRotation="0" wrapText="true" shrinkToFit="false"/>
    </xf>
    <xf xfId="0" fontId="2" numFmtId="4" fillId="2" borderId="1" applyFont="1" applyNumberFormat="1" applyFill="0" applyBorder="1" applyAlignment="1">
      <alignment horizontal="right" vertical="center" textRotation="0" wrapText="true" shrinkToFit="false"/>
    </xf>
    <xf xfId="0" fontId="2" numFmtId="4" fillId="2" borderId="1" applyFont="1" applyNumberFormat="1" applyFill="0" applyBorder="1" applyAlignment="1">
      <alignment horizontal="right" vertical="center" textRotation="0" wrapText="true" shrinkToFit="false"/>
    </xf>
    <xf xfId="0" fontId="2" numFmtId="0" fillId="2" borderId="1" applyFont="1" applyNumberFormat="0" applyFill="0" applyBorder="1" applyAlignment="1">
      <alignment horizontal="right" vertical="center" textRotation="0" wrapText="true" shrinkToFit="false"/>
    </xf>
    <xf xfId="0" fontId="2" numFmtId="0" fillId="2" borderId="1" applyFont="1" applyNumberFormat="0" applyFill="0" applyBorder="1" applyAlignment="1">
      <alignment horizontal="right" vertical="center" textRotation="0" wrapText="tru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0" fillId="3" borderId="1" applyFont="1" applyNumberFormat="0" applyFill="1" applyBorder="1" applyAlignment="1">
      <alignment horizontal="right" vertical="center" textRotation="0" wrapText="true" shrinkToFit="false"/>
    </xf>
    <xf xfId="0" fontId="2" numFmtId="4" fillId="3" borderId="1" applyFont="1" applyNumberFormat="1" applyFill="1" applyBorder="1" applyAlignment="1">
      <alignment horizontal="right" vertical="center" textRotation="0" wrapText="true" shrinkToFit="false"/>
    </xf>
    <xf xfId="0" fontId="2" numFmtId="0" fillId="3" borderId="1" applyFont="1" applyNumberFormat="0" applyFill="1" applyBorder="1" applyAlignment="1">
      <alignment horizontal="right" vertical="center" textRotation="0" wrapText="true" shrinkToFit="false"/>
    </xf>
    <xf xfId="0" fontId="1" numFmtId="0" fillId="3" borderId="0" applyFont="1" applyNumberFormat="0" applyFill="1" applyBorder="0" applyAlignment="1">
      <alignment horizontal="left" vertical="top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4" fillId="3" borderId="0" applyFont="1" applyNumberFormat="1" applyFill="1" applyBorder="0" applyAlignment="1">
      <alignment horizontal="left" vertical="top" textRotation="0" wrapText="true" shrinkToFit="false"/>
    </xf>
    <xf xfId="0" fontId="2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3" borderId="0" applyFont="1" applyNumberFormat="0" applyFill="1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right" vertical="center" textRotation="0" wrapText="true" shrinkToFit="false"/>
    </xf>
    <xf xfId="0" fontId="1" numFmtId="0" fillId="3" borderId="0" applyFont="1" applyNumberFormat="0" applyFill="1" applyBorder="0" applyAlignment="1">
      <alignment horizontal="right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3"/>
  <sheetViews>
    <sheetView tabSelected="1" workbookViewId="0" zoomScale="145" zoomScaleNormal="145" showGridLines="true" showRowColHeaders="1">
      <pane xSplit="2" ySplit="2" topLeftCell="C63" activePane="bottomRight" state="frozen"/>
      <selection pane="topRight"/>
      <selection pane="bottomLeft"/>
      <selection pane="bottomRight" activeCell="C63" sqref="C63"/>
    </sheetView>
  </sheetViews>
  <sheetFormatPr defaultRowHeight="14.4" defaultColWidth="11.27734375" outlineLevelRow="0" outlineLevelCol="0"/>
  <cols>
    <col min="1" max="1" width="11.27734375" style="0"/>
    <col min="2" max="2" width="15" customWidth="true" style="0"/>
    <col min="3" max="3" width="14.27734375" customWidth="true" style="0"/>
    <col min="4" max="4" width="11.27734375" style="0"/>
    <col min="5" max="5" width="11.27734375" style="0"/>
    <col min="6" max="6" width="11.27734375" style="0"/>
    <col min="7" max="7" width="11.27734375" style="0"/>
    <col min="8" max="8" width="11.27734375" style="0"/>
    <col min="9" max="9" width="9.83203125" customWidth="true" style="0"/>
    <col min="10" max="10" width="12.71875" customWidth="true" style="0"/>
  </cols>
  <sheetData>
    <row r="1" spans="1:10" customHeight="1" ht="4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"/>
    </row>
    <row r="2" spans="1:10" customHeight="1" ht="19.9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"/>
    </row>
    <row r="3" spans="1:10" customHeight="1" ht="19.9">
      <c r="A3" s="2" t="s">
        <v>2</v>
      </c>
      <c r="B3" s="20" t="s">
        <v>3</v>
      </c>
      <c r="C3" s="20"/>
      <c r="D3" s="1"/>
      <c r="E3" s="1"/>
      <c r="F3" s="1"/>
      <c r="G3" s="1"/>
      <c r="H3" s="1"/>
      <c r="I3" s="1"/>
      <c r="J3" s="1"/>
    </row>
    <row r="4" spans="1:10" customHeight="1" ht="19.9">
      <c r="A4" s="2" t="s">
        <v>4</v>
      </c>
      <c r="B4" s="20" t="s">
        <v>5</v>
      </c>
      <c r="C4" s="20"/>
      <c r="D4" s="1"/>
      <c r="E4" s="1"/>
      <c r="F4" s="1"/>
      <c r="G4" s="1"/>
      <c r="H4" s="1"/>
      <c r="I4" s="1"/>
      <c r="J4" s="1"/>
    </row>
    <row r="5" spans="1:10" customHeight="1" ht="34.9">
      <c r="A5" s="21" t="s">
        <v>6</v>
      </c>
      <c r="B5" s="21"/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1"/>
    </row>
    <row r="6" spans="1:10" customHeight="1" ht="19.9" s="15" customFormat="1">
      <c r="A6" s="22" t="s">
        <v>14</v>
      </c>
      <c r="B6" s="22"/>
      <c r="C6" s="11" t="s">
        <v>15</v>
      </c>
      <c r="D6" s="12">
        <v>7567632.36</v>
      </c>
      <c r="E6" s="12">
        <v>1665443.5</v>
      </c>
      <c r="F6" s="13">
        <v>0</v>
      </c>
      <c r="G6" s="13">
        <v>0</v>
      </c>
      <c r="H6" s="12">
        <v>9233075.86</v>
      </c>
      <c r="I6" s="11" t="s">
        <v>16</v>
      </c>
      <c r="J6" s="14"/>
    </row>
    <row r="7" spans="1:10" customHeight="1" ht="19.9">
      <c r="A7" s="23" t="s">
        <v>17</v>
      </c>
      <c r="B7" s="23"/>
      <c r="C7" s="4" t="s">
        <v>18</v>
      </c>
      <c r="D7" s="6">
        <v>3589838.81</v>
      </c>
      <c r="E7" s="6">
        <v>1665092.18</v>
      </c>
      <c r="F7" s="5">
        <v>0</v>
      </c>
      <c r="G7" s="5">
        <v>0</v>
      </c>
      <c r="H7" s="6">
        <v>5254930.99</v>
      </c>
      <c r="I7" s="4" t="s">
        <v>19</v>
      </c>
      <c r="J7" s="1"/>
    </row>
    <row r="8" spans="1:10" customHeight="1" ht="19.9">
      <c r="A8" s="23" t="s">
        <v>20</v>
      </c>
      <c r="B8" s="23"/>
      <c r="C8" s="4" t="s">
        <v>21</v>
      </c>
      <c r="D8" s="6">
        <v>1332073.73</v>
      </c>
      <c r="E8" s="6">
        <v>1665092.18</v>
      </c>
      <c r="F8" s="5" t="s">
        <v>22</v>
      </c>
      <c r="G8" s="5">
        <v>0</v>
      </c>
      <c r="H8" s="6">
        <v>2997165.91</v>
      </c>
      <c r="I8" s="4" t="s">
        <v>23</v>
      </c>
      <c r="J8" s="1"/>
    </row>
    <row r="9" spans="1:10" customHeight="1" ht="19.9">
      <c r="A9" s="23" t="s">
        <v>24</v>
      </c>
      <c r="B9" s="23"/>
      <c r="C9" s="4" t="s">
        <v>25</v>
      </c>
      <c r="D9" s="6">
        <v>1822670.38</v>
      </c>
      <c r="E9" s="5">
        <v>0</v>
      </c>
      <c r="F9" s="5">
        <v>0</v>
      </c>
      <c r="G9" s="5">
        <v>0</v>
      </c>
      <c r="H9" s="6">
        <v>1822670.38</v>
      </c>
      <c r="I9" s="4" t="s">
        <v>26</v>
      </c>
      <c r="J9" s="1"/>
    </row>
    <row r="10" spans="1:10" customHeight="1" ht="19.9">
      <c r="A10" s="23" t="s">
        <v>27</v>
      </c>
      <c r="B10" s="23"/>
      <c r="C10" s="4" t="s">
        <v>28</v>
      </c>
      <c r="D10" s="6">
        <v>435094.7</v>
      </c>
      <c r="E10" s="5">
        <v>0</v>
      </c>
      <c r="F10" s="5">
        <v>0</v>
      </c>
      <c r="G10" s="5">
        <v>0</v>
      </c>
      <c r="H10" s="6">
        <v>435094.7</v>
      </c>
      <c r="I10" s="4" t="s">
        <v>29</v>
      </c>
      <c r="J10" s="1"/>
    </row>
    <row r="11" spans="1:10" customHeight="1" ht="19.9" s="10" customFormat="1">
      <c r="A11" s="24" t="s">
        <v>30</v>
      </c>
      <c r="B11" s="24"/>
      <c r="C11" s="4" t="s">
        <v>31</v>
      </c>
      <c r="D11" s="7">
        <v>3977793.55</v>
      </c>
      <c r="E11" s="8">
        <v>351.32</v>
      </c>
      <c r="F11" s="8">
        <v>0</v>
      </c>
      <c r="G11" s="8">
        <v>0</v>
      </c>
      <c r="H11" s="7">
        <v>3978144.87</v>
      </c>
      <c r="I11" s="9" t="s">
        <v>32</v>
      </c>
      <c r="J11" s="1"/>
    </row>
    <row r="12" spans="1:10" customHeight="1" ht="19.9">
      <c r="A12" s="23" t="s">
        <v>33</v>
      </c>
      <c r="B12" s="23"/>
      <c r="C12" s="4" t="s">
        <v>34</v>
      </c>
      <c r="D12" s="6">
        <v>1840046.81</v>
      </c>
      <c r="E12" s="5">
        <v>0</v>
      </c>
      <c r="F12" s="5">
        <v>0</v>
      </c>
      <c r="G12" s="5">
        <v>0</v>
      </c>
      <c r="H12" s="6">
        <v>1840046.81</v>
      </c>
      <c r="I12" s="4" t="s">
        <v>35</v>
      </c>
      <c r="J12" s="1"/>
    </row>
    <row r="13" spans="1:10" customHeight="1" ht="19.9">
      <c r="A13" s="23" t="s">
        <v>36</v>
      </c>
      <c r="B13" s="23"/>
      <c r="C13" s="4" t="s">
        <v>37</v>
      </c>
      <c r="D13" s="6">
        <v>807578.4</v>
      </c>
      <c r="E13" s="5">
        <v>0</v>
      </c>
      <c r="F13" s="5">
        <v>0</v>
      </c>
      <c r="G13" s="5">
        <v>0</v>
      </c>
      <c r="H13" s="6">
        <v>807578.4</v>
      </c>
      <c r="I13" s="4" t="s">
        <v>38</v>
      </c>
      <c r="J13" s="1"/>
    </row>
    <row r="14" spans="1:10" customHeight="1" ht="19.9">
      <c r="A14" s="23" t="s">
        <v>39</v>
      </c>
      <c r="B14" s="23"/>
      <c r="C14" s="4" t="s">
        <v>40</v>
      </c>
      <c r="D14" s="6">
        <v>1324914.08</v>
      </c>
      <c r="E14" s="5">
        <v>0</v>
      </c>
      <c r="F14" s="5">
        <v>0</v>
      </c>
      <c r="G14" s="5">
        <v>0</v>
      </c>
      <c r="H14" s="6">
        <v>1324914.08</v>
      </c>
      <c r="I14" s="4" t="s">
        <v>41</v>
      </c>
      <c r="J14" s="1"/>
    </row>
    <row r="15" spans="1:10" customHeight="1" ht="19.9">
      <c r="A15" s="23" t="s">
        <v>42</v>
      </c>
      <c r="B15" s="23"/>
      <c r="C15" s="4" t="s">
        <v>43</v>
      </c>
      <c r="D15" s="6">
        <v>5254.26</v>
      </c>
      <c r="E15" s="5">
        <v>351.32</v>
      </c>
      <c r="F15" s="5">
        <v>0</v>
      </c>
      <c r="G15" s="5">
        <v>0</v>
      </c>
      <c r="H15" s="6">
        <v>5605.58</v>
      </c>
      <c r="I15" s="4" t="s">
        <v>44</v>
      </c>
      <c r="J15" s="1"/>
    </row>
    <row r="16" spans="1:10" customHeight="1" ht="19.9" s="15" customFormat="1">
      <c r="A16" s="22" t="s">
        <v>45</v>
      </c>
      <c r="B16" s="22"/>
      <c r="C16" s="11" t="s">
        <v>46</v>
      </c>
      <c r="D16" s="13">
        <v>34055682</v>
      </c>
      <c r="E16" s="13">
        <v>0</v>
      </c>
      <c r="F16" s="12">
        <v>6140480.85</v>
      </c>
      <c r="G16" s="13">
        <v>0</v>
      </c>
      <c r="H16" s="12">
        <f>SUM(D16:G16)</f>
        <v>40196162.85</v>
      </c>
      <c r="I16" s="11" t="s">
        <v>47</v>
      </c>
      <c r="J16" s="14"/>
    </row>
    <row r="17" spans="1:10" customHeight="1" ht="19.9" s="15" customFormat="1">
      <c r="A17" s="22" t="s">
        <v>48</v>
      </c>
      <c r="B17" s="22"/>
      <c r="C17" s="11" t="s">
        <v>46</v>
      </c>
      <c r="D17" s="11">
        <v>34055682</v>
      </c>
      <c r="E17" s="13">
        <v>0</v>
      </c>
      <c r="F17" s="13">
        <v>0</v>
      </c>
      <c r="G17" s="13">
        <v>0</v>
      </c>
      <c r="H17" s="13">
        <v>0</v>
      </c>
      <c r="I17" s="11" t="s">
        <v>47</v>
      </c>
      <c r="J17" s="14"/>
    </row>
    <row r="18" spans="1:10" customHeight="1" ht="19.9" s="15" customFormat="1">
      <c r="A18" s="22" t="s">
        <v>49</v>
      </c>
      <c r="B18" s="22"/>
      <c r="C18" s="11" t="s">
        <v>50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1" t="s">
        <v>47</v>
      </c>
      <c r="J18" s="14"/>
    </row>
    <row r="19" spans="1:10" customHeight="1" ht="19.9" s="15" customFormat="1">
      <c r="A19" s="22" t="s">
        <v>51</v>
      </c>
      <c r="B19" s="22"/>
      <c r="C19" s="11" t="s">
        <v>50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1" t="s">
        <v>47</v>
      </c>
      <c r="J19" s="14"/>
    </row>
    <row r="20" spans="1:10" customHeight="1" ht="19.9" s="15" customFormat="1">
      <c r="A20" s="22" t="s">
        <v>52</v>
      </c>
      <c r="B20" s="22"/>
      <c r="C20" s="11" t="s">
        <v>50</v>
      </c>
      <c r="D20" s="13">
        <v>0</v>
      </c>
      <c r="E20" s="13">
        <v>0</v>
      </c>
      <c r="F20" s="12">
        <v>6140480.85</v>
      </c>
      <c r="G20" s="13">
        <v>0</v>
      </c>
      <c r="H20" s="12">
        <v>6140480.85</v>
      </c>
      <c r="I20" s="11" t="s">
        <v>47</v>
      </c>
      <c r="J20" s="14"/>
    </row>
    <row r="21" spans="1:10" customHeight="1" ht="19.9" s="15" customFormat="1">
      <c r="A21" s="22" t="s">
        <v>53</v>
      </c>
      <c r="B21" s="22"/>
      <c r="C21" s="11" t="s">
        <v>54</v>
      </c>
      <c r="D21" s="12">
        <f>D6+D16</f>
        <v>41623314.36</v>
      </c>
      <c r="E21" s="12">
        <v>1665443.5</v>
      </c>
      <c r="F21" s="12">
        <v>6140480.85</v>
      </c>
      <c r="G21" s="13">
        <v>0</v>
      </c>
      <c r="H21" s="12">
        <f>+H6+H16</f>
        <v>49429238.71</v>
      </c>
      <c r="I21" s="11" t="s">
        <v>16</v>
      </c>
      <c r="J21" s="14"/>
    </row>
    <row r="22" spans="1:10" customHeight="1" ht="19.9" s="15" customFormat="1">
      <c r="A22" s="22" t="s">
        <v>55</v>
      </c>
      <c r="B22" s="22"/>
      <c r="C22" s="11" t="s">
        <v>56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1"/>
      <c r="J22" s="14"/>
    </row>
    <row r="23" spans="1:10" customHeight="1" ht="19.9" s="15" customFormat="1">
      <c r="A23" s="22" t="s">
        <v>57</v>
      </c>
      <c r="B23" s="22"/>
      <c r="C23" s="11" t="s">
        <v>58</v>
      </c>
      <c r="D23" s="12">
        <f>D21</f>
        <v>41623314.36</v>
      </c>
      <c r="E23" s="12">
        <f>E21</f>
        <v>1665443.5</v>
      </c>
      <c r="F23" s="12">
        <f>F21</f>
        <v>6140480.85</v>
      </c>
      <c r="G23" s="12">
        <f>G21</f>
        <v>0</v>
      </c>
      <c r="H23" s="12">
        <f>H21</f>
        <v>49429238.71</v>
      </c>
      <c r="I23" s="11"/>
      <c r="J23" s="14"/>
    </row>
    <row r="24" spans="1:10" customHeight="1" ht="19.9" s="15" customFormat="1">
      <c r="A24" s="22" t="s">
        <v>59</v>
      </c>
      <c r="B24" s="22"/>
      <c r="C24" s="11"/>
      <c r="D24" s="11"/>
      <c r="E24" s="11"/>
      <c r="F24" s="11"/>
      <c r="G24" s="11"/>
      <c r="H24" s="11"/>
      <c r="I24" s="11"/>
      <c r="J24" s="14"/>
    </row>
    <row r="25" spans="1:10" customHeight="1" ht="19.9" s="15" customFormat="1">
      <c r="A25" s="22" t="s">
        <v>60</v>
      </c>
      <c r="B25" s="22"/>
      <c r="C25" s="11" t="s">
        <v>61</v>
      </c>
      <c r="D25" s="12">
        <v>18519654.03</v>
      </c>
      <c r="E25" s="13">
        <v>0</v>
      </c>
      <c r="F25" s="12">
        <v>845553.12</v>
      </c>
      <c r="G25" s="13">
        <v>0</v>
      </c>
      <c r="H25" s="12">
        <v>19365207.15</v>
      </c>
      <c r="I25" s="11" t="s">
        <v>62</v>
      </c>
      <c r="J25" s="14"/>
    </row>
    <row r="26" spans="1:10" customHeight="1" ht="19.9" s="15" customFormat="1">
      <c r="A26" s="22" t="s">
        <v>63</v>
      </c>
      <c r="B26" s="22"/>
      <c r="C26" s="11" t="s">
        <v>64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1" t="s">
        <v>47</v>
      </c>
      <c r="J26" s="14"/>
    </row>
    <row r="27" spans="1:10" customHeight="1" ht="19.9" s="15" customFormat="1">
      <c r="A27" s="22" t="s">
        <v>65</v>
      </c>
      <c r="B27" s="22"/>
      <c r="C27" s="11" t="s">
        <v>66</v>
      </c>
      <c r="D27" s="12">
        <v>2100226.8</v>
      </c>
      <c r="E27" s="13">
        <v>0</v>
      </c>
      <c r="F27" s="12">
        <v>2700</v>
      </c>
      <c r="G27" s="13">
        <v>0</v>
      </c>
      <c r="H27" s="12">
        <v>2102926.8</v>
      </c>
      <c r="I27" s="11" t="s">
        <v>67</v>
      </c>
      <c r="J27" s="14"/>
    </row>
    <row r="28" spans="1:10" customHeight="1" ht="19.9" s="15" customFormat="1">
      <c r="A28" s="22" t="s">
        <v>68</v>
      </c>
      <c r="B28" s="22"/>
      <c r="C28" s="11" t="s">
        <v>50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1" t="s">
        <v>47</v>
      </c>
      <c r="J28" s="14"/>
    </row>
    <row r="29" spans="1:10" customHeight="1" ht="19.9" s="15" customFormat="1">
      <c r="A29" s="22" t="s">
        <v>69</v>
      </c>
      <c r="B29" s="22"/>
      <c r="C29" s="11" t="s">
        <v>70</v>
      </c>
      <c r="D29" s="12">
        <v>637471.72</v>
      </c>
      <c r="E29" s="13">
        <v>0</v>
      </c>
      <c r="F29" s="13">
        <v>0</v>
      </c>
      <c r="G29" s="13">
        <v>0</v>
      </c>
      <c r="H29" s="12">
        <v>637471.72</v>
      </c>
      <c r="I29" s="11" t="s">
        <v>71</v>
      </c>
      <c r="J29" s="14"/>
    </row>
    <row r="30" spans="1:10" customHeight="1" ht="19.9" s="15" customFormat="1">
      <c r="A30" s="22" t="s">
        <v>72</v>
      </c>
      <c r="B30" s="22"/>
      <c r="C30" s="11" t="s">
        <v>73</v>
      </c>
      <c r="D30" s="12">
        <v>955476.48</v>
      </c>
      <c r="E30" s="13">
        <v>0</v>
      </c>
      <c r="F30" s="13">
        <v>0</v>
      </c>
      <c r="G30" s="13">
        <v>0</v>
      </c>
      <c r="H30" s="12">
        <v>955476.48</v>
      </c>
      <c r="I30" s="11" t="s">
        <v>74</v>
      </c>
      <c r="J30" s="14"/>
    </row>
    <row r="31" spans="1:10" customHeight="1" ht="19.9" s="15" customFormat="1">
      <c r="A31" s="22" t="s">
        <v>75</v>
      </c>
      <c r="B31" s="22"/>
      <c r="C31" s="11" t="s">
        <v>76</v>
      </c>
      <c r="D31" s="12">
        <v>2441318.5</v>
      </c>
      <c r="E31" s="13">
        <v>0</v>
      </c>
      <c r="F31" s="12">
        <v>42830.99</v>
      </c>
      <c r="G31" s="13">
        <v>0</v>
      </c>
      <c r="H31" s="12">
        <v>2484149.49</v>
      </c>
      <c r="I31" s="11" t="s">
        <v>77</v>
      </c>
      <c r="J31" s="14"/>
    </row>
    <row r="32" spans="1:10" customHeight="1" ht="19.9" s="15" customFormat="1">
      <c r="A32" s="22" t="s">
        <v>78</v>
      </c>
      <c r="B32" s="22"/>
      <c r="C32" s="11" t="s">
        <v>79</v>
      </c>
      <c r="D32" s="12">
        <v>1016599.84</v>
      </c>
      <c r="E32" s="13">
        <v>0</v>
      </c>
      <c r="F32" s="13">
        <v>0</v>
      </c>
      <c r="G32" s="13">
        <v>0</v>
      </c>
      <c r="H32" s="12">
        <v>1016599.84</v>
      </c>
      <c r="I32" s="11" t="s">
        <v>80</v>
      </c>
      <c r="J32" s="14"/>
    </row>
    <row r="33" spans="1:10" customHeight="1" ht="19.9" s="15" customFormat="1">
      <c r="A33" s="22" t="s">
        <v>81</v>
      </c>
      <c r="B33" s="22"/>
      <c r="C33" s="11" t="s">
        <v>82</v>
      </c>
      <c r="D33" s="12">
        <v>25670747.37</v>
      </c>
      <c r="E33" s="13">
        <v>0</v>
      </c>
      <c r="F33" s="12">
        <v>891084.11</v>
      </c>
      <c r="G33" s="13">
        <v>0</v>
      </c>
      <c r="H33" s="12">
        <v>26561831.48</v>
      </c>
      <c r="I33" s="11" t="s">
        <v>16</v>
      </c>
      <c r="J33" s="16"/>
    </row>
    <row r="34" spans="1:10" customHeight="1" ht="19.9" s="15" customFormat="1">
      <c r="A34" s="22" t="s">
        <v>83</v>
      </c>
      <c r="B34" s="22"/>
      <c r="C34" s="11" t="s">
        <v>84</v>
      </c>
      <c r="D34" s="12">
        <f>D23-D33</f>
        <v>15952566.99</v>
      </c>
      <c r="E34" s="12">
        <f>E23-E33</f>
        <v>1665443.5</v>
      </c>
      <c r="F34" s="12">
        <f>F23-F33</f>
        <v>5249396.74</v>
      </c>
      <c r="G34" s="12">
        <f>G23-G33</f>
        <v>0</v>
      </c>
      <c r="H34" s="12">
        <f>H23-H33</f>
        <v>22867407.23</v>
      </c>
      <c r="I34" s="11" t="s">
        <v>47</v>
      </c>
      <c r="J34" s="14"/>
    </row>
    <row r="35" spans="1:10" customHeight="1" ht="19.9" s="15" customFormat="1">
      <c r="A35" s="22" t="s">
        <v>85</v>
      </c>
      <c r="B35" s="22"/>
      <c r="C35" s="11"/>
      <c r="D35" s="11"/>
      <c r="E35" s="11"/>
      <c r="F35" s="11"/>
      <c r="G35" s="11"/>
      <c r="H35" s="11"/>
      <c r="I35" s="11"/>
      <c r="J35" s="14"/>
    </row>
    <row r="36" spans="1:10" customHeight="1" ht="19.9" s="15" customFormat="1">
      <c r="A36" s="22" t="s">
        <v>86</v>
      </c>
      <c r="B36" s="22"/>
      <c r="C36" s="11" t="s">
        <v>50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1" t="s">
        <v>47</v>
      </c>
      <c r="J36" s="14"/>
    </row>
    <row r="37" spans="1:10" customHeight="1" ht="19.9" s="15" customFormat="1">
      <c r="A37" s="22" t="s">
        <v>87</v>
      </c>
      <c r="B37" s="22"/>
      <c r="C37" s="11" t="s">
        <v>50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1" t="s">
        <v>47</v>
      </c>
      <c r="J37" s="14"/>
    </row>
    <row r="38" spans="1:10" customHeight="1" ht="19.9" s="15" customFormat="1">
      <c r="A38" s="22" t="s">
        <v>88</v>
      </c>
      <c r="B38" s="22"/>
      <c r="C38" s="11" t="s">
        <v>50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1" t="s">
        <v>47</v>
      </c>
      <c r="J38" s="14"/>
    </row>
    <row r="39" spans="1:10" customHeight="1" ht="19.9" s="15" customFormat="1">
      <c r="A39" s="22" t="s">
        <v>89</v>
      </c>
      <c r="B39" s="22"/>
      <c r="C39" s="11" t="s">
        <v>50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1" t="s">
        <v>47</v>
      </c>
      <c r="J39" s="14"/>
    </row>
    <row r="40" spans="1:10" customHeight="1" ht="19.9" s="15" customFormat="1">
      <c r="A40" s="22" t="s">
        <v>90</v>
      </c>
      <c r="B40" s="22"/>
      <c r="C40" s="11" t="s">
        <v>50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1" t="s">
        <v>47</v>
      </c>
      <c r="J40" s="14"/>
    </row>
    <row r="41" spans="1:10" customHeight="1" ht="19.9" s="15" customFormat="1">
      <c r="A41" s="22" t="s">
        <v>91</v>
      </c>
      <c r="B41" s="22"/>
      <c r="C41" s="11" t="s">
        <v>50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1" t="s">
        <v>47</v>
      </c>
      <c r="J41" s="14"/>
    </row>
    <row r="42" spans="1:10" customHeight="1" ht="19.9" s="15" customFormat="1">
      <c r="A42" s="22" t="s">
        <v>92</v>
      </c>
      <c r="B42" s="22"/>
      <c r="C42" s="11" t="s">
        <v>50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1" t="s">
        <v>47</v>
      </c>
      <c r="J42" s="14"/>
    </row>
    <row r="43" spans="1:10" customHeight="1" ht="19.9" s="15" customFormat="1">
      <c r="A43" s="22" t="s">
        <v>93</v>
      </c>
      <c r="B43" s="22"/>
      <c r="C43" s="11" t="s">
        <v>50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1"/>
      <c r="J43" s="14"/>
    </row>
    <row r="44" spans="1:10" customHeight="1" ht="19.9" s="15" customFormat="1">
      <c r="A44" s="22" t="s">
        <v>94</v>
      </c>
      <c r="B44" s="22"/>
      <c r="C44" s="11" t="s">
        <v>50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1"/>
      <c r="J44" s="14"/>
    </row>
    <row r="45" spans="1:10" customHeight="1" ht="19.9" s="15" customFormat="1">
      <c r="A45" s="22" t="s">
        <v>95</v>
      </c>
      <c r="B45" s="22"/>
      <c r="C45" s="11" t="s">
        <v>50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1"/>
      <c r="J45" s="14"/>
    </row>
    <row r="46" spans="1:10" customHeight="1" ht="19.9" s="15" customFormat="1">
      <c r="A46" s="22" t="s">
        <v>96</v>
      </c>
      <c r="B46" s="22"/>
      <c r="C46" s="11" t="s">
        <v>50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1"/>
      <c r="J46" s="14"/>
    </row>
    <row r="47" spans="1:10" customHeight="1" ht="19.9" s="15" customFormat="1">
      <c r="A47" s="22" t="s">
        <v>97</v>
      </c>
      <c r="B47" s="22"/>
      <c r="C47" s="11"/>
      <c r="D47" s="11"/>
      <c r="E47" s="11"/>
      <c r="F47" s="11"/>
      <c r="G47" s="11"/>
      <c r="H47" s="11"/>
      <c r="I47" s="11"/>
      <c r="J47" s="14"/>
    </row>
    <row r="48" spans="1:10" customHeight="1" ht="19.9" s="15" customFormat="1">
      <c r="A48" s="22" t="s">
        <v>98</v>
      </c>
      <c r="B48" s="22"/>
      <c r="C48" s="11" t="s">
        <v>99</v>
      </c>
      <c r="D48" s="12">
        <v>541864</v>
      </c>
      <c r="E48" s="13">
        <v>0</v>
      </c>
      <c r="F48" s="13">
        <v>0</v>
      </c>
      <c r="G48" s="13">
        <v>0</v>
      </c>
      <c r="H48" s="12">
        <v>541864</v>
      </c>
      <c r="I48" s="11" t="s">
        <v>16</v>
      </c>
      <c r="J48" s="14"/>
    </row>
    <row r="49" spans="1:10" customHeight="1" ht="19.9" s="15" customFormat="1">
      <c r="A49" s="22" t="s">
        <v>100</v>
      </c>
      <c r="B49" s="22"/>
      <c r="C49" s="11" t="s">
        <v>99</v>
      </c>
      <c r="D49" s="12">
        <v>541864</v>
      </c>
      <c r="E49" s="13">
        <v>0</v>
      </c>
      <c r="F49" s="13">
        <v>0</v>
      </c>
      <c r="G49" s="13">
        <v>0</v>
      </c>
      <c r="H49" s="12">
        <v>541864</v>
      </c>
      <c r="I49" s="11" t="s">
        <v>16</v>
      </c>
      <c r="J49" s="14"/>
    </row>
    <row r="50" spans="1:10" customHeight="1" ht="19.9" s="15" customFormat="1">
      <c r="A50" s="22" t="s">
        <v>101</v>
      </c>
      <c r="B50" s="22"/>
      <c r="C50" s="11" t="s">
        <v>50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1" t="s">
        <v>47</v>
      </c>
      <c r="J50" s="14"/>
    </row>
    <row r="51" spans="1:10" customHeight="1" ht="19.9" s="15" customFormat="1">
      <c r="A51" s="22" t="s">
        <v>102</v>
      </c>
      <c r="B51" s="22"/>
      <c r="C51" s="11" t="s">
        <v>50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1" t="s">
        <v>47</v>
      </c>
      <c r="J51" s="14"/>
    </row>
    <row r="52" spans="1:10" customHeight="1" ht="19.9" s="15" customFormat="1">
      <c r="A52" s="22" t="s">
        <v>103</v>
      </c>
      <c r="B52" s="22"/>
      <c r="C52" s="11" t="s">
        <v>104</v>
      </c>
      <c r="D52" s="12">
        <v>1277357.49</v>
      </c>
      <c r="E52" s="13">
        <v>0</v>
      </c>
      <c r="F52" s="13">
        <v>0</v>
      </c>
      <c r="G52" s="13">
        <v>0</v>
      </c>
      <c r="H52" s="12">
        <v>1277357.49</v>
      </c>
      <c r="I52" s="11" t="s">
        <v>16</v>
      </c>
      <c r="J52" s="14"/>
    </row>
    <row r="53" spans="1:10" customHeight="1" ht="19.9" s="15" customFormat="1">
      <c r="A53" s="22" t="s">
        <v>105</v>
      </c>
      <c r="B53" s="22"/>
      <c r="C53" s="11" t="s">
        <v>104</v>
      </c>
      <c r="D53" s="12">
        <v>1277357.49</v>
      </c>
      <c r="E53" s="13">
        <v>0</v>
      </c>
      <c r="F53" s="13">
        <v>0</v>
      </c>
      <c r="G53" s="13">
        <v>0</v>
      </c>
      <c r="H53" s="12">
        <v>1277357.49</v>
      </c>
      <c r="I53" s="11" t="s">
        <v>16</v>
      </c>
      <c r="J53" s="14"/>
    </row>
    <row r="54" spans="1:10" customHeight="1" ht="19.9" s="15" customFormat="1">
      <c r="A54" s="22" t="s">
        <v>106</v>
      </c>
      <c r="B54" s="22"/>
      <c r="C54" s="11" t="s">
        <v>50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1" t="s">
        <v>47</v>
      </c>
      <c r="J54" s="14"/>
    </row>
    <row r="55" spans="1:10" customHeight="1" ht="19.9" s="15" customFormat="1">
      <c r="A55" s="22" t="s">
        <v>107</v>
      </c>
      <c r="B55" s="22"/>
      <c r="C55" s="11" t="s">
        <v>50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1"/>
      <c r="J55" s="14"/>
    </row>
    <row r="56" spans="1:10" customHeight="1" ht="19.9" s="15" customFormat="1">
      <c r="A56" s="22" t="s">
        <v>108</v>
      </c>
      <c r="B56" s="22"/>
      <c r="C56" s="11" t="s">
        <v>84</v>
      </c>
      <c r="D56" s="12">
        <v>1819221.49</v>
      </c>
      <c r="E56" s="13">
        <v>0</v>
      </c>
      <c r="F56" s="13">
        <v>0</v>
      </c>
      <c r="G56" s="13">
        <v>0</v>
      </c>
      <c r="H56" s="12">
        <v>1819221.49</v>
      </c>
      <c r="I56" s="11"/>
      <c r="J56" s="14"/>
    </row>
    <row r="57" spans="1:10" customHeight="1" ht="19.9" s="15" customFormat="1">
      <c r="A57" s="22" t="s">
        <v>109</v>
      </c>
      <c r="B57" s="22"/>
      <c r="C57" s="11" t="s">
        <v>50</v>
      </c>
      <c r="D57" s="12">
        <f>D34-D56</f>
        <v>14133345.5</v>
      </c>
      <c r="E57" s="12">
        <f>E34-E56</f>
        <v>1665443.5</v>
      </c>
      <c r="F57" s="12">
        <f>F34-F56</f>
        <v>5249396.74</v>
      </c>
      <c r="G57" s="12">
        <f>G34-G56</f>
        <v>0</v>
      </c>
      <c r="H57" s="12">
        <f>H34-H56</f>
        <v>21048185.74</v>
      </c>
      <c r="I57" s="11"/>
    </row>
    <row r="58" spans="1:10" customHeight="1" ht="19.9" s="15" customFormat="1">
      <c r="A58" s="22" t="s">
        <v>110</v>
      </c>
      <c r="B58" s="22"/>
      <c r="C58" s="11" t="s">
        <v>111</v>
      </c>
      <c r="D58" s="12">
        <v>38988833.71</v>
      </c>
      <c r="E58" s="12">
        <v>1708475.92</v>
      </c>
      <c r="F58" s="12">
        <v>5656059.72</v>
      </c>
      <c r="G58" s="13">
        <v>0</v>
      </c>
      <c r="H58" s="12">
        <v>46353369.35</v>
      </c>
      <c r="I58" s="11"/>
      <c r="J58" s="14"/>
    </row>
    <row r="59" spans="1:10" customHeight="1" ht="19.9" s="15" customFormat="1">
      <c r="A59" s="22" t="s">
        <v>112</v>
      </c>
      <c r="B59" s="22"/>
      <c r="C59" s="11" t="s">
        <v>111</v>
      </c>
      <c r="D59" s="12">
        <f>D57+D58</f>
        <v>53122179.21</v>
      </c>
      <c r="E59" s="12">
        <f>E57+E58</f>
        <v>3373919.42</v>
      </c>
      <c r="F59" s="12">
        <f>F57+F58</f>
        <v>10905456.46</v>
      </c>
      <c r="G59" s="12">
        <f>G57+G58</f>
        <v>0</v>
      </c>
      <c r="H59" s="12">
        <f>H57+H58</f>
        <v>67401555.09</v>
      </c>
      <c r="I59" s="11"/>
      <c r="J59" s="14"/>
    </row>
    <row r="60" spans="1:10" customHeight="1" ht="19.9" s="15" customFormat="1">
      <c r="A60" s="22" t="s">
        <v>113</v>
      </c>
      <c r="B60" s="22"/>
      <c r="C60" s="11" t="s">
        <v>114</v>
      </c>
      <c r="D60" s="12">
        <v>12323557.55</v>
      </c>
      <c r="E60" s="12">
        <v>59595.55</v>
      </c>
      <c r="F60" s="13">
        <v>0</v>
      </c>
      <c r="G60" s="13">
        <v>0</v>
      </c>
      <c r="H60" s="12">
        <v>12383153.1</v>
      </c>
      <c r="I60" s="11"/>
      <c r="J60" s="14"/>
    </row>
    <row r="61" spans="1:10" customHeight="1" ht="19.9" s="15" customFormat="1">
      <c r="A61" s="22" t="s">
        <v>115</v>
      </c>
      <c r="B61" s="22"/>
      <c r="C61" s="11" t="s">
        <v>116</v>
      </c>
      <c r="D61" s="12">
        <v>7208528.54</v>
      </c>
      <c r="E61" s="13">
        <v>0</v>
      </c>
      <c r="F61" s="13">
        <v>0</v>
      </c>
      <c r="G61" s="13">
        <v>0</v>
      </c>
      <c r="H61" s="12">
        <v>7208528.54</v>
      </c>
      <c r="I61" s="11"/>
      <c r="J61" s="14"/>
    </row>
    <row r="62" spans="1:10" customHeight="1" ht="19.9" s="15" customFormat="1">
      <c r="A62" s="22" t="s">
        <v>117</v>
      </c>
      <c r="B62" s="22"/>
      <c r="C62" s="11" t="s">
        <v>118</v>
      </c>
      <c r="D62" s="12">
        <f>D59-D60-D61</f>
        <v>33590093.12</v>
      </c>
      <c r="E62" s="12">
        <f>E59-E60-E61</f>
        <v>3314323.87</v>
      </c>
      <c r="F62" s="12">
        <f>F59-F60-F61</f>
        <v>10905456.46</v>
      </c>
      <c r="G62" s="12">
        <f>G59-G60-G61</f>
        <v>0</v>
      </c>
      <c r="H62" s="12">
        <f>H59-H60-H61</f>
        <v>47809873.45</v>
      </c>
      <c r="I62" s="11"/>
      <c r="J62" s="16"/>
    </row>
    <row r="63" spans="1:10" customHeight="1" ht="19.9" s="15" customFormat="1">
      <c r="A63" s="25"/>
      <c r="B63" s="25"/>
      <c r="C63" s="25"/>
      <c r="D63" s="17" t="s">
        <v>119</v>
      </c>
      <c r="E63" s="17" t="s">
        <v>9</v>
      </c>
      <c r="F63" s="17" t="s">
        <v>120</v>
      </c>
      <c r="G63" s="17" t="s">
        <v>121</v>
      </c>
      <c r="H63" s="17" t="s">
        <v>122</v>
      </c>
      <c r="I63" s="14"/>
      <c r="J63" s="14"/>
    </row>
    <row r="64" spans="1:10" customHeight="1" ht="19.9" s="15" customFormat="1">
      <c r="A64" s="22" t="s">
        <v>117</v>
      </c>
      <c r="B64" s="22"/>
      <c r="C64" s="22"/>
      <c r="D64" s="12">
        <f>D62</f>
        <v>33590093.12</v>
      </c>
      <c r="E64" s="12">
        <v>3314323.87</v>
      </c>
      <c r="F64" s="12">
        <v>10905456.46</v>
      </c>
      <c r="G64" s="13">
        <v>0</v>
      </c>
      <c r="H64" s="12">
        <f>SUM(D64:G64)</f>
        <v>47809873.45</v>
      </c>
      <c r="I64" s="14"/>
      <c r="J64" s="14"/>
    </row>
    <row r="65" spans="1:10" customHeight="1" ht="19.9" s="15" customFormat="1">
      <c r="A65" s="22" t="s">
        <v>123</v>
      </c>
      <c r="B65" s="22"/>
      <c r="C65" s="22"/>
      <c r="D65" s="11"/>
      <c r="E65" s="11"/>
      <c r="F65" s="11"/>
      <c r="G65" s="11"/>
      <c r="H65" s="11"/>
      <c r="I65" s="14"/>
      <c r="J65" s="14"/>
    </row>
    <row r="66" spans="1:10" customHeight="1" ht="19.9" s="15" customFormat="1">
      <c r="A66" s="22" t="s">
        <v>124</v>
      </c>
      <c r="B66" s="22"/>
      <c r="C66" s="22"/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4"/>
      <c r="J66" s="14"/>
    </row>
    <row r="67" spans="1:10" customHeight="1" ht="19.9" s="15" customFormat="1">
      <c r="A67" s="22" t="s">
        <v>125</v>
      </c>
      <c r="B67" s="22"/>
      <c r="C67" s="22"/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4"/>
      <c r="J67" s="14"/>
    </row>
    <row r="68" spans="1:10" customHeight="1" ht="19.9" s="15" customFormat="1">
      <c r="A68" s="22" t="s">
        <v>126</v>
      </c>
      <c r="B68" s="22"/>
      <c r="C68" s="22"/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4"/>
      <c r="J68" s="14"/>
    </row>
    <row r="69" spans="1:10" customHeight="1" ht="19.9" s="15" customFormat="1">
      <c r="A69" s="22" t="s">
        <v>127</v>
      </c>
      <c r="B69" s="22"/>
      <c r="C69" s="22"/>
      <c r="D69" s="12">
        <f>D64</f>
        <v>33590093.12</v>
      </c>
      <c r="E69" s="12">
        <v>3314323.87</v>
      </c>
      <c r="F69" s="12">
        <v>10905456.46</v>
      </c>
      <c r="G69" s="13">
        <v>0</v>
      </c>
      <c r="H69" s="12">
        <f>SUM(D69:G69)</f>
        <v>47809873.45</v>
      </c>
      <c r="I69" s="14"/>
      <c r="J69" s="14"/>
    </row>
    <row r="70" spans="1:10" customHeight="1" ht="19.9" s="15" customFormat="1">
      <c r="A70" s="22" t="s">
        <v>128</v>
      </c>
      <c r="B70" s="22"/>
      <c r="C70" s="11" t="s">
        <v>50</v>
      </c>
      <c r="D70" s="14"/>
      <c r="E70" s="14"/>
      <c r="F70" s="14"/>
      <c r="G70" s="14"/>
      <c r="H70" s="14"/>
      <c r="I70" s="14"/>
      <c r="J70" s="14"/>
    </row>
    <row r="71" spans="1:10" customHeight="1" ht="19.9" s="15" customFormat="1">
      <c r="A71" s="14"/>
      <c r="B71" s="14"/>
      <c r="C71" s="14"/>
      <c r="D71" s="14"/>
      <c r="E71" s="27" t="s">
        <v>129</v>
      </c>
      <c r="F71" s="27"/>
      <c r="G71" s="14"/>
      <c r="H71" s="14"/>
      <c r="I71" s="14"/>
      <c r="J71" s="14"/>
    </row>
    <row r="72" spans="1:10" customHeight="1" ht="19.9" s="15" customFormat="1">
      <c r="A72" s="14"/>
      <c r="B72" s="14"/>
      <c r="C72" s="14"/>
      <c r="D72" s="14"/>
      <c r="E72" s="14"/>
      <c r="F72" s="14"/>
      <c r="G72" s="28" t="s">
        <v>130</v>
      </c>
      <c r="H72" s="28"/>
      <c r="I72" s="28"/>
      <c r="J72" s="14"/>
    </row>
    <row r="73" spans="1:10" customHeight="1" ht="19.9">
      <c r="A73" s="1"/>
      <c r="B73" s="1"/>
      <c r="C73" s="1"/>
      <c r="D73" s="1"/>
      <c r="E73" s="26" t="s">
        <v>131</v>
      </c>
      <c r="F73" s="26"/>
      <c r="G73" s="26"/>
      <c r="H73" s="20" t="s">
        <v>132</v>
      </c>
      <c r="I73" s="20"/>
      <c r="J7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73:G73"/>
    <mergeCell ref="H73:I73"/>
    <mergeCell ref="A67:C67"/>
    <mergeCell ref="A68:C68"/>
    <mergeCell ref="A69:C69"/>
    <mergeCell ref="A70:B70"/>
    <mergeCell ref="E71:F71"/>
    <mergeCell ref="G72:I72"/>
    <mergeCell ref="A61:B61"/>
    <mergeCell ref="A62:B62"/>
    <mergeCell ref="A63:C63"/>
    <mergeCell ref="A64:C64"/>
    <mergeCell ref="A65:C65"/>
    <mergeCell ref="A66:C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I1"/>
    <mergeCell ref="A2:I2"/>
    <mergeCell ref="B3:C3"/>
    <mergeCell ref="B4:C4"/>
    <mergeCell ref="A5:B5"/>
    <mergeCell ref="A6:B6"/>
  </mergeCells>
  <printOptions gridLines="false" gridLinesSet="true"/>
  <pageMargins left="0.25" right="0.25" top="0.43" bottom="0.39" header="0.28" footer="0.3"/>
  <pageSetup paperSize="9" orientation="portrait" scale="100" fitToHeight="1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sre_report (2)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veverly</dc:creator>
  <cp:lastModifiedBy>hp</cp:lastModifiedBy>
  <dcterms:created xsi:type="dcterms:W3CDTF">2023-06-13T09:23:36+08:00</dcterms:created>
  <dcterms:modified xsi:type="dcterms:W3CDTF">2023-06-14T14:11:35+08:00</dcterms:modified>
  <dc:title/>
  <dc:description/>
  <dc:subject/>
  <cp:keywords/>
  <cp:category/>
</cp:coreProperties>
</file>