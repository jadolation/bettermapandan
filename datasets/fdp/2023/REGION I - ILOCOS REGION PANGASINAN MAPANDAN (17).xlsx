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<sst xmlns="http://schemas.openxmlformats.org/spreadsheetml/2006/main" uniqueCount="36">
  <si>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</si>
  <si>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</si>
  <si>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</si>
  <si>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</si>
  <si>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</si>
  <si>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</si>
  <si>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</si>
  <si>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</si>
  <si>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</si>
  <si>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</si>
  <si>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</si>
  <si>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</si>
  <si>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</si>
  <si>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</si>
  <si>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</si>
  <si>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</si>
  <si>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Other Supplies and Materials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</si>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</sst>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view="pageLayout" showGridLines="true" showRowColHeaders="1">
      <selection activeCell="D40" sqref="D40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6" max="6" width="10.85546875" customWidth="true" style="0"/>
    <col min="7" max="7" width="10.42578125" customWidth="true" style="0"/>
    <col min="8" max="8" width="13.28515625" customWidth="true" style="0"/>
    <col min="9" max="9" width="10.28515625" customWidth="true" style="0"/>
  </cols>
  <sheetData>
    <row r="1" spans="1:9" customHeight="1" ht="15.75">
      <c r="A1" s="42" t="s">
        <v>0</v>
      </c>
      <c r="B1" s="42"/>
      <c r="C1" s="42"/>
      <c r="D1" s="42"/>
      <c r="E1" s="42"/>
      <c r="F1" s="42"/>
      <c r="G1" s="42"/>
    </row>
    <row r="2" spans="1:9">
      <c r="A2" s="43"/>
      <c r="B2" s="43"/>
      <c r="C2" s="43"/>
      <c r="D2" s="43"/>
      <c r="E2" s="43"/>
      <c r="F2" s="43"/>
      <c r="G2" s="43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2023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2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44">
        <f>2540989.42+1556920.33</f>
        <v>4097909.75</v>
      </c>
      <c r="F8" s="44"/>
      <c r="G8" s="2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45" t="s">
        <v>11</v>
      </c>
      <c r="C10" s="45"/>
      <c r="D10" s="45"/>
      <c r="E10" s="45"/>
      <c r="F10" s="45"/>
      <c r="G10" s="45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3">
        <v>0</v>
      </c>
      <c r="F13" s="33"/>
      <c r="G13" s="2"/>
    </row>
    <row r="14" spans="1:9">
      <c r="A14" s="2"/>
      <c r="B14" s="6"/>
      <c r="C14" s="6"/>
      <c r="D14" s="2"/>
      <c r="E14" s="34">
        <v>0</v>
      </c>
      <c r="F14" s="34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41">
        <v>0</v>
      </c>
      <c r="F17" s="41"/>
      <c r="G17" s="2"/>
    </row>
    <row r="18" spans="1:9">
      <c r="A18" s="2"/>
      <c r="B18" s="6" t="s">
        <v>15</v>
      </c>
      <c r="C18" s="6"/>
      <c r="D18" s="2"/>
      <c r="E18" s="33">
        <v>52820</v>
      </c>
      <c r="F18" s="33"/>
      <c r="G18" s="2"/>
    </row>
    <row r="19" spans="1:9">
      <c r="A19" s="2"/>
      <c r="B19" s="6" t="s">
        <v>16</v>
      </c>
      <c r="C19" s="6"/>
      <c r="D19" s="2"/>
      <c r="E19" s="40">
        <v>15566</v>
      </c>
      <c r="F19" s="40"/>
      <c r="G19" s="2"/>
    </row>
    <row r="20" spans="1:9">
      <c r="A20" s="2"/>
      <c r="B20" s="6" t="s">
        <v>17</v>
      </c>
      <c r="C20" s="6"/>
      <c r="D20" s="2"/>
      <c r="E20" s="40">
        <v>0</v>
      </c>
      <c r="F20" s="40"/>
      <c r="G20" s="2"/>
    </row>
    <row r="21" spans="1:9">
      <c r="A21" s="2"/>
      <c r="B21" s="6" t="s">
        <v>18</v>
      </c>
      <c r="C21" s="6"/>
      <c r="D21" s="2"/>
      <c r="E21" s="40">
        <v>3478.19</v>
      </c>
      <c r="F21" s="40"/>
      <c r="G21" s="2"/>
    </row>
    <row r="22" spans="1:9">
      <c r="A22" s="2"/>
      <c r="B22" s="6" t="s">
        <v>19</v>
      </c>
      <c r="C22" s="6"/>
      <c r="D22" s="2"/>
      <c r="E22" s="40">
        <v>618800</v>
      </c>
      <c r="F22" s="40"/>
      <c r="G22" s="2"/>
    </row>
    <row r="23" spans="1:9">
      <c r="A23" s="2"/>
      <c r="B23" s="6" t="s">
        <v>20</v>
      </c>
      <c r="C23" s="6"/>
      <c r="D23" s="2"/>
      <c r="E23" s="40">
        <v>214303</v>
      </c>
      <c r="F23" s="40"/>
      <c r="G23" s="2"/>
    </row>
    <row r="24" spans="1:9">
      <c r="A24" s="2"/>
      <c r="B24" s="6" t="s">
        <v>21</v>
      </c>
      <c r="C24" s="6"/>
      <c r="D24" s="2"/>
      <c r="E24" s="40">
        <v>49000.25</v>
      </c>
      <c r="F24" s="40"/>
      <c r="G24" s="2"/>
    </row>
    <row r="25" spans="1:9">
      <c r="A25" s="2"/>
      <c r="B25" s="2"/>
      <c r="C25" s="2"/>
      <c r="D25" s="2"/>
      <c r="E25" s="8"/>
      <c r="F25" s="8"/>
      <c r="G25" s="2"/>
    </row>
    <row r="26" spans="1:9">
      <c r="A26" s="2"/>
      <c r="B26" s="9" t="s">
        <v>22</v>
      </c>
      <c r="C26" s="9"/>
      <c r="D26" s="2"/>
      <c r="E26" s="10"/>
      <c r="F26" s="10"/>
      <c r="G26" s="2"/>
    </row>
    <row r="27" spans="1:9">
      <c r="A27" s="2"/>
      <c r="B27" s="6" t="s">
        <v>23</v>
      </c>
      <c r="C27" s="6"/>
      <c r="D27" s="2" t="s">
        <v>9</v>
      </c>
      <c r="E27" s="33">
        <v>0</v>
      </c>
      <c r="F27" s="33"/>
      <c r="G27" s="2"/>
    </row>
    <row r="28" spans="1:9">
      <c r="A28" s="2"/>
      <c r="B28" s="6" t="s">
        <v>24</v>
      </c>
      <c r="C28" s="6"/>
      <c r="D28" s="2"/>
      <c r="E28" s="33">
        <v>0</v>
      </c>
      <c r="F28" s="33"/>
      <c r="G28" s="2"/>
    </row>
    <row r="29" spans="1:9">
      <c r="A29" s="2"/>
      <c r="B29" s="6" t="s">
        <v>25</v>
      </c>
      <c r="C29" s="6"/>
      <c r="D29" s="2"/>
      <c r="E29" s="40">
        <v>0</v>
      </c>
      <c r="F29" s="40"/>
      <c r="G29" s="2"/>
    </row>
    <row r="30" spans="1:9">
      <c r="A30" s="2"/>
      <c r="B30" s="6"/>
      <c r="C30" s="6"/>
      <c r="D30" s="2"/>
      <c r="E30" s="32"/>
      <c r="F30" s="32"/>
      <c r="G30" s="2"/>
    </row>
    <row r="31" spans="1:9">
      <c r="A31" s="2"/>
      <c r="B31" s="2"/>
      <c r="C31" s="2"/>
      <c r="D31" s="2"/>
      <c r="E31" s="8"/>
      <c r="F31" s="8"/>
      <c r="G31" s="2"/>
    </row>
    <row r="32" spans="1:9">
      <c r="A32" s="2"/>
      <c r="B32" s="4" t="s">
        <v>26</v>
      </c>
      <c r="C32" s="4"/>
      <c r="D32" s="2"/>
      <c r="E32" s="8"/>
      <c r="F32" s="8"/>
      <c r="G32" s="2"/>
    </row>
    <row r="33" spans="1:9">
      <c r="A33" s="2"/>
      <c r="B33" s="6" t="s">
        <v>27</v>
      </c>
      <c r="C33" s="6"/>
      <c r="D33" s="2" t="s">
        <v>9</v>
      </c>
      <c r="E33" s="33">
        <v>151.22</v>
      </c>
      <c r="F33" s="33"/>
      <c r="G33" s="2"/>
    </row>
    <row r="34" spans="1:9">
      <c r="A34" s="2"/>
      <c r="B34" s="6"/>
      <c r="C34" s="6"/>
      <c r="D34" s="2"/>
      <c r="E34" s="34"/>
      <c r="F34" s="34"/>
      <c r="G34" s="2"/>
    </row>
    <row r="35" spans="1:9">
      <c r="A35" s="2"/>
      <c r="B35" s="11"/>
      <c r="C35" s="11"/>
      <c r="D35" s="11"/>
      <c r="E35" s="35"/>
      <c r="F35" s="35"/>
      <c r="G35" s="2"/>
    </row>
    <row r="36" spans="1:9">
      <c r="A36" s="4" t="s">
        <v>28</v>
      </c>
      <c r="B36" s="4"/>
      <c r="C36" s="4"/>
      <c r="D36" s="4" t="s">
        <v>9</v>
      </c>
      <c r="E36" s="36">
        <f>SUM(E13:F33)</f>
        <v>954118.66</v>
      </c>
      <c r="F36" s="37"/>
      <c r="G36" s="12"/>
      <c r="H36" s="13"/>
      <c r="I36" s="14"/>
    </row>
    <row r="37" spans="1:9" customHeight="1" ht="15.75">
      <c r="A37" s="2" t="s">
        <v>29</v>
      </c>
      <c r="B37" s="2"/>
      <c r="C37" s="2"/>
      <c r="D37" s="4" t="s">
        <v>9</v>
      </c>
      <c r="E37" s="38">
        <f>SUM(E8-E36)</f>
        <v>3143791.09</v>
      </c>
      <c r="F37" s="39"/>
      <c r="G37" s="12"/>
    </row>
    <row r="38" spans="1:9" customHeight="1" ht="15">
      <c r="D38" s="2"/>
      <c r="E38" s="2"/>
      <c r="F38" s="2"/>
      <c r="G38" s="2"/>
    </row>
    <row r="39" spans="1:9">
      <c r="A39" s="15" t="s">
        <v>30</v>
      </c>
      <c r="B39" s="2"/>
      <c r="C39" s="2"/>
      <c r="D39" s="16"/>
      <c r="E39" s="2"/>
      <c r="F39" s="2"/>
      <c r="G39" s="2"/>
    </row>
    <row r="40" spans="1:9">
      <c r="A40" s="2" t="s">
        <v>31</v>
      </c>
      <c r="B40" s="16"/>
      <c r="C40" s="16"/>
      <c r="D40" s="2"/>
      <c r="E40" s="2"/>
      <c r="F40" s="2"/>
      <c r="G40" s="2"/>
    </row>
    <row r="41" spans="1:9">
      <c r="A41" s="2"/>
      <c r="B41" s="16"/>
      <c r="C41" s="16"/>
      <c r="D41" s="2"/>
      <c r="E41" s="2"/>
      <c r="F41" s="2"/>
      <c r="G41" s="2"/>
    </row>
    <row r="42" spans="1:9">
      <c r="A42" s="2"/>
      <c r="B42" s="30"/>
      <c r="C42" s="30"/>
      <c r="D42" s="2"/>
      <c r="E42" s="2"/>
      <c r="F42" s="2"/>
      <c r="G42" s="29"/>
    </row>
    <row r="43" spans="1:9">
      <c r="A43" s="2"/>
      <c r="B43" s="2"/>
      <c r="C43" s="2"/>
      <c r="D43" s="29" t="s">
        <v>32</v>
      </c>
      <c r="E43" s="29"/>
      <c r="F43" s="29"/>
      <c r="G43" s="17"/>
    </row>
    <row r="44" spans="1:9">
      <c r="A44" s="2"/>
      <c r="B44" s="2"/>
      <c r="C44" s="2"/>
      <c r="D44" s="17" t="s">
        <v>33</v>
      </c>
      <c r="E44" s="17"/>
      <c r="F44" s="17"/>
      <c r="G44" s="2"/>
    </row>
    <row r="45" spans="1:9">
      <c r="A45" s="2"/>
      <c r="B45" s="31"/>
      <c r="C45" s="31"/>
      <c r="D45" s="2"/>
      <c r="E45" s="2"/>
      <c r="F45" s="2"/>
      <c r="G45" s="2"/>
    </row>
    <row r="46" spans="1:9">
      <c r="A46" s="2"/>
      <c r="B46" s="2"/>
      <c r="C46" s="2"/>
      <c r="D46" s="2"/>
      <c r="E46" s="2"/>
      <c r="F46" s="2"/>
      <c r="G46" s="29"/>
    </row>
    <row r="47" spans="1:9">
      <c r="A47" s="2"/>
      <c r="B47" s="2"/>
      <c r="C47" s="2"/>
      <c r="D47" s="29" t="s">
        <v>34</v>
      </c>
      <c r="E47" s="29"/>
      <c r="F47" s="29"/>
      <c r="G47" s="17"/>
    </row>
    <row r="48" spans="1:9">
      <c r="A48" s="2"/>
      <c r="B48" s="2"/>
      <c r="C48" s="2"/>
      <c r="D48" s="17" t="s">
        <v>35</v>
      </c>
      <c r="E48" s="17"/>
      <c r="F48" s="17"/>
      <c r="G4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19:F19"/>
    <mergeCell ref="E20:F20"/>
    <mergeCell ref="E37:F37"/>
    <mergeCell ref="E21:F21"/>
    <mergeCell ref="E23:F23"/>
    <mergeCell ref="E24:F24"/>
    <mergeCell ref="E27:F27"/>
    <mergeCell ref="E28:F28"/>
    <mergeCell ref="E29:F29"/>
    <mergeCell ref="E22:F22"/>
    <mergeCell ref="E30:F30"/>
    <mergeCell ref="E33:F33"/>
    <mergeCell ref="E34:F34"/>
    <mergeCell ref="E35:F35"/>
    <mergeCell ref="E36:F36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2023-08-07T09:51:56+08:00</dcterms:modified>
  <dc:title/>
  <dc:description/>
  <dc:subject/>
  <cp:keywords/>
  <cp:category/>
</cp:coreProperties>
</file>