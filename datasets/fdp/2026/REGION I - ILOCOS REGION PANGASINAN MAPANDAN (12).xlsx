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9- SCF" sheetId="1" r:id="rId4"/>
    <sheet name="FDPP LICENSE" sheetId="2" state="veryHidden" r:id="rId5"/>
  </sheets>
  <definedNames>
    <definedName name="_xlnm.Print_Area" localSheetId="0">'Form 9- SCF'!$A$1:$G$61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<sst xmlns="http://schemas.openxmlformats.org/spreadsheetml/2006/main" uniqueCount="60">
  <si>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FDP Form 9 - Statement of Cash Flows</t>
  </si>
  <si>
    <t>(BLGF Memorandum Circular No. 09 - 2012 dated February 21, 2012, Annex 2)</t>
  </si>
  <si>
    <t>STATEMENT OF CASH FLOWS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</si>
  <si>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</si>
  <si>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</si>
  <si>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</si>
  <si>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</si>
  <si>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</si>
  <si>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</si>
  <si>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</si>
  <si>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Cash Flows From Operating Activities:</t>
  </si>
  <si>
    <t>Cash Inflows:</t>
  </si>
  <si>
    <t>gen</t>
  </si>
  <si>
    <t>sef</t>
  </si>
  <si>
    <t>trust</t>
  </si>
  <si>
    <t>Collection from Taxpayers</t>
  </si>
  <si>
    <t>Share from Internal Revenue Collections</t>
  </si>
  <si>
    <t>Receipts from Sale of Goods or Services</t>
  </si>
  <si>
    <t>Interest Income</t>
  </si>
  <si>
    <t>Dividend Income</t>
  </si>
  <si>
    <t>Other Receipts</t>
  </si>
  <si>
    <t xml:space="preserve">Total Cash Inflow </t>
  </si>
  <si>
    <t>Cash Outflows:</t>
  </si>
  <si>
    <t>Payments :</t>
  </si>
  <si>
    <t xml:space="preserve">     To Suppliers/Creditors</t>
  </si>
  <si>
    <t xml:space="preserve">     To Employees</t>
  </si>
  <si>
    <t>Interest Expense</t>
  </si>
  <si>
    <t>Other Expenses</t>
  </si>
  <si>
    <t xml:space="preserve">Total Cash Outflow </t>
  </si>
  <si>
    <t>Net Cash from Operating Activities</t>
  </si>
  <si>
    <t>Cash Flows from Investing Activities:</t>
  </si>
  <si>
    <t>From Sale of Property, Plant and Equipment</t>
  </si>
  <si>
    <t>From Sale of Dept Securities of Other Entities</t>
  </si>
  <si>
    <t>From Collection of Principal on Loans to Other Entities</t>
  </si>
  <si>
    <t>To Purchase Property, Plant and Equipment</t>
  </si>
  <si>
    <t>To Purchase Debt Securities of Other Entities</t>
  </si>
  <si>
    <t>To Grant/Make Loans to Other Entities</t>
  </si>
  <si>
    <t>Net Cash from Investing Activities</t>
  </si>
  <si>
    <t>Cash Flows from Financing Activities</t>
  </si>
  <si>
    <t>From Issuance of Debt Securities</t>
  </si>
  <si>
    <t>From Acquisition of Loan</t>
  </si>
  <si>
    <t>Total Cash Inflow</t>
  </si>
  <si>
    <t>Retirement/Redemption of Debt Securities</t>
  </si>
  <si>
    <t>Payment of Loan Amortization</t>
  </si>
  <si>
    <t>Total Cash Outflow</t>
  </si>
  <si>
    <t>Net Cash from Financing Activities</t>
  </si>
  <si>
    <t>Net Increase in Cash</t>
  </si>
  <si>
    <t>Cash at Beginning of the Period</t>
  </si>
  <si>
    <t>Cash at the End of the Period</t>
  </si>
  <si>
    <t xml:space="preserve">We hereby certify that we have reviewed the contents and hereby attest to the veracity and correctness of the data or information contained in this document.
</t>
  </si>
  <si>
    <t>Sgd</t>
  </si>
  <si>
    <t>RUTH B. SOTTO</t>
  </si>
  <si>
    <t>HON. KARL CHRISTIAN F. VEGA</t>
  </si>
  <si>
    <t>Municipal Accountant</t>
  </si>
  <si>
    <t>Municipal Mayor</t>
  </si>
  <si>
    <t>CAUTION:</t>
  </si>
  <si>
    <t>TO REDUCE THE RISK OF UPLOADING WRONG TEMPLATE FOR THIS DOCUMENT, DO NOT EDIT/DELETE THIS SHEET.</t>
  </si>
  <si>
    <t>FROM:</t>
  </si>
  <si>
    <t>FDPP TEAM</t>
  </si>
  <si>
    <t>v2</t>
  </si>
</sst>
</file>

<file path=xl/styles.xml><?xml version="1.0" encoding="utf-8"?>
<styleSheet xmlns="http://schemas.openxmlformats.org/spreadsheetml/2006/main" xml:space="preserve">
  <numFmts count="2">
    <numFmt numFmtId="164" formatCode="_(* #,##0.00_);_(* \(#,##0.00\);_(* &quot;-&quot;??_);_(@_)"/>
    <numFmt numFmtId="165" formatCode="#,##0.00000000"/>
  </numFmts>
  <fonts count="1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3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1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bottom" textRotation="0" wrapText="true" shrinkToFit="false"/>
      <protection locked="fals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3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4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5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4" numFmtId="0" fillId="2" borderId="2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left" vertical="bottom" textRotation="0" wrapText="false" shrinkToFit="false"/>
      <protection locked="false"/>
    </xf>
    <xf xfId="0" fontId="0" numFmtId="164" fillId="2" borderId="0" applyFont="0" applyNumberFormat="1" applyFill="0" applyBorder="0" applyAlignment="1" applyProtection="true">
      <alignment horizontal="center" vertical="bottom" textRotation="0" wrapText="false" shrinkToFit="false"/>
      <protection locked="false"/>
    </xf>
    <xf xfId="0" fontId="0" numFmtId="164" fillId="2" borderId="6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0" numFmtId="164" fillId="2" borderId="0" applyFont="0" applyNumberFormat="1" applyFill="0" applyBorder="0" applyAlignment="0" applyProtection="true">
      <alignment horizontal="general" vertical="bottom" textRotation="0" wrapText="false" shrinkToFit="false"/>
      <protection locked="false"/>
    </xf>
    <xf xfId="0" fontId="1" numFmtId="164" fillId="2" borderId="6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4" fillId="2" borderId="5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4" fillId="2" borderId="7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0" numFmtId="164" fillId="2" borderId="5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1">
      <alignment horizontal="right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right" vertical="bottom" textRotation="0" wrapText="false" shrinkToFit="false"/>
      <protection locked="false"/>
    </xf>
    <xf xfId="0" fontId="5" numFmtId="164" fillId="2" borderId="0" applyFont="1" applyNumberFormat="1" applyFill="0" applyBorder="0" applyAlignment="0">
      <alignment horizontal="general" vertical="bottom" textRotation="0" wrapText="false" shrinkToFit="false"/>
    </xf>
    <xf xfId="0" fontId="5" numFmtId="164" fillId="2" borderId="0" applyFont="1" applyNumberFormat="1" applyFill="0" applyBorder="0" applyAlignment="1" applyProtection="true">
      <alignment horizontal="general" vertical="center" textRotation="0" wrapText="false" shrinkToFit="false"/>
      <protection locked="false"/>
    </xf>
    <xf xfId="0" fontId="6" numFmtId="164" fillId="2" borderId="0" applyFont="1" applyNumberFormat="1" applyFill="0" applyBorder="0" applyAlignment="0">
      <alignment horizontal="general" vertical="bottom" textRotation="0" wrapText="false" shrinkToFit="false"/>
    </xf>
    <xf xfId="0" fontId="0" numFmtId="4" fillId="2" borderId="0" applyFont="0" applyNumberFormat="1" applyFill="0" applyBorder="0" applyAlignment="0">
      <alignment horizontal="general" vertical="bottom" textRotation="0" wrapText="false" shrinkToFit="false"/>
    </xf>
    <xf xfId="0" fontId="0" numFmtId="165" fillId="2" borderId="0" applyFont="0" applyNumberFormat="1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5" numFmtId="164" fillId="2" borderId="0" applyFont="1" applyNumberFormat="1" applyFill="0" applyBorder="0" applyAlignment="0">
      <alignment horizontal="general" vertical="bottom" textRotation="0" wrapText="false" shrinkToFit="false"/>
    </xf>
    <xf xfId="0" fontId="7" numFmtId="164" fillId="2" borderId="0" applyFont="1" applyNumberFormat="1" applyFill="0" applyBorder="0" applyAlignment="0">
      <alignment horizontal="general" vertical="bottom" textRotation="0" wrapText="false" shrinkToFit="false"/>
    </xf>
    <xf xfId="0" fontId="8" numFmtId="164" fillId="2" borderId="0" applyFont="1" applyNumberFormat="1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left" vertical="bottom" textRotation="0" wrapText="false" shrinkToFit="false"/>
      <protection locked="false"/>
    </xf>
    <xf xfId="0" fontId="0" numFmtId="0" fillId="2" borderId="4" applyFont="0" applyNumberFormat="0" applyFill="0" applyBorder="1" applyAlignment="1" applyProtection="true">
      <alignment horizontal="left" vertical="bottom" textRotation="0" wrapText="false" shrinkToFit="false"/>
      <protection locked="false"/>
    </xf>
    <xf xfId="0" fontId="0" numFmtId="0" fillId="2" borderId="4" applyFont="0" applyNumberFormat="0" applyFill="0" applyBorder="1" applyAlignment="1" applyProtection="true">
      <alignment horizontal="left" vertical="top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left" vertical="top" textRotation="0" wrapText="false" shrinkToFit="false"/>
      <protection locked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9" numFmtId="0" fillId="2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1"/>
  <sheetViews>
    <sheetView tabSelected="1" workbookViewId="0" showGridLines="true" showRowColHeaders="1">
      <selection activeCell="C63" sqref="C63"/>
    </sheetView>
  </sheetViews>
  <sheetFormatPr defaultRowHeight="14.4" outlineLevelRow="0" outlineLevelCol="0"/>
  <cols>
    <col min="1" max="1" width="25.6640625" customWidth="true" style="5"/>
    <col min="2" max="2" width="20.6640625" customWidth="true" style="5"/>
    <col min="3" max="3" width="20.6640625" customWidth="true" style="5"/>
    <col min="4" max="4" width="16.109375" customWidth="true" style="5"/>
    <col min="5" max="5" width="13.33203125" customWidth="true" style="5"/>
    <col min="6" max="6" width="15" customWidth="true" style="5"/>
    <col min="7" max="7" width="18" customWidth="true" style="0"/>
    <col min="8" max="8" width="16" customWidth="true" style="33"/>
    <col min="9" max="9" width="14.33203125" customWidth="true" style="33"/>
    <col min="10" max="10" width="14.33203125" customWidth="true" style="33"/>
    <col min="11" max="11" width="14.33203125" customWidth="true" style="33"/>
    <col min="12" max="12" width="15" customWidth="true" style="33"/>
    <col min="13" max="13" width="14" customWidth="true" style="38"/>
  </cols>
  <sheetData>
    <row r="1" spans="1:13">
      <c r="A1" s="19" t="s">
        <v>0</v>
      </c>
      <c r="B1" s="4"/>
      <c r="C1" s="4"/>
      <c r="D1" s="4"/>
    </row>
    <row r="2" spans="1:13" s="6" customFormat="1">
      <c r="A2" s="19" t="s">
        <v>1</v>
      </c>
      <c r="H2" s="34"/>
      <c r="I2" s="34"/>
      <c r="J2" s="34"/>
      <c r="K2" s="34"/>
      <c r="L2" s="34"/>
      <c r="M2" s="39"/>
    </row>
    <row r="3" spans="1:13" s="6" customFormat="1">
      <c r="A3" s="3"/>
      <c r="H3" s="34"/>
      <c r="I3" s="34"/>
      <c r="J3" s="34"/>
      <c r="K3" s="34"/>
      <c r="L3" s="34"/>
      <c r="M3" s="39"/>
    </row>
    <row r="4" spans="1:13">
      <c r="A4" s="47" t="s">
        <v>2</v>
      </c>
      <c r="B4" s="47"/>
      <c r="C4" s="47"/>
      <c r="D4" s="47"/>
      <c r="E4" s="47"/>
      <c r="F4" s="47"/>
      <c r="G4" s="47"/>
    </row>
    <row r="5" spans="1:13">
      <c r="B5" s="7"/>
      <c r="C5" s="7"/>
      <c r="D5" s="7"/>
    </row>
    <row r="6" spans="1:13">
      <c r="A6" s="20" t="s">
        <v>3</v>
      </c>
      <c r="B6" s="30">
        <v>1</v>
      </c>
      <c r="C6" s="8"/>
      <c r="D6" s="20" t="s">
        <v>4</v>
      </c>
      <c r="E6" s="5">
        <v>2026</v>
      </c>
    </row>
    <row r="7" spans="1:13">
      <c r="A7" s="1" t="s">
        <v>5</v>
      </c>
      <c r="B7" s="31" t="s">
        <v>6</v>
      </c>
      <c r="C7" s="9"/>
      <c r="D7" s="21" t="s">
        <v>7</v>
      </c>
      <c r="E7" s="5">
        <v>1</v>
      </c>
    </row>
    <row r="8" spans="1:13">
      <c r="A8" s="1" t="s">
        <v>8</v>
      </c>
      <c r="B8" s="32" t="s">
        <v>9</v>
      </c>
      <c r="C8" s="9"/>
      <c r="D8" s="10"/>
    </row>
    <row r="9" spans="1:13">
      <c r="L9" s="41"/>
    </row>
    <row r="10" spans="1:13">
      <c r="A10" s="11" t="s">
        <v>10</v>
      </c>
      <c r="B10" s="12"/>
      <c r="C10" s="12"/>
      <c r="D10" s="12"/>
      <c r="E10" s="12"/>
      <c r="F10" s="12"/>
      <c r="G10" s="13"/>
      <c r="L10" s="41"/>
    </row>
    <row r="11" spans="1:13">
      <c r="A11" s="14"/>
      <c r="B11" s="5" t="s">
        <v>11</v>
      </c>
      <c r="G11" s="15"/>
      <c r="H11" s="33" t="s">
        <v>12</v>
      </c>
      <c r="I11" s="33" t="s">
        <v>13</v>
      </c>
      <c r="J11" s="33" t="s">
        <v>14</v>
      </c>
      <c r="L11" s="41"/>
    </row>
    <row r="12" spans="1:13">
      <c r="A12" s="14"/>
      <c r="C12" s="43" t="s">
        <v>15</v>
      </c>
      <c r="D12" s="43"/>
      <c r="E12" s="43"/>
      <c r="F12" s="23">
        <f>+H12+I12+J12</f>
        <v>8241032.91</v>
      </c>
      <c r="G12" s="15"/>
      <c r="H12" s="33">
        <v>6599783.59</v>
      </c>
      <c r="I12" s="35">
        <v>1641249.32</v>
      </c>
      <c r="L12" s="41"/>
    </row>
    <row r="13" spans="1:13">
      <c r="A13" s="14"/>
      <c r="C13" s="43" t="s">
        <v>16</v>
      </c>
      <c r="D13" s="43"/>
      <c r="E13" s="43"/>
      <c r="F13" s="23">
        <f>+H13+I13+J13</f>
        <v>49805508</v>
      </c>
      <c r="G13" s="15"/>
      <c r="H13" s="33">
        <v>49805508</v>
      </c>
      <c r="I13" s="33">
        <v>0</v>
      </c>
      <c r="L13" s="41"/>
    </row>
    <row r="14" spans="1:13">
      <c r="A14" s="14"/>
      <c r="C14" s="43" t="s">
        <v>17</v>
      </c>
      <c r="D14" s="43"/>
      <c r="E14" s="43"/>
      <c r="F14" s="23">
        <f>+H14+I14+J14</f>
        <v>6631755.08</v>
      </c>
      <c r="G14" s="15"/>
      <c r="H14" s="33">
        <v>6631755.08</v>
      </c>
      <c r="I14" s="33">
        <v>0</v>
      </c>
      <c r="L14" s="41"/>
    </row>
    <row r="15" spans="1:13">
      <c r="A15" s="14"/>
      <c r="C15" s="43" t="s">
        <v>18</v>
      </c>
      <c r="D15" s="43"/>
      <c r="E15" s="43"/>
      <c r="F15" s="23">
        <f>+H15+I15+J15</f>
        <v>4222.47</v>
      </c>
      <c r="G15" s="15"/>
      <c r="H15" s="33">
        <v>3916.29</v>
      </c>
      <c r="I15" s="35">
        <v>306.18</v>
      </c>
      <c r="L15" s="41"/>
    </row>
    <row r="16" spans="1:13">
      <c r="A16" s="14"/>
      <c r="C16" s="43" t="s">
        <v>19</v>
      </c>
      <c r="D16" s="43"/>
      <c r="E16" s="43"/>
      <c r="F16" s="23">
        <f>+H16+I16+J16</f>
        <v>0</v>
      </c>
      <c r="G16" s="15"/>
      <c r="H16" s="33">
        <v>0</v>
      </c>
      <c r="I16" s="33">
        <v>0</v>
      </c>
      <c r="L16" s="41"/>
    </row>
    <row r="17" spans="1:13">
      <c r="A17" s="14"/>
      <c r="C17" s="43" t="s">
        <v>20</v>
      </c>
      <c r="D17" s="43"/>
      <c r="E17" s="43"/>
      <c r="F17" s="23">
        <f>+H17+I17+J17</f>
        <v>16075169.07</v>
      </c>
      <c r="G17" s="15"/>
      <c r="H17" s="33">
        <v>196985.2</v>
      </c>
      <c r="I17" s="33">
        <v>0</v>
      </c>
      <c r="J17" s="35">
        <v>15878183.87</v>
      </c>
      <c r="L17" s="41"/>
    </row>
    <row r="18" spans="1:13">
      <c r="A18" s="14"/>
      <c r="C18" s="43" t="s">
        <v>21</v>
      </c>
      <c r="D18" s="43"/>
      <c r="E18" s="43"/>
      <c r="F18" s="26">
        <f>SUM(F12:F17)</f>
        <v>80757687.53</v>
      </c>
      <c r="G18" s="15"/>
      <c r="L18" s="41"/>
    </row>
    <row r="19" spans="1:13">
      <c r="A19" s="14"/>
      <c r="B19" s="5" t="s">
        <v>22</v>
      </c>
      <c r="F19" s="25"/>
      <c r="G19" s="15"/>
      <c r="L19" s="41"/>
    </row>
    <row r="20" spans="1:13">
      <c r="A20" s="14"/>
      <c r="C20" s="5" t="s">
        <v>23</v>
      </c>
      <c r="F20" s="25"/>
      <c r="G20" s="15"/>
      <c r="L20" s="41"/>
    </row>
    <row r="21" spans="1:13">
      <c r="A21" s="14"/>
      <c r="C21" s="5" t="s">
        <v>24</v>
      </c>
      <c r="F21" s="23">
        <f>+H21+I21+J21</f>
        <v>21667527.73</v>
      </c>
      <c r="G21" s="15"/>
      <c r="H21" s="33">
        <v>20719061.25</v>
      </c>
      <c r="I21" s="35">
        <v>948466.48</v>
      </c>
      <c r="L21" s="41"/>
    </row>
    <row r="22" spans="1:13">
      <c r="A22" s="14"/>
      <c r="C22" s="5" t="s">
        <v>25</v>
      </c>
      <c r="F22" s="23">
        <f>+H22+I22+J22</f>
        <v>16485699.06</v>
      </c>
      <c r="G22" s="15"/>
      <c r="H22" s="33">
        <v>16485699.06</v>
      </c>
      <c r="L22" s="41"/>
    </row>
    <row r="23" spans="1:13">
      <c r="A23" s="14"/>
      <c r="C23" s="5" t="s">
        <v>26</v>
      </c>
      <c r="F23" s="23">
        <f>+H23+I23+J23</f>
        <v>1728184.51</v>
      </c>
      <c r="G23" s="15"/>
      <c r="H23" s="33">
        <v>1728123.27</v>
      </c>
      <c r="I23" s="35">
        <v>61.24</v>
      </c>
      <c r="L23" s="41"/>
    </row>
    <row r="24" spans="1:13">
      <c r="A24" s="14"/>
      <c r="C24" s="5" t="s">
        <v>27</v>
      </c>
      <c r="F24" s="23">
        <f>+H24+I24+J24</f>
        <v>4353719.43</v>
      </c>
      <c r="G24" s="15"/>
      <c r="H24" s="33">
        <v>0</v>
      </c>
      <c r="J24" s="35">
        <v>4353719.43</v>
      </c>
      <c r="L24" s="41"/>
    </row>
    <row r="25" spans="1:13">
      <c r="A25" s="14"/>
      <c r="C25" s="5" t="s">
        <v>28</v>
      </c>
      <c r="F25" s="24">
        <f>SUM(F21:F24)</f>
        <v>44235130.73</v>
      </c>
      <c r="G25" s="15"/>
      <c r="L25" s="41"/>
    </row>
    <row r="26" spans="1:13">
      <c r="A26" s="14"/>
      <c r="B26" s="5" t="s">
        <v>29</v>
      </c>
      <c r="F26" s="26">
        <f>+F18-F25</f>
        <v>36522556.8</v>
      </c>
      <c r="G26" s="15"/>
      <c r="L26" s="41"/>
    </row>
    <row r="27" spans="1:13">
      <c r="A27" s="14"/>
      <c r="F27" s="23"/>
      <c r="G27" s="15"/>
      <c r="L27" s="41"/>
    </row>
    <row r="28" spans="1:13">
      <c r="A28" s="14" t="s">
        <v>30</v>
      </c>
      <c r="F28" s="25"/>
      <c r="G28" s="15"/>
      <c r="L28" s="41"/>
    </row>
    <row r="29" spans="1:13">
      <c r="A29" s="14"/>
      <c r="B29" s="5" t="s">
        <v>11</v>
      </c>
      <c r="F29" s="25"/>
      <c r="G29" s="15"/>
      <c r="L29" s="41"/>
    </row>
    <row r="30" spans="1:13">
      <c r="A30" s="14"/>
      <c r="C30" s="43" t="s">
        <v>31</v>
      </c>
      <c r="D30" s="43"/>
      <c r="E30" s="43"/>
      <c r="F30" s="23">
        <v>0</v>
      </c>
      <c r="G30" s="15"/>
      <c r="L30" s="41"/>
    </row>
    <row r="31" spans="1:13">
      <c r="A31" s="14"/>
      <c r="C31" s="43" t="s">
        <v>32</v>
      </c>
      <c r="D31" s="43"/>
      <c r="E31" s="43"/>
      <c r="F31" s="23">
        <v>0</v>
      </c>
      <c r="G31" s="15"/>
      <c r="L31" s="41"/>
    </row>
    <row r="32" spans="1:13">
      <c r="A32" s="14"/>
      <c r="C32" s="43" t="s">
        <v>33</v>
      </c>
      <c r="D32" s="43"/>
      <c r="E32" s="43"/>
      <c r="F32" s="23">
        <v>0</v>
      </c>
      <c r="G32" s="15"/>
      <c r="L32" s="41"/>
    </row>
    <row r="33" spans="1:13">
      <c r="A33" s="14"/>
      <c r="C33" s="43" t="s">
        <v>21</v>
      </c>
      <c r="D33" s="43"/>
      <c r="E33" s="43"/>
      <c r="F33" s="24">
        <f>SUM(F30:F32)</f>
        <v>0</v>
      </c>
      <c r="G33" s="15"/>
      <c r="L33" s="41"/>
    </row>
    <row r="34" spans="1:13">
      <c r="A34" s="14"/>
      <c r="B34" s="5" t="s">
        <v>22</v>
      </c>
      <c r="F34" s="25"/>
      <c r="G34" s="15"/>
      <c r="L34" s="41"/>
    </row>
    <row r="35" spans="1:13">
      <c r="A35" s="14"/>
      <c r="C35" s="43" t="s">
        <v>34</v>
      </c>
      <c r="D35" s="43"/>
      <c r="E35" s="43"/>
      <c r="F35" s="23">
        <f>+H35+I35+J35</f>
        <v>2800508.95</v>
      </c>
      <c r="G35" s="15"/>
      <c r="H35" s="33">
        <v>2800508.95</v>
      </c>
      <c r="I35" s="35"/>
      <c r="L35" s="41"/>
    </row>
    <row r="36" spans="1:13">
      <c r="A36" s="14"/>
      <c r="C36" s="43" t="s">
        <v>35</v>
      </c>
      <c r="D36" s="43"/>
      <c r="E36" s="43"/>
      <c r="F36" s="23">
        <v>0</v>
      </c>
      <c r="G36" s="15"/>
      <c r="L36" s="41"/>
    </row>
    <row r="37" spans="1:13">
      <c r="A37" s="14"/>
      <c r="C37" s="43" t="s">
        <v>36</v>
      </c>
      <c r="D37" s="43"/>
      <c r="E37" s="43"/>
      <c r="F37" s="23">
        <v>0</v>
      </c>
      <c r="G37" s="15"/>
      <c r="L37" s="41"/>
    </row>
    <row r="38" spans="1:13">
      <c r="A38" s="14"/>
      <c r="C38" s="43" t="s">
        <v>28</v>
      </c>
      <c r="D38" s="43"/>
      <c r="E38" s="43"/>
      <c r="F38" s="24">
        <f>SUM(F35:F37)</f>
        <v>2800508.95</v>
      </c>
      <c r="G38" s="15"/>
      <c r="L38" s="41"/>
    </row>
    <row r="39" spans="1:13">
      <c r="A39" s="14"/>
      <c r="B39" s="43" t="s">
        <v>37</v>
      </c>
      <c r="C39" s="43"/>
      <c r="D39" s="43"/>
      <c r="E39" s="43"/>
      <c r="F39" s="26">
        <f>+F33-F38</f>
        <v>-2800508.95</v>
      </c>
      <c r="G39" s="15"/>
      <c r="L39" s="41"/>
    </row>
    <row r="40" spans="1:13">
      <c r="A40" s="14"/>
      <c r="B40" s="22"/>
      <c r="C40" s="22"/>
      <c r="D40" s="22"/>
      <c r="E40" s="22"/>
      <c r="F40" s="23"/>
      <c r="G40" s="15"/>
      <c r="L40" s="41"/>
    </row>
    <row r="41" spans="1:13">
      <c r="A41" s="45" t="s">
        <v>38</v>
      </c>
      <c r="B41" s="46"/>
      <c r="C41" s="46"/>
      <c r="D41" s="46"/>
      <c r="E41" s="46"/>
      <c r="F41" s="25"/>
      <c r="G41" s="15"/>
      <c r="L41" s="41"/>
    </row>
    <row r="42" spans="1:13">
      <c r="A42" s="14"/>
      <c r="B42" s="5" t="s">
        <v>11</v>
      </c>
      <c r="F42" s="25"/>
      <c r="G42" s="15"/>
      <c r="L42" s="41"/>
    </row>
    <row r="43" spans="1:13">
      <c r="A43" s="14"/>
      <c r="C43" s="43" t="s">
        <v>39</v>
      </c>
      <c r="D43" s="43"/>
      <c r="E43" s="43"/>
      <c r="F43" s="23">
        <v>0</v>
      </c>
      <c r="G43" s="15"/>
      <c r="L43" s="41"/>
    </row>
    <row r="44" spans="1:13">
      <c r="A44" s="14"/>
      <c r="C44" s="43" t="s">
        <v>40</v>
      </c>
      <c r="D44" s="43"/>
      <c r="E44" s="43"/>
      <c r="F44" s="23">
        <v>0</v>
      </c>
      <c r="G44" s="15"/>
      <c r="H44" s="33">
        <v>0</v>
      </c>
      <c r="L44" s="41"/>
    </row>
    <row r="45" spans="1:13">
      <c r="A45" s="14"/>
      <c r="C45" s="43" t="s">
        <v>41</v>
      </c>
      <c r="D45" s="43"/>
      <c r="E45" s="43"/>
      <c r="F45" s="24">
        <f>SUM(F43:F44)</f>
        <v>0</v>
      </c>
      <c r="G45" s="15"/>
      <c r="L45" s="41"/>
    </row>
    <row r="46" spans="1:13">
      <c r="A46" s="14"/>
      <c r="B46" s="5" t="s">
        <v>22</v>
      </c>
      <c r="F46" s="25"/>
      <c r="G46" s="15"/>
      <c r="L46" s="41"/>
    </row>
    <row r="47" spans="1:13">
      <c r="A47" s="14"/>
      <c r="C47" s="43" t="s">
        <v>42</v>
      </c>
      <c r="D47" s="43"/>
      <c r="E47" s="43"/>
      <c r="F47" s="23"/>
      <c r="G47" s="15"/>
      <c r="L47" s="41"/>
    </row>
    <row r="48" spans="1:13">
      <c r="A48" s="14"/>
      <c r="C48" s="43" t="s">
        <v>43</v>
      </c>
      <c r="D48" s="43"/>
      <c r="E48" s="43"/>
      <c r="F48" s="23">
        <f>+H48+I48+J48</f>
        <v>3986694.35</v>
      </c>
      <c r="G48" s="15"/>
      <c r="H48" s="33">
        <v>3986694.35</v>
      </c>
      <c r="L48" s="41"/>
    </row>
    <row r="49" spans="1:13">
      <c r="A49" s="14"/>
      <c r="C49" s="43" t="s">
        <v>44</v>
      </c>
      <c r="D49" s="43"/>
      <c r="E49" s="43"/>
      <c r="F49" s="24">
        <f>SUM(F47:F48)</f>
        <v>3986694.35</v>
      </c>
      <c r="G49" s="15"/>
      <c r="L49" s="41"/>
    </row>
    <row r="50" spans="1:13">
      <c r="A50" s="14"/>
      <c r="B50" s="43" t="s">
        <v>45</v>
      </c>
      <c r="C50" s="43"/>
      <c r="D50" s="43"/>
      <c r="E50" s="43"/>
      <c r="F50" s="26">
        <f>+F45-F49</f>
        <v>-3986694.35</v>
      </c>
      <c r="G50" s="15"/>
      <c r="L50" s="41"/>
    </row>
    <row r="51" spans="1:13">
      <c r="A51" s="14"/>
      <c r="B51" s="22"/>
      <c r="C51" s="22"/>
      <c r="D51" s="22"/>
      <c r="E51" s="22"/>
      <c r="F51" s="16"/>
      <c r="G51" s="15"/>
      <c r="L51" s="41"/>
    </row>
    <row r="52" spans="1:13">
      <c r="A52" s="44" t="s">
        <v>46</v>
      </c>
      <c r="B52" s="43"/>
      <c r="C52" s="43"/>
      <c r="D52" s="43"/>
      <c r="G52" s="27">
        <f>+F50+F39+F26</f>
        <v>29735353.5</v>
      </c>
      <c r="L52" s="41"/>
    </row>
    <row r="53" spans="1:13">
      <c r="A53" s="44" t="s">
        <v>47</v>
      </c>
      <c r="B53" s="43"/>
      <c r="C53" s="43"/>
      <c r="D53" s="43"/>
      <c r="G53" s="29">
        <f>+H53+I53+J53</f>
        <v>31380043.05</v>
      </c>
      <c r="H53" s="35">
        <v>17904329.97</v>
      </c>
      <c r="I53" s="35">
        <v>1548193.64</v>
      </c>
      <c r="J53" s="35">
        <v>11927519.44</v>
      </c>
      <c r="L53" s="41"/>
      <c r="M53" s="40"/>
    </row>
    <row r="54" spans="1:13">
      <c r="A54" s="44" t="s">
        <v>48</v>
      </c>
      <c r="B54" s="43"/>
      <c r="C54" s="43"/>
      <c r="D54" s="43"/>
      <c r="G54" s="28">
        <f>+G52+G53</f>
        <v>61115396.55</v>
      </c>
      <c r="H54" s="35">
        <v>35422191.25</v>
      </c>
      <c r="I54" s="35">
        <v>2241221.42</v>
      </c>
      <c r="J54" s="35">
        <v>23451983.88</v>
      </c>
      <c r="K54" s="35">
        <f>SUM(H54:J54)</f>
        <v>61115396.55</v>
      </c>
      <c r="L54" s="42">
        <f>+G54-K54</f>
        <v>7.4505805969238E-9</v>
      </c>
      <c r="M54" s="40"/>
    </row>
    <row r="55" spans="1:13">
      <c r="A55" s="14"/>
      <c r="G55" s="15"/>
      <c r="L55" s="41"/>
    </row>
    <row r="56" spans="1:13">
      <c r="A56" s="17"/>
      <c r="B56" s="17"/>
      <c r="C56" s="17"/>
      <c r="D56" s="17"/>
      <c r="E56" s="17"/>
      <c r="F56" s="17"/>
      <c r="G56" s="17"/>
      <c r="L56" s="41"/>
    </row>
    <row r="57" spans="1:13">
      <c r="A57" s="18" t="s">
        <v>49</v>
      </c>
    </row>
    <row r="58" spans="1:13">
      <c r="A58" s="18"/>
      <c r="G58" s="36"/>
    </row>
    <row r="59" spans="1:13">
      <c r="B59" s="48" t="s">
        <v>50</v>
      </c>
      <c r="E59" s="48" t="s">
        <v>50</v>
      </c>
      <c r="G59" s="37"/>
    </row>
    <row r="60" spans="1:13">
      <c r="B60" s="16" t="s">
        <v>51</v>
      </c>
      <c r="E60" s="16" t="s">
        <v>52</v>
      </c>
    </row>
    <row r="61" spans="1:13">
      <c r="B61" s="16" t="s">
        <v>53</v>
      </c>
      <c r="E61" s="16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6:E16"/>
    <mergeCell ref="A4:G4"/>
    <mergeCell ref="C12:E12"/>
    <mergeCell ref="C13:E13"/>
    <mergeCell ref="C14:E14"/>
    <mergeCell ref="C15:E15"/>
    <mergeCell ref="A41:E41"/>
    <mergeCell ref="C17:E17"/>
    <mergeCell ref="C18:E18"/>
    <mergeCell ref="C30:E30"/>
    <mergeCell ref="C31:E31"/>
    <mergeCell ref="C32:E32"/>
    <mergeCell ref="C33:E33"/>
    <mergeCell ref="C35:E35"/>
    <mergeCell ref="C36:E36"/>
    <mergeCell ref="C37:E37"/>
    <mergeCell ref="C38:E38"/>
    <mergeCell ref="B39:E39"/>
    <mergeCell ref="B50:E50"/>
    <mergeCell ref="A52:D52"/>
    <mergeCell ref="A53:D53"/>
    <mergeCell ref="A54:D54"/>
    <mergeCell ref="C43:E43"/>
    <mergeCell ref="C44:E44"/>
    <mergeCell ref="C45:E45"/>
    <mergeCell ref="C47:E47"/>
    <mergeCell ref="C48:E48"/>
    <mergeCell ref="C49:E49"/>
  </mergeCells>
  <printOptions gridLines="false" gridLinesSet="true"/>
  <pageMargins left="0.7" right="0.7" top="0.75" bottom="0.75" header="0.3" footer="0.3"/>
  <pageSetup paperSize="1" orientation="portrait" scale="7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H27" sqref="H27"/>
    </sheetView>
  </sheetViews>
  <sheetFormatPr defaultRowHeight="14.4" outlineLevelRow="0" outlineLevelCol="0"/>
  <sheetData>
    <row r="1" spans="1:1" customHeight="1" ht="23.4">
      <c r="A1" s="2" t="s">
        <v>55</v>
      </c>
    </row>
    <row r="3" spans="1:1">
      <c r="A3" t="s">
        <v>56</v>
      </c>
    </row>
    <row r="5" spans="1:1">
      <c r="A5" t="s">
        <v>57</v>
      </c>
    </row>
    <row r="6" spans="1:1">
      <c r="A6" s="1" t="s">
        <v>58</v>
      </c>
    </row>
    <row r="9" spans="1:1">
      <c r="A9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9- SCF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hp</cp:lastModifiedBy>
  <dcterms:created xsi:type="dcterms:W3CDTF">2015-06-06T02:17:20+08:00</dcterms:created>
  <dcterms:modified xsi:type="dcterms:W3CDTF">2026-07-28T11:46:32+08:00</dcterms:modified>
  <dc:title/>
  <dc:description/>
  <dc:subject/>
  <cp:keywords/>
  <cp:category/>
</cp:coreProperties>
</file>