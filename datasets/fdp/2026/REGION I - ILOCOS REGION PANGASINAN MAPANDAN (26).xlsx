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8 - LDRRMFU" sheetId="1" r:id="rId4"/>
    <sheet name="FDPP LICENSE" sheetId="2" state="veryHidden" r:id="rId5"/>
  </sheets>
  <definedNames>
    <definedName name="_xlnm.Print_Titles" localSheetId="0">'Form 8 - LDRRMFU'!$1:$14</definedName>
    <definedName name="_xlnm.Print_Area" localSheetId="0">'Form 8 - LDRRMFU'!$A$1:$G$53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<sst xmlns="http://schemas.openxmlformats.org/spreadsheetml/2006/main" uniqueCount="57">
  <si>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FDP Form 8 - Local Disaster Risk Reduction and Management Fund Utilization</t>
  </si>
  <si>
    <t>(Commission on Audit Form)</t>
  </si>
  <si>
    <t>LOCAL DISASTER RISK REDUCTION AND MANAGEMENT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</si>
  <si>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</si>
  <si>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</si>
  <si>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</si>
  <si>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</si>
  <si>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</si>
  <si>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</si>
  <si>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</si>
  <si>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Particulars</t>
  </si>
  <si>
    <t>LDRRM Fund</t>
  </si>
  <si>
    <t>NDRRM Fund</t>
  </si>
  <si>
    <t>From Other LGUs</t>
  </si>
  <si>
    <t>From Other
Sources</t>
  </si>
  <si>
    <t>Total</t>
  </si>
  <si>
    <t>Quick Response
Fund (QRF)
30%</t>
  </si>
  <si>
    <t>Mitigation Fund
70%</t>
  </si>
  <si>
    <t>A. Sources of Funds</t>
  </si>
  <si>
    <t xml:space="preserve">     Current Appropriations</t>
  </si>
  <si>
    <t xml:space="preserve">     Continuing Appropriations</t>
  </si>
  <si>
    <t xml:space="preserve">     Previous Years' Appropriations Transferred to the Special Trust Fund</t>
  </si>
  <si>
    <t xml:space="preserve">                   (Year 1) 2024</t>
  </si>
  <si>
    <t xml:space="preserve">                   (Year 2) 2023</t>
  </si>
  <si>
    <t xml:space="preserve">                   (Year 3) 2022</t>
  </si>
  <si>
    <t xml:space="preserve">       Transfer/Grants</t>
  </si>
  <si>
    <t xml:space="preserve">       Total Funds Available</t>
  </si>
  <si>
    <t>B. Utilization</t>
  </si>
  <si>
    <t xml:space="preserve">     Medicines and Medical 
     Supplies for Rescue  
     Operations &amp; Post Typhoon   
     Medical Mission</t>
  </si>
  <si>
    <t xml:space="preserve">     Basic Emergency Supplies</t>
  </si>
  <si>
    <t xml:space="preserve">     Construction Materials for 
     Super Typhoon Uwan-
     Emergency Response and 
     Support to Affected Families</t>
  </si>
  <si>
    <t xml:space="preserve">     Meals and Snacks for 
     Evacues, Relief Good
     Distributers, &amp; Emergency 
     Responders during Super 
     Typhoon Uwan</t>
  </si>
  <si>
    <t xml:space="preserve">     Various Supplies &amp; Relief 
     Goods during Super Typhoon
     Uwan</t>
  </si>
  <si>
    <t xml:space="preserve">     Repair of Evacuation Center</t>
  </si>
  <si>
    <t xml:space="preserve">     Trainings</t>
  </si>
  <si>
    <t xml:space="preserve">     Clean Up Drive &amp; Tree Planting</t>
  </si>
  <si>
    <t xml:space="preserve">     Insurance of MDRRMO
     Personnel</t>
  </si>
  <si>
    <t xml:space="preserve">     Insurance of Emergency
     Operations Center</t>
  </si>
  <si>
    <t xml:space="preserve">     Purchase of Supplies &amp; 
     Equipment for Dengue 
     Prevention</t>
  </si>
  <si>
    <t xml:space="preserve">     Repair and Maintenance of 
     MDRRMO Vehicle used for
     Disaster Response</t>
  </si>
  <si>
    <t xml:space="preserve">     First Aid Kit and Hygiene Kit</t>
  </si>
  <si>
    <t xml:space="preserve">     Purchase of Supplies and Equipment</t>
  </si>
  <si>
    <t xml:space="preserve">     Prizes for National Disaster 
     Resilience Month TikTok-
     Making Contest.</t>
  </si>
  <si>
    <t xml:space="preserve">     Purchase of Rescue Vehicles</t>
  </si>
  <si>
    <t xml:space="preserve">    Total Utilization</t>
  </si>
  <si>
    <t xml:space="preserve">    Unutilized Balance</t>
  </si>
  <si>
    <t xml:space="preserve">We hereby certify that we have reviewed the contents and hereby attest to the veracity and correctness of tha data or information contained in this document.
</t>
  </si>
  <si>
    <t>Signed</t>
  </si>
  <si>
    <t>Ruth B. Sotto</t>
  </si>
  <si>
    <t>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</si>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</sst>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8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general" vertical="center" textRotation="0" wrapText="true" shrinkToFit="false"/>
      <protection locked="false"/>
    </xf>
    <xf xfId="0" fontId="5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3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4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6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7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8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4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164" fillId="2" borderId="3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9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general" vertical="bottom" textRotation="0" wrapText="tru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 applyProtection="true">
      <alignment horizontal="left" vertical="top" textRotation="0" wrapText="tru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9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9" applyFont="1" applyNumberFormat="0" applyFill="0" applyBorder="1" applyAlignment="1">
      <alignment horizontal="center" vertical="bottom" textRotation="0" wrapText="false" shrinkToFit="false"/>
    </xf>
    <xf xfId="0" fontId="3" numFmtId="0" fillId="2" borderId="9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3"/>
  <sheetViews>
    <sheetView tabSelected="1" workbookViewId="0" showGridLines="true" showRowColHeaders="1">
      <selection activeCell="E54" sqref="E54"/>
    </sheetView>
  </sheetViews>
  <sheetFormatPr defaultRowHeight="14.4" outlineLevelRow="0" outlineLevelCol="0"/>
  <cols>
    <col min="1" max="1" width="25.6640625" customWidth="true" style="12"/>
    <col min="2" max="2" width="20.6640625" customWidth="true" style="12"/>
    <col min="3" max="3" width="20.6640625" customWidth="true" style="12"/>
    <col min="4" max="4" width="20.6640625" customWidth="true" style="12"/>
    <col min="5" max="5" width="20.6640625" customWidth="true" style="12"/>
    <col min="6" max="6" width="20.6640625" customWidth="true" style="12"/>
    <col min="7" max="7" width="20.6640625" customWidth="true" style="12"/>
    <col min="8" max="8" width="8.88671875" customWidth="true" style="12"/>
    <col min="9" max="9" width="13.33203125" customWidth="true" style="0"/>
    <col min="10" max="10" width="10.5546875" customWidth="true" style="0"/>
  </cols>
  <sheetData>
    <row r="1" spans="1:10">
      <c r="A1" s="22" t="s">
        <v>0</v>
      </c>
      <c r="B1" s="11"/>
      <c r="C1" s="11"/>
      <c r="D1" s="11"/>
      <c r="E1" s="11"/>
    </row>
    <row r="2" spans="1:10" s="13" customFormat="1">
      <c r="A2" s="22" t="s">
        <v>1</v>
      </c>
    </row>
    <row r="3" spans="1:10" s="13" customFormat="1">
      <c r="A3" s="10"/>
    </row>
    <row r="4" spans="1:10">
      <c r="A4" s="14"/>
      <c r="B4" s="14"/>
      <c r="C4" s="14"/>
      <c r="D4" s="14"/>
      <c r="E4" s="14"/>
    </row>
    <row r="5" spans="1:10">
      <c r="A5" s="54" t="s">
        <v>2</v>
      </c>
      <c r="B5" s="54"/>
      <c r="C5" s="54"/>
      <c r="D5" s="54"/>
      <c r="E5" s="54"/>
      <c r="F5" s="54"/>
      <c r="G5" s="54"/>
    </row>
    <row r="6" spans="1:10">
      <c r="A6" s="15"/>
      <c r="B6" s="15"/>
      <c r="C6" s="15"/>
      <c r="D6" s="15"/>
      <c r="E6" s="15"/>
    </row>
    <row r="7" spans="1:10">
      <c r="A7" s="23" t="s">
        <v>3</v>
      </c>
      <c r="B7" s="27">
        <v>1</v>
      </c>
      <c r="C7" s="16"/>
      <c r="D7" s="24" t="s">
        <v>4</v>
      </c>
      <c r="E7" s="13">
        <v>2025</v>
      </c>
    </row>
    <row r="8" spans="1:10">
      <c r="A8" s="25" t="s">
        <v>5</v>
      </c>
      <c r="B8" s="28" t="s">
        <v>6</v>
      </c>
      <c r="C8" s="17"/>
      <c r="D8" s="26" t="s">
        <v>7</v>
      </c>
      <c r="E8" s="17">
        <v>4</v>
      </c>
    </row>
    <row r="9" spans="1:10">
      <c r="A9" s="25" t="s">
        <v>8</v>
      </c>
      <c r="B9" s="29" t="s">
        <v>9</v>
      </c>
      <c r="D9" s="15"/>
    </row>
    <row r="10" spans="1:10">
      <c r="A10" s="18"/>
      <c r="B10" s="19"/>
      <c r="C10" s="19"/>
      <c r="D10" s="19"/>
      <c r="E10" s="19"/>
      <c r="F10" s="19"/>
      <c r="G10" s="19"/>
    </row>
    <row r="11" spans="1:10">
      <c r="A11" s="55" t="s">
        <v>10</v>
      </c>
      <c r="B11" s="57" t="s">
        <v>11</v>
      </c>
      <c r="C11" s="57"/>
      <c r="D11" s="55" t="s">
        <v>12</v>
      </c>
      <c r="E11" s="55" t="s">
        <v>13</v>
      </c>
      <c r="F11" s="58" t="s">
        <v>14</v>
      </c>
      <c r="G11" s="55" t="s">
        <v>15</v>
      </c>
    </row>
    <row r="12" spans="1:10">
      <c r="A12" s="56"/>
      <c r="B12" s="59" t="s">
        <v>16</v>
      </c>
      <c r="C12" s="61" t="s">
        <v>17</v>
      </c>
      <c r="D12" s="56"/>
      <c r="E12" s="56"/>
      <c r="F12" s="56"/>
      <c r="G12" s="56"/>
    </row>
    <row r="13" spans="1:10">
      <c r="A13" s="56"/>
      <c r="B13" s="60"/>
      <c r="C13" s="62"/>
      <c r="D13" s="56"/>
      <c r="E13" s="56"/>
      <c r="F13" s="56"/>
      <c r="G13" s="56"/>
    </row>
    <row r="14" spans="1:10">
      <c r="A14" s="56"/>
      <c r="B14" s="60"/>
      <c r="C14" s="62"/>
      <c r="D14" s="56"/>
      <c r="E14" s="56"/>
      <c r="F14" s="56"/>
      <c r="G14" s="56"/>
    </row>
    <row r="15" spans="1:10">
      <c r="A15" s="3" t="s">
        <v>18</v>
      </c>
      <c r="B15" s="3"/>
      <c r="C15" s="3"/>
      <c r="D15" s="3"/>
      <c r="E15" s="3"/>
      <c r="F15" s="3"/>
      <c r="G15" s="3"/>
    </row>
    <row r="16" spans="1:10">
      <c r="A16" s="4" t="s">
        <v>19</v>
      </c>
      <c r="B16" s="30">
        <v>2846749.35495</v>
      </c>
      <c r="C16" s="30">
        <v>6642415.16155</v>
      </c>
      <c r="D16" s="30"/>
      <c r="E16" s="30"/>
      <c r="F16" s="30"/>
      <c r="G16" s="30">
        <f>+B16+C16</f>
        <v>9489164.5165</v>
      </c>
    </row>
    <row r="17" spans="1:10">
      <c r="A17" s="4" t="s">
        <v>20</v>
      </c>
      <c r="B17" s="30"/>
      <c r="C17" s="30">
        <v>235922.74</v>
      </c>
      <c r="D17" s="30"/>
      <c r="E17" s="30"/>
      <c r="F17" s="30"/>
      <c r="G17" s="30">
        <f>SUM(B17:F17)</f>
        <v>235922.74</v>
      </c>
    </row>
    <row r="18" spans="1:10" customHeight="1" ht="41.4">
      <c r="A18" s="5" t="s">
        <v>21</v>
      </c>
      <c r="B18" s="31"/>
      <c r="C18" s="31"/>
      <c r="D18" s="31"/>
      <c r="E18" s="31"/>
      <c r="F18" s="31"/>
      <c r="G18" s="31"/>
    </row>
    <row r="19" spans="1:10">
      <c r="A19" s="6" t="s">
        <v>22</v>
      </c>
      <c r="B19" s="32">
        <v>2402024.53</v>
      </c>
      <c r="C19" s="32">
        <v>532131.12</v>
      </c>
      <c r="D19" s="32"/>
      <c r="E19" s="32"/>
      <c r="F19" s="32"/>
      <c r="G19" s="33">
        <f>SUM(B19:F19)</f>
        <v>2934155.65</v>
      </c>
    </row>
    <row r="20" spans="1:10">
      <c r="A20" s="6" t="s">
        <v>23</v>
      </c>
      <c r="B20" s="32">
        <v>2217282.81</v>
      </c>
      <c r="C20" s="32">
        <f>897167.65-5000.85</f>
        <v>892166.8</v>
      </c>
      <c r="D20" s="32"/>
      <c r="E20" s="32"/>
      <c r="F20" s="32"/>
      <c r="G20" s="33">
        <f>SUM(B20:F20)</f>
        <v>3109449.61</v>
      </c>
    </row>
    <row r="21" spans="1:10">
      <c r="A21" s="6" t="s">
        <v>24</v>
      </c>
      <c r="B21" s="32">
        <v>0</v>
      </c>
      <c r="C21" s="40">
        <v>5000.8500000001</v>
      </c>
      <c r="D21" s="32"/>
      <c r="E21" s="40"/>
      <c r="F21" s="32"/>
      <c r="G21" s="40">
        <f>SUM(B21:F21)</f>
        <v>5000.8500000001</v>
      </c>
    </row>
    <row r="22" spans="1:10">
      <c r="A22" s="7" t="s">
        <v>25</v>
      </c>
      <c r="B22" s="31"/>
      <c r="C22" s="35"/>
      <c r="D22" s="31"/>
      <c r="E22" s="35"/>
      <c r="F22" s="31"/>
      <c r="G22" s="34"/>
    </row>
    <row r="23" spans="1:10">
      <c r="A23" s="8" t="s">
        <v>26</v>
      </c>
      <c r="B23" s="36">
        <f>SUM(B16:B22)</f>
        <v>7466056.69495</v>
      </c>
      <c r="C23" s="36">
        <f>SUM(C16:C22)</f>
        <v>8307636.67155</v>
      </c>
      <c r="D23" s="36"/>
      <c r="E23" s="36"/>
      <c r="F23" s="36"/>
      <c r="G23" s="36">
        <f>SUM(G16:G22)</f>
        <v>15773693.3665</v>
      </c>
    </row>
    <row r="24" spans="1:10">
      <c r="A24" s="8" t="s">
        <v>27</v>
      </c>
      <c r="B24" s="30"/>
      <c r="C24" s="30"/>
      <c r="D24" s="30"/>
      <c r="E24" s="30"/>
      <c r="F24" s="30"/>
      <c r="G24" s="30"/>
    </row>
    <row r="25" spans="1:10" customHeight="1" ht="48.6">
      <c r="A25" s="46" t="s">
        <v>28</v>
      </c>
      <c r="B25" s="30"/>
      <c r="C25" s="30">
        <f>51075+33445</f>
        <v>84520</v>
      </c>
      <c r="D25" s="30"/>
      <c r="E25" s="30"/>
      <c r="F25" s="30"/>
      <c r="G25" s="30">
        <f>SUM(B25:F25)</f>
        <v>84520</v>
      </c>
    </row>
    <row r="26" spans="1:10">
      <c r="A26" s="8" t="s">
        <v>29</v>
      </c>
      <c r="B26" s="30"/>
      <c r="C26" s="30">
        <f>685347+399170</f>
        <v>1084517</v>
      </c>
      <c r="D26" s="30"/>
      <c r="E26" s="30"/>
      <c r="F26" s="30"/>
      <c r="G26" s="30">
        <f>SUM(B26:F26)</f>
        <v>1084517</v>
      </c>
    </row>
    <row r="27" spans="1:10" customHeight="1" ht="48.6">
      <c r="A27" s="38" t="s">
        <v>30</v>
      </c>
      <c r="B27" s="30">
        <v>509400</v>
      </c>
      <c r="C27" s="30"/>
      <c r="D27" s="30"/>
      <c r="E27" s="30"/>
      <c r="F27" s="30"/>
      <c r="G27" s="30">
        <f>SUM(B27:F27)</f>
        <v>509400</v>
      </c>
    </row>
    <row r="28" spans="1:10" customHeight="1" ht="60.6">
      <c r="A28" s="38" t="s">
        <v>31</v>
      </c>
      <c r="B28" s="30">
        <v>474900</v>
      </c>
      <c r="C28" s="30"/>
      <c r="D28" s="30"/>
      <c r="E28" s="30"/>
      <c r="F28" s="30"/>
      <c r="G28" s="30">
        <f>SUM(B28:F28)</f>
        <v>474900</v>
      </c>
    </row>
    <row r="29" spans="1:10" customHeight="1" ht="36.6">
      <c r="A29" s="38" t="s">
        <v>32</v>
      </c>
      <c r="B29" s="30">
        <v>1364724</v>
      </c>
      <c r="C29" s="30"/>
      <c r="D29" s="30"/>
      <c r="E29" s="30"/>
      <c r="F29" s="30"/>
      <c r="G29" s="30">
        <f>SUM(B29:F29)</f>
        <v>1364724</v>
      </c>
    </row>
    <row r="30" spans="1:10" hidden="true">
      <c r="A30" s="8" t="s">
        <v>33</v>
      </c>
      <c r="B30" s="30"/>
      <c r="C30" s="30"/>
      <c r="D30" s="30"/>
      <c r="E30" s="30"/>
      <c r="F30" s="30"/>
      <c r="G30" s="30">
        <f>SUM(B30:F30)</f>
        <v>0</v>
      </c>
    </row>
    <row r="31" spans="1:10">
      <c r="A31" s="8" t="s">
        <v>34</v>
      </c>
      <c r="B31" s="30"/>
      <c r="C31" s="30">
        <f>526733.78+6600+13800+6600+7700+5400+6025+13000+58200+42900</f>
        <v>686958.78</v>
      </c>
      <c r="D31" s="30"/>
      <c r="E31" s="30"/>
      <c r="F31" s="30"/>
      <c r="G31" s="30">
        <f>SUM(B31:F31)</f>
        <v>686958.78</v>
      </c>
    </row>
    <row r="32" spans="1:10">
      <c r="A32" s="8" t="s">
        <v>35</v>
      </c>
      <c r="B32" s="30"/>
      <c r="C32" s="30">
        <f>28525+14040+14775+11050</f>
        <v>68390</v>
      </c>
      <c r="D32" s="30"/>
      <c r="E32" s="30"/>
      <c r="F32" s="30"/>
      <c r="G32" s="30">
        <f>SUM(B32:F32)</f>
        <v>68390</v>
      </c>
    </row>
    <row r="33" spans="1:10" customHeight="1" ht="24.6">
      <c r="A33" s="38" t="s">
        <v>36</v>
      </c>
      <c r="B33" s="41"/>
      <c r="C33" s="41">
        <v>24550</v>
      </c>
      <c r="D33" s="41"/>
      <c r="E33" s="41"/>
      <c r="F33" s="41"/>
      <c r="G33" s="41">
        <f>SUM(B33:F33)</f>
        <v>24550</v>
      </c>
    </row>
    <row r="34" spans="1:10" customHeight="1" ht="24.6">
      <c r="A34" s="38" t="s">
        <v>37</v>
      </c>
      <c r="B34" s="41"/>
      <c r="C34" s="41">
        <v>35734.44</v>
      </c>
      <c r="D34" s="41"/>
      <c r="E34" s="41"/>
      <c r="F34" s="41"/>
      <c r="G34" s="41">
        <f>SUM(B34:F34)</f>
        <v>35734.44</v>
      </c>
    </row>
    <row r="35" spans="1:10" customHeight="1" ht="36.6">
      <c r="A35" s="38" t="s">
        <v>38</v>
      </c>
      <c r="B35" s="30"/>
      <c r="C35" s="30">
        <v>53953</v>
      </c>
      <c r="D35" s="30"/>
      <c r="E35" s="30"/>
      <c r="F35" s="30"/>
      <c r="G35" s="30">
        <f>SUM(B35:F35)</f>
        <v>53953</v>
      </c>
    </row>
    <row r="36" spans="1:10" customHeight="1" ht="36.6">
      <c r="A36" s="38" t="s">
        <v>39</v>
      </c>
      <c r="B36" s="30"/>
      <c r="C36" s="30">
        <v>71400</v>
      </c>
      <c r="D36" s="30"/>
      <c r="E36" s="30"/>
      <c r="F36" s="30"/>
      <c r="G36" s="30">
        <f>SUM(B36:F36)</f>
        <v>71400</v>
      </c>
    </row>
    <row r="37" spans="1:10" hidden="true">
      <c r="A37" s="42" t="s">
        <v>40</v>
      </c>
      <c r="B37" s="41"/>
      <c r="C37" s="41"/>
      <c r="D37" s="41"/>
      <c r="E37" s="41"/>
      <c r="F37" s="41"/>
      <c r="G37" s="41">
        <f>SUM(B37:F37)</f>
        <v>0</v>
      </c>
    </row>
    <row r="38" spans="1:10">
      <c r="A38" s="8" t="s">
        <v>41</v>
      </c>
      <c r="B38" s="30"/>
      <c r="C38" s="30">
        <f>592750+177300+23500+60000+78650+227750+122000+72960</f>
        <v>1354910</v>
      </c>
      <c r="D38" s="30"/>
      <c r="E38" s="30"/>
      <c r="F38" s="30"/>
      <c r="G38" s="30">
        <f>SUM(B38:F38)</f>
        <v>1354910</v>
      </c>
    </row>
    <row r="39" spans="1:10" customHeight="1" ht="36.6">
      <c r="A39" s="38" t="s">
        <v>42</v>
      </c>
      <c r="B39" s="44"/>
      <c r="C39" s="44">
        <v>8000</v>
      </c>
      <c r="D39" s="30"/>
      <c r="E39" s="30"/>
      <c r="F39" s="30"/>
      <c r="G39" s="30">
        <f>SUM(B39:F39)</f>
        <v>8000</v>
      </c>
    </row>
    <row r="40" spans="1:10">
      <c r="A40" s="8" t="s">
        <v>43</v>
      </c>
      <c r="B40" s="44"/>
      <c r="C40" s="44">
        <v>2999000</v>
      </c>
      <c r="D40" s="30"/>
      <c r="E40" s="30"/>
      <c r="F40" s="30"/>
      <c r="G40" s="30">
        <f>SUM(B40:F40)</f>
        <v>2999000</v>
      </c>
    </row>
    <row r="41" spans="1:10">
      <c r="A41" s="8" t="s">
        <v>44</v>
      </c>
      <c r="B41" s="39">
        <f>SUM(B25:B40)</f>
        <v>2349024</v>
      </c>
      <c r="C41" s="39">
        <f>SUM(C25:C40)</f>
        <v>6471933.22</v>
      </c>
      <c r="D41" s="39"/>
      <c r="E41" s="39"/>
      <c r="F41" s="39"/>
      <c r="G41" s="39">
        <f>SUM(G25:G40)</f>
        <v>8820957.22</v>
      </c>
      <c r="I41" s="43"/>
      <c r="J41" s="43"/>
    </row>
    <row r="42" spans="1:10">
      <c r="A42" s="9" t="s">
        <v>45</v>
      </c>
      <c r="B42" s="37">
        <f>+B23-B41</f>
        <v>5117032.69495</v>
      </c>
      <c r="C42" s="37">
        <f>+C23-C41</f>
        <v>1835703.45155</v>
      </c>
      <c r="D42" s="37"/>
      <c r="E42" s="37"/>
      <c r="F42" s="37"/>
      <c r="G42" s="37">
        <f>+G23-G41</f>
        <v>6952736.1465</v>
      </c>
    </row>
    <row r="43" spans="1:10">
      <c r="A43" s="20"/>
      <c r="B43" s="20"/>
      <c r="C43" s="20"/>
      <c r="D43" s="20"/>
      <c r="E43" s="20"/>
      <c r="F43" s="20"/>
      <c r="G43" s="20"/>
    </row>
    <row r="44" spans="1:10">
      <c r="A44" s="48" t="s">
        <v>46</v>
      </c>
      <c r="B44" s="48"/>
      <c r="C44" s="48"/>
      <c r="D44" s="48"/>
      <c r="E44" s="48"/>
      <c r="F44" s="48"/>
      <c r="G44" s="48"/>
    </row>
    <row r="45" spans="1:10">
      <c r="C45" s="21"/>
      <c r="D45" s="21"/>
      <c r="E45" s="21"/>
      <c r="F45" s="21"/>
      <c r="G45" s="21"/>
    </row>
    <row r="46" spans="1:10">
      <c r="A46" s="63" t="s">
        <v>47</v>
      </c>
      <c r="B46" s="63"/>
      <c r="D46" s="63" t="s">
        <v>47</v>
      </c>
      <c r="E46" s="63"/>
    </row>
    <row r="47" spans="1:10">
      <c r="A47" s="49" t="s">
        <v>48</v>
      </c>
      <c r="B47" s="50"/>
      <c r="C47" s="45"/>
      <c r="D47" s="51" t="s">
        <v>49</v>
      </c>
      <c r="E47" s="51"/>
    </row>
    <row r="48" spans="1:10">
      <c r="A48" s="52" t="s">
        <v>50</v>
      </c>
      <c r="B48" s="52"/>
      <c r="D48" s="53" t="s">
        <v>51</v>
      </c>
      <c r="E48" s="53"/>
    </row>
    <row r="49" spans="1:10">
      <c r="I49" s="47"/>
    </row>
    <row r="53" spans="1:10">
      <c r="I53" s="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G5"/>
    <mergeCell ref="A11:A14"/>
    <mergeCell ref="B11:C11"/>
    <mergeCell ref="D11:D14"/>
    <mergeCell ref="E11:E14"/>
    <mergeCell ref="F11:F14"/>
    <mergeCell ref="G11:G14"/>
    <mergeCell ref="B12:B14"/>
    <mergeCell ref="C12:C14"/>
    <mergeCell ref="A44:G44"/>
    <mergeCell ref="A47:B47"/>
    <mergeCell ref="D47:E47"/>
    <mergeCell ref="A48:B48"/>
    <mergeCell ref="D48:E48"/>
    <mergeCell ref="A46:B46"/>
    <mergeCell ref="D46:E46"/>
  </mergeCells>
  <printOptions gridLines="false" gridLinesSet="true"/>
  <pageMargins left="0.7" right="0.7" top="0.75" bottom="0.75" header="0.3" footer="0.3"/>
  <pageSetup paperSize="1" orientation="landscape" scale="82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G16" sqref="G16"/>
    </sheetView>
  </sheetViews>
  <sheetFormatPr defaultRowHeight="14.4" outlineLevelRow="0" outlineLevelCol="0"/>
  <sheetData>
    <row r="1" spans="1:1" customHeight="1" ht="23.4">
      <c r="A1" s="1" t="s">
        <v>52</v>
      </c>
    </row>
    <row r="3" spans="1:1">
      <c r="A3" t="s">
        <v>53</v>
      </c>
    </row>
    <row r="5" spans="1:1">
      <c r="A5" t="s">
        <v>54</v>
      </c>
    </row>
    <row r="6" spans="1:1">
      <c r="A6" s="2" t="s">
        <v>55</v>
      </c>
    </row>
    <row r="9" spans="1:1">
      <c r="A9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8 - LDRRMFU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2026-07-07T09:30:46+08:00</dcterms:modified>
  <dc:title/>
  <dc:description/>
  <dc:subject/>
  <cp:keywords/>
  <cp:category/>
</cp:coreProperties>
</file>