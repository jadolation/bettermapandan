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 FI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<sst xmlns="http://schemas.openxmlformats.org/spreadsheetml/2006/main" uniqueCount="429">
  <si>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LBP Form No. 2</t>
  </si>
  <si>
    <t>PROGRAMMED APPROPRIATION AND OBLIGATION BY OBJECT OF EXPENDITURE</t>
  </si>
  <si>
    <t>Mapandan, Pangasinan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</si>
  <si>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Mayor - 1011</t>
    </r>
  </si>
  <si>
    <t>Past Year</t>
  </si>
  <si>
    <t>Current Year (Estimate) 2025</t>
  </si>
  <si>
    <t>Budget Year</t>
  </si>
  <si>
    <t>Object of Expenditure</t>
  </si>
  <si>
    <t>Account Code</t>
  </si>
  <si>
    <t>First Semester</t>
  </si>
  <si>
    <t>Second Semester</t>
  </si>
  <si>
    <t>Total</t>
  </si>
  <si>
    <t>(Actual)</t>
  </si>
  <si>
    <t>(Estimate)</t>
  </si>
  <si>
    <t>(Proposed)</t>
  </si>
  <si>
    <t xml:space="preserve">     Personal Services</t>
  </si>
  <si>
    <t xml:space="preserve">           Salaries &amp; Wages - Regular</t>
  </si>
  <si>
    <t>5-01-01-010</t>
  </si>
  <si>
    <t>P</t>
  </si>
  <si>
    <t xml:space="preserve">     Other Compensation</t>
  </si>
  <si>
    <t xml:space="preserve">           Personnel Economic Relief Allowance (PERA)</t>
  </si>
  <si>
    <t>5-01-02-010</t>
  </si>
  <si>
    <t xml:space="preserve">           Representation Allowance (RA)</t>
  </si>
  <si>
    <t>5-01-02-020</t>
  </si>
  <si>
    <t xml:space="preserve">           Transportation Allowance (TA)</t>
  </si>
  <si>
    <t>5-01-02-030</t>
  </si>
  <si>
    <t xml:space="preserve">           Clothing/Uniform Allowance</t>
  </si>
  <si>
    <t>5-01-02-040</t>
  </si>
  <si>
    <t xml:space="preserve">           Productivity Enhancement Incentive</t>
  </si>
  <si>
    <t>5-01-02-080</t>
  </si>
  <si>
    <t xml:space="preserve">           Service Recognition Incentives</t>
  </si>
  <si>
    <t>5-01-02-081</t>
  </si>
  <si>
    <t xml:space="preserve">           Year End Bonus</t>
  </si>
  <si>
    <t>5-01-02-140</t>
  </si>
  <si>
    <t xml:space="preserve">           Cash Gift</t>
  </si>
  <si>
    <t>5-01-02-150</t>
  </si>
  <si>
    <t xml:space="preserve">           Mid-Year Bonus</t>
  </si>
  <si>
    <t>5-01-02-151</t>
  </si>
  <si>
    <t xml:space="preserve">     Personnel Benefit Contributions</t>
  </si>
  <si>
    <t xml:space="preserve">           Retirement &amp; Life Insurance Premiums</t>
  </si>
  <si>
    <t>5-01-03-010</t>
  </si>
  <si>
    <t xml:space="preserve">           Pag-IBIG Contributions</t>
  </si>
  <si>
    <t>5-01-03-020</t>
  </si>
  <si>
    <t xml:space="preserve">           PhilHealth Contributions</t>
  </si>
  <si>
    <t>5-01-03-030</t>
  </si>
  <si>
    <t xml:space="preserve">           Employees Compensation Insurance Premiums</t>
  </si>
  <si>
    <t>5-01-03-040</t>
  </si>
  <si>
    <t xml:space="preserve">     Other Personnel Benefits</t>
  </si>
  <si>
    <t xml:space="preserve">        Terminal Leave Benefits</t>
  </si>
  <si>
    <t>5-01-04-030</t>
  </si>
  <si>
    <t xml:space="preserve">        Other Personnel Benefits</t>
  </si>
  <si>
    <t>5-01-04-990</t>
  </si>
  <si>
    <t>TOTAL PERSONAL SERVICES</t>
  </si>
  <si>
    <t xml:space="preserve">   Maintenance and Other Operating Expenses</t>
  </si>
  <si>
    <t xml:space="preserve">        Traveling Expenses - Local</t>
  </si>
  <si>
    <t>5-02-01-010</t>
  </si>
  <si>
    <t xml:space="preserve">        Training Expenses</t>
  </si>
  <si>
    <t>5-02-02-010</t>
  </si>
  <si>
    <t xml:space="preserve">        Office Supplies Expenses</t>
  </si>
  <si>
    <t>5-02-03-010</t>
  </si>
  <si>
    <t xml:space="preserve">        Janitorial Supplies Expense</t>
  </si>
  <si>
    <t>5-02-03-010-1</t>
  </si>
  <si>
    <t xml:space="preserve">        Fuel, Oil &amp; Lubricants Expenses</t>
  </si>
  <si>
    <t>5-02-03-090</t>
  </si>
  <si>
    <t xml:space="preserve">        Water Expenses</t>
  </si>
  <si>
    <t>5-02-04-010</t>
  </si>
  <si>
    <t xml:space="preserve">        Electricity Expenses</t>
  </si>
  <si>
    <t>5-02-04-020</t>
  </si>
  <si>
    <t xml:space="preserve">        Postage &amp; Courier Services</t>
  </si>
  <si>
    <t>5-02-05-010</t>
  </si>
  <si>
    <t xml:space="preserve">        Telephone Expenses/Landline/Mobile</t>
  </si>
  <si>
    <t>5-02-05-020</t>
  </si>
  <si>
    <t xml:space="preserve">        Internet Subscription Expenses</t>
  </si>
  <si>
    <t>5-02-05-030</t>
  </si>
  <si>
    <t xml:space="preserve">        Extraordinary and Miscellaneous Expenses</t>
  </si>
  <si>
    <t>5-02-10-030</t>
  </si>
  <si>
    <t xml:space="preserve">        Consultancy Services</t>
  </si>
  <si>
    <t>5-02-11-030</t>
  </si>
  <si>
    <t xml:space="preserve">        Other General Services</t>
  </si>
  <si>
    <t>5-02-12-990</t>
  </si>
  <si>
    <t xml:space="preserve">        Repairs &amp; Maintenance - Machinery &amp; Equipment</t>
  </si>
  <si>
    <t>5-02-13-050</t>
  </si>
  <si>
    <r>
      <t xml:space="preserve">        Repairs &amp; Maintenance - </t>
    </r>
    <r>
      <rPr>
        <rFont val="Calibri"/>
        <b val="false"/>
        <i val="false"/>
        <strike val="false"/>
        <color rgb="FF000000"/>
        <sz val="8"/>
        <u val="none"/>
      </rPr>
      <t xml:space="preserve">Transportation Equipment</t>
    </r>
  </si>
  <si>
    <t>5-02-13-060</t>
  </si>
  <si>
    <t xml:space="preserve">        Fidelity bond Premiums</t>
  </si>
  <si>
    <t>5-02-16-020</t>
  </si>
  <si>
    <t xml:space="preserve">        Insurance Expenses</t>
  </si>
  <si>
    <t>5-02-16-030</t>
  </si>
  <si>
    <t xml:space="preserve">        Advertising Expenses</t>
  </si>
  <si>
    <t>5-02-99-010</t>
  </si>
  <si>
    <t xml:space="preserve">        Printing and Publication Expenses</t>
  </si>
  <si>
    <t>5-02-99-020</t>
  </si>
  <si>
    <t xml:space="preserve">        Other Maintenance and Operating Expenses</t>
  </si>
  <si>
    <t>5-02-99-990</t>
  </si>
  <si>
    <t xml:space="preserve">    TOTAL MAINT. &amp; OTHER OPERATING EXPENSES</t>
  </si>
  <si>
    <t xml:space="preserve">    Capital Outlay</t>
  </si>
  <si>
    <t xml:space="preserve">         Office Equipment</t>
  </si>
  <si>
    <t>1-07-05-020</t>
  </si>
  <si>
    <t xml:space="preserve">    TOTAL CAPITAL OUTLAY</t>
  </si>
  <si>
    <t>TOTAL APPROPRIATIONS</t>
  </si>
  <si>
    <t>Prepared by:</t>
  </si>
  <si>
    <t>Reviewed by:</t>
  </si>
  <si>
    <t>Approved by:</t>
  </si>
  <si>
    <t xml:space="preserve">                                                                   signed</t>
  </si>
  <si>
    <r>
      <t xml:space="preserve">                 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 signed</t>
    </r>
  </si>
  <si>
    <t>signed</t>
  </si>
  <si>
    <t>HON. KARL CHRISTIAN F. VEGA</t>
  </si>
  <si>
    <t>ANA MARICRIS B. NATAVIO</t>
  </si>
  <si>
    <t>Municipal Mayor</t>
  </si>
  <si>
    <t>Municipal Budget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</si>
  <si>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Municipal Disaster Risk Reduction Management Office 1011-1</t>
    </r>
  </si>
  <si>
    <r>
      <t xml:space="preserve">                                       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                  signed</t>
    </r>
  </si>
  <si>
    <t xml:space="preserve"> signed</t>
  </si>
  <si>
    <t xml:space="preserve">  signed</t>
  </si>
  <si>
    <t>MAIAN JEN M. ARGUELLES</t>
  </si>
  <si>
    <t>MDRRMO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</si>
  <si>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Vice Mayor - 1016</t>
    </r>
  </si>
  <si>
    <t xml:space="preserve">         Computer Software </t>
  </si>
  <si>
    <t>1-09-01-020</t>
  </si>
  <si>
    <t xml:space="preserve">         Motor Vehicle</t>
  </si>
  <si>
    <t>1-07-06-010</t>
  </si>
  <si>
    <r>
      <t xml:space="preserve">                                                     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signed</t>
    </r>
  </si>
  <si>
    <t>HON. ANTHONY C. PENULIAR</t>
  </si>
  <si>
    <t>Municipal Vice Mayor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</si>
  <si>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Sangguniang Bayan Members - 1021</t>
    </r>
  </si>
  <si>
    <t xml:space="preserve">        Repairs and Maintenance-Machinery and Equipment</t>
  </si>
  <si>
    <r>
      <t xml:space="preserve">                                                         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signed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</si>
  <si>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Human Resource Management - 1032</t>
    </r>
  </si>
  <si>
    <r>
      <t xml:space="preserve">                                           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                    signed</t>
    </r>
  </si>
  <si>
    <t>MADELINE B. FERRER</t>
  </si>
  <si>
    <t>Human Resource Management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</si>
  <si>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Municipal Planning &amp; Dev't. Officer - 1041</t>
    </r>
  </si>
  <si>
    <r>
      <t xml:space="preserve">                                          </t>
    </r>
    <r>
      <rPr>
        <rFont val="Calibri"/>
        <b val="false"/>
        <i val="true"/>
        <strike val="false"/>
        <color rgb="FF000000"/>
        <sz val="12"/>
        <u val="none"/>
      </rPr>
      <t xml:space="preserve">          signed</t>
    </r>
  </si>
  <si>
    <t>ARCHT. MELCHOR N. SERAPION</t>
  </si>
  <si>
    <t xml:space="preserve"> Municipal Planning &amp; Dev't. Coordinator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</si>
  <si>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Municipal Civil Registrar - 1051</t>
    </r>
  </si>
  <si>
    <r>
      <t xml:space="preserve">                   </t>
    </r>
    <r>
      <rPr>
        <rFont val="Calibri"/>
        <b val="false"/>
        <i val="true"/>
        <strike val="false"/>
        <color rgb="FF000000"/>
        <sz val="12"/>
        <u val="none"/>
      </rPr>
      <t xml:space="preserve">                                     signed</t>
    </r>
  </si>
  <si>
    <t>KRISTELL MAY Q. SORIANO</t>
  </si>
  <si>
    <t xml:space="preserve"> Municipal Civil Registrar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</si>
  <si>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Budget Officer - 1071</t>
    </r>
  </si>
  <si>
    <t xml:space="preserve"> 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</si>
  <si>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Accountant - 1081</t>
    </r>
  </si>
  <si>
    <t xml:space="preserve">        Auditing Services</t>
  </si>
  <si>
    <t>5-02-11-020</t>
  </si>
  <si>
    <t xml:space="preserve">                                                                     signed</t>
  </si>
  <si>
    <t>RUTH B. SOTTO, CPA</t>
  </si>
  <si>
    <t>Municipal Accountant</t>
  </si>
  <si>
    <t xml:space="preserve">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</si>
  <si>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Treasurer - 1091</t>
    </r>
  </si>
  <si>
    <t xml:space="preserve">          Terminal Leave Benefits</t>
  </si>
  <si>
    <t xml:space="preserve">          Other Personnel Benefits</t>
  </si>
  <si>
    <t xml:space="preserve">        Accountable Forms Expenses</t>
  </si>
  <si>
    <t>5-02-03-020</t>
  </si>
  <si>
    <t xml:space="preserve">        Motor Vehicle</t>
  </si>
  <si>
    <r>
      <t xml:space="preserve">            </t>
    </r>
    <r>
      <rPr>
        <rFont val="Calibri"/>
        <b val="false"/>
        <i val="true"/>
        <strike val="false"/>
        <color rgb="FF000000"/>
        <sz val="11"/>
        <u val="none"/>
      </rPr>
      <t xml:space="preserve">                                                               signed</t>
    </r>
  </si>
  <si>
    <t>VEVERLY V. YMANA, CPA</t>
  </si>
  <si>
    <t>Municipal Treasurer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</si>
  <si>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Assessor - 1101</t>
    </r>
  </si>
  <si>
    <r>
      <t xml:space="preserve">   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                                                          signed</t>
    </r>
  </si>
  <si>
    <t>JONATHAN M. PENULIAR</t>
  </si>
  <si>
    <t xml:space="preserve">Municipal Assessor 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</si>
  <si>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Health Officer - 4411</t>
    </r>
  </si>
  <si>
    <t xml:space="preserve">           Subsistence Allowance</t>
  </si>
  <si>
    <t>5-01-02-050</t>
  </si>
  <si>
    <t xml:space="preserve">           Laundry Allowance</t>
  </si>
  <si>
    <t>5-01-02-060</t>
  </si>
  <si>
    <t xml:space="preserve">           Hazard Pay</t>
  </si>
  <si>
    <t>5-01-02-110</t>
  </si>
  <si>
    <t xml:space="preserve">         Other Personnel Benefits</t>
  </si>
  <si>
    <t xml:space="preserve">        Dental and Laboratory Supplies</t>
  </si>
  <si>
    <t>5-02-03-080</t>
  </si>
  <si>
    <t xml:space="preserve">        Fuel, Oil and Lubricants Expenses</t>
  </si>
  <si>
    <t xml:space="preserve">        Repairs &amp; Maintenance-Buildings and Other Structures</t>
  </si>
  <si>
    <t>5-02-13-040</t>
  </si>
  <si>
    <t xml:space="preserve">        Repairs &amp; Maintenance - Transportation Equipment</t>
  </si>
  <si>
    <t xml:space="preserve">         Procurement of Lot for the Construction of Super RHU 2</t>
  </si>
  <si>
    <t>1-07-01-010</t>
  </si>
  <si>
    <t xml:space="preserve">         Purchase of Generator</t>
  </si>
  <si>
    <t>1-07-05-010</t>
  </si>
  <si>
    <t xml:space="preserve">                                                                      signed</t>
  </si>
  <si>
    <t>DR. ANNA KARESSA QUINTO-ORTIZ</t>
  </si>
  <si>
    <t>Municipal Health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</si>
  <si>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Social Welfare &amp; Development - 7611</t>
    </r>
  </si>
  <si>
    <t xml:space="preserve">         Construction Barangay Child Development Center Phase II</t>
  </si>
  <si>
    <t>1-07-04-010-a</t>
  </si>
  <si>
    <t>RAMIL S. DE VERA</t>
  </si>
  <si>
    <t>Municipal Social Welfare &amp; Dev't.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</si>
  <si>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Agriculturist - 8711</t>
    </r>
  </si>
  <si>
    <t xml:space="preserve">        Office Equipment</t>
  </si>
  <si>
    <t xml:space="preserve">       1-07-05-020</t>
  </si>
  <si>
    <t xml:space="preserve">        Construction of Curing Barn at Barangay Amanoaoac -Adidtrional fund</t>
  </si>
  <si>
    <t>1-07-05-010-2a</t>
  </si>
  <si>
    <t xml:space="preserve">                                                                        signed</t>
  </si>
  <si>
    <t>MELVIN C. VILLANUEVA</t>
  </si>
  <si>
    <t xml:space="preserve"> Municipal Agriculturist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</si>
  <si>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Engineer - 8751</t>
    </r>
  </si>
  <si>
    <t xml:space="preserve">                                                    signed</t>
  </si>
  <si>
    <t>ENGR. ANGELO C. ABROGAR</t>
  </si>
  <si>
    <t>Municipal Engineer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</si>
  <si>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</t>
    </r>
    <r>
      <rPr>
        <rFont val="Calibri"/>
        <b val="true"/>
        <i val="false"/>
        <strike val="false"/>
        <color rgb="FF000000"/>
        <sz val="11"/>
        <u val="single"/>
      </rPr>
      <t xml:space="preserve"> Non-Office Expenditures - Other Special Purpose Appropriations -9999</t>
    </r>
  </si>
  <si>
    <t xml:space="preserve">         1%  For Local Council for the Protection of Children - LCPC</t>
  </si>
  <si>
    <t>5-02-99-990-25</t>
  </si>
  <si>
    <t xml:space="preserve">         Aid to (15) Barangays</t>
  </si>
  <si>
    <t>5-02-14-030-1</t>
  </si>
  <si>
    <t>Sub - Tota SPA</t>
  </si>
  <si>
    <t xml:space="preserve">   Capital Outlay - Other SPA</t>
  </si>
  <si>
    <t xml:space="preserve">         Construction of Covered Drainage Canal along Lawin Avenue, Brgy. Poblacion - Phase III</t>
  </si>
  <si>
    <t>1-07-03-010-1</t>
  </si>
  <si>
    <t xml:space="preserve">         Improvement /Conreting of Road along Palya St., Brgy. Lambayan -Phase I</t>
  </si>
  <si>
    <t>1-07-03-010-2</t>
  </si>
  <si>
    <t xml:space="preserve">         Reconcreting of Road along Orchids St., Brgy. Nilombot -Phase I</t>
  </si>
  <si>
    <t>1-07-03-010-3</t>
  </si>
  <si>
    <t xml:space="preserve"> Total Capital Outlay -Other SPA</t>
  </si>
  <si>
    <t xml:space="preserve">   Maintenance and Other Operating Expenses - Other SPA</t>
  </si>
  <si>
    <t xml:space="preserve">           OSPA -Drugs &amp; Medicines Expenses </t>
  </si>
  <si>
    <t>5-02-03-070</t>
  </si>
  <si>
    <t xml:space="preserve">           OSPA -Drugs and Medicine Expenses for Anti-Rabies Vaccine</t>
  </si>
  <si>
    <t>5-02-03-070-1</t>
  </si>
  <si>
    <t xml:space="preserve">           OSPA -Drugs and Medicine Expenses for Mental Health</t>
  </si>
  <si>
    <t>5-02-03-070-2</t>
  </si>
  <si>
    <t xml:space="preserve">           OSPA -Drugs and Medicine Expenses for TB DOTS/HIV</t>
  </si>
  <si>
    <t>5-02-03-070-3</t>
  </si>
  <si>
    <t xml:space="preserve">           OSPA -Drugs and Medicine Expenses for Leprosy</t>
  </si>
  <si>
    <t>5-02-03-070-4</t>
  </si>
  <si>
    <t xml:space="preserve">           OSPA -Electricity Expenses for Boulevard Lights</t>
  </si>
  <si>
    <t>5-02-04-020-1</t>
  </si>
  <si>
    <t xml:space="preserve">           OSPA -Research, Exploration &amp; Development Expenses</t>
  </si>
  <si>
    <t>5-02-07-020</t>
  </si>
  <si>
    <t xml:space="preserve">           OSPA -Repairs and Maintenance-Infrastructure Asset</t>
  </si>
  <si>
    <t>5-02-13-030</t>
  </si>
  <si>
    <t xml:space="preserve">           OSPA -Maint. Of Boulevard Lights and Other Facilities</t>
  </si>
  <si>
    <t>5-02-13-030-1</t>
  </si>
  <si>
    <t xml:space="preserve">           OSPA -Maint. Of Plaza, Parks and Monuments</t>
  </si>
  <si>
    <t>5-02-13-030-2</t>
  </si>
  <si>
    <t xml:space="preserve">           OSPA -Maint. Of Municipal Buildings and Other Facilities</t>
  </si>
  <si>
    <t>5-02-13-040-1</t>
  </si>
  <si>
    <t xml:space="preserve">           OSPA -Repairs and Maint. of Cultural Properties/Structures</t>
  </si>
  <si>
    <t>5-02-13-040-99</t>
  </si>
  <si>
    <t xml:space="preserve">           OSPA -Maint. Of Barangay MRF</t>
  </si>
  <si>
    <t>5-02-13-040-2</t>
  </si>
  <si>
    <t xml:space="preserve">           OSPA -Sanitary Landfill Expenses</t>
  </si>
  <si>
    <t>5-02-13-990-1</t>
  </si>
  <si>
    <t xml:space="preserve">           OSPA -Rep. &amp; Maint. For the Operation of MRF</t>
  </si>
  <si>
    <t>5-02-13-990-2</t>
  </si>
  <si>
    <t>Sub - Total MOOE-Other SPA</t>
  </si>
  <si>
    <t>TOTAL APPROPRIATIONS FOR THIS PAGE</t>
  </si>
  <si>
    <t xml:space="preserve">           OSPA -Subsidy to Philippine National Police (PNP)</t>
  </si>
  <si>
    <t>5-02-14-020-1</t>
  </si>
  <si>
    <t xml:space="preserve">           OSPA -Peace and Order</t>
  </si>
  <si>
    <t>5-02-14-020-1a</t>
  </si>
  <si>
    <t xml:space="preserve">           OSPA -Subsidy to Municipal Local Government Officer </t>
  </si>
  <si>
    <t>5-02-14-020-2</t>
  </si>
  <si>
    <t xml:space="preserve">           OSPA -Susidy to Municipal Trial Court (MTC)</t>
  </si>
  <si>
    <t>5-02-14-020-3</t>
  </si>
  <si>
    <t xml:space="preserve">           OSPA - Subsidy to Bureau of Fire Protection (BFP)</t>
  </si>
  <si>
    <t>5-02-14-020-4</t>
  </si>
  <si>
    <t xml:space="preserve">           OSPA -Subsidy to Commission on Election (COMELEC)</t>
  </si>
  <si>
    <t>5-02-14-020-5</t>
  </si>
  <si>
    <t xml:space="preserve">           OSPA -Subsidy to Non-Government Organizations</t>
  </si>
  <si>
    <t>5-02-14-020-7</t>
  </si>
  <si>
    <t xml:space="preserve">           Subsidy to Brgy. Health Workers (BHW)</t>
  </si>
  <si>
    <t>5-02-14-020-8</t>
  </si>
  <si>
    <t xml:space="preserve">           Subsidy to Brgy. Nutrition Scholar (BNS)</t>
  </si>
  <si>
    <t>5-02-14-020-8a</t>
  </si>
  <si>
    <t xml:space="preserve">           Subsidy to Brgy.Service Point Officer (BSPO)</t>
  </si>
  <si>
    <t>5-02-14-020-8b</t>
  </si>
  <si>
    <t xml:space="preserve">           Subsidy to Brgy. Civilian Volunteer Organization (CVO)</t>
  </si>
  <si>
    <t>5-02-14-020-8c</t>
  </si>
  <si>
    <t xml:space="preserve">           OSPA -Nutrition &amp; Population Services</t>
  </si>
  <si>
    <t>5-02-14-020-9</t>
  </si>
  <si>
    <t xml:space="preserve">           OSPA -Insurance of New Public Market/Mun. Bldgs.</t>
  </si>
  <si>
    <t>5-02-16-030-1</t>
  </si>
  <si>
    <t xml:space="preserve">           OSPA -Grants and Donations</t>
  </si>
  <si>
    <t>5-02-99-080-1</t>
  </si>
  <si>
    <t xml:space="preserve">           OSPA -Operations of Day Care Centers/Child Development Workers</t>
  </si>
  <si>
    <t>5-02-99-990-1</t>
  </si>
  <si>
    <t xml:space="preserve">           OSPA -Gender Issues</t>
  </si>
  <si>
    <t>5-02-99-990-1a</t>
  </si>
  <si>
    <t xml:space="preserve">           OSPA -Operations of Devolved Services &amp; Programs</t>
  </si>
  <si>
    <t>5-02-99-990-2</t>
  </si>
  <si>
    <t xml:space="preserve">           OSPA -PhilHealth Assistance Contributions</t>
  </si>
  <si>
    <t>5-02-99-990-2a</t>
  </si>
  <si>
    <t xml:space="preserve">           OSPA -Supplemental Feeding Program-DCC &amp; ECCD</t>
  </si>
  <si>
    <t>5-02-99-990-2b</t>
  </si>
  <si>
    <t xml:space="preserve">           OSPA -Promotion of Culture and Arts</t>
  </si>
  <si>
    <t>5-02-99-990-2c</t>
  </si>
  <si>
    <t xml:space="preserve">           OSPA -Assistance, Trainings &amp; Other Activities for PWDs</t>
  </si>
  <si>
    <t>5-02-99-990-3a</t>
  </si>
  <si>
    <t xml:space="preserve">           OSPA -Support to Pantawid Pamilyang Pilipino Program</t>
  </si>
  <si>
    <t>5-02-99-990-3e</t>
  </si>
  <si>
    <t xml:space="preserve">           OSPA -Tax Mapping Expenses</t>
  </si>
  <si>
    <t>5-02-99-990-3</t>
  </si>
  <si>
    <t xml:space="preserve">           OSPA -Senior Citizens Services</t>
  </si>
  <si>
    <t>5-02-99-990-4</t>
  </si>
  <si>
    <t xml:space="preserve">           OSPA -PLEB Services</t>
  </si>
  <si>
    <t>5-02-99-990-5</t>
  </si>
  <si>
    <t xml:space="preserve">           OSPA -Clean and Green Program </t>
  </si>
  <si>
    <t>5-02-99-990-6</t>
  </si>
  <si>
    <t xml:space="preserve">           OSPA -Assorted Vegetable Seeds</t>
  </si>
  <si>
    <t>5-02-99-990-6a</t>
  </si>
  <si>
    <t xml:space="preserve">           OSPA -Anti Rabies Vaccines</t>
  </si>
  <si>
    <t>5-02-99-990-6b</t>
  </si>
  <si>
    <t xml:space="preserve">           OSPA -Support to Farmers - Palay Seeds Assistance</t>
  </si>
  <si>
    <t>5-02-99-990-6c</t>
  </si>
  <si>
    <t xml:space="preserve">           OSPA -Support to Farmers - Fertilizer Assistance</t>
  </si>
  <si>
    <t>5-02-99-990-6d</t>
  </si>
  <si>
    <t xml:space="preserve">           OSPA -Support to Farmers - Hybrid Yellow Corn Assistance</t>
  </si>
  <si>
    <t>5-02-99-990-6f</t>
  </si>
  <si>
    <t xml:space="preserve">           OSPA -Support to Tobacco Farmers-Fertilizer Assistance</t>
  </si>
  <si>
    <t>5-02-99-990-6h</t>
  </si>
  <si>
    <t xml:space="preserve">           OSPA -Support to Farmers - Life insurance Expense</t>
  </si>
  <si>
    <t>5-02-99-990-6i</t>
  </si>
  <si>
    <t xml:space="preserve">           OSPA -Sports Development Program</t>
  </si>
  <si>
    <t>5-02-99-990-7</t>
  </si>
  <si>
    <t xml:space="preserve">           OSPA -Support for Government Affairs</t>
  </si>
  <si>
    <t>5-02-99-990-9</t>
  </si>
  <si>
    <t xml:space="preserve">           OSPA -Support for Anti-Red Tape</t>
  </si>
  <si>
    <t>5-02-99-990-10</t>
  </si>
  <si>
    <t xml:space="preserve">           OSPA -Tourism Expenses</t>
  </si>
  <si>
    <t>5-02-99-990-11</t>
  </si>
  <si>
    <t xml:space="preserve">           OSPA -Lot Rental (Roman Catholic Lot)</t>
  </si>
  <si>
    <t>5-02-99-990-12</t>
  </si>
  <si>
    <t xml:space="preserve">           OSPA -Local Blood Council</t>
  </si>
  <si>
    <t>5-02-99-990-13</t>
  </si>
  <si>
    <t xml:space="preserve">           OSPA -Election Expenses</t>
  </si>
  <si>
    <t>5-02-99-990-14</t>
  </si>
  <si>
    <t xml:space="preserve">           OSPA -Educational Assistance</t>
  </si>
  <si>
    <t>5-02-99-990-16</t>
  </si>
  <si>
    <t xml:space="preserve">           OSPA -Educational Assistance-TESDA Program</t>
  </si>
  <si>
    <t>5-02-99-990-16a</t>
  </si>
  <si>
    <t xml:space="preserve">           OSPA -Anti-Drug Abuse Program</t>
  </si>
  <si>
    <t>5-02-99-990-23</t>
  </si>
  <si>
    <t xml:space="preserve">           OSPA -Relief Goods &amp; Other Exp. Regarding Covid-19</t>
  </si>
  <si>
    <t>5-02-99-990-30</t>
  </si>
  <si>
    <t xml:space="preserve">           OSPA -Local Youth Development Expense</t>
  </si>
  <si>
    <t>5-02-99-990-33</t>
  </si>
  <si>
    <t xml:space="preserve">           OSPA -Subsidy to Solo Parent</t>
  </si>
  <si>
    <t>5-02-99-990-34</t>
  </si>
  <si>
    <t xml:space="preserve">           OSPA -Tax Campaign Expenses</t>
  </si>
  <si>
    <t>5-02-99-990-35</t>
  </si>
  <si>
    <t>SUB - TOTAL</t>
  </si>
  <si>
    <t xml:space="preserve">     TOTAL MOOE -Other SPA</t>
  </si>
  <si>
    <t xml:space="preserve">     TOTAL OTHER SPECIAL PURPOSE APPROPRIATIONS</t>
  </si>
  <si>
    <r>
      <rPr>
        <rFont val="Calibri"/>
        <b val="true"/>
        <i val="true"/>
        <strike val="false"/>
        <color rgb="FF000000"/>
        <sz val="11"/>
        <u val="none"/>
      </rPr>
      <t xml:space="preserve">                 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                                          signed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</si>
  <si>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5% Calamity Fund</t>
    </r>
  </si>
  <si>
    <t xml:space="preserve">        CALAMITY - Other Maintenance and Oeprating Expenses</t>
  </si>
  <si>
    <t>5-02-99-990-26</t>
  </si>
  <si>
    <t xml:space="preserve">        Excise -Calamity Other Maintenance and Operating Expenses (Tobacco Farmers)</t>
  </si>
  <si>
    <t>5-02-99-990-26a</t>
  </si>
  <si>
    <t xml:space="preserve">        CALAMITY - Quick Response fund</t>
  </si>
  <si>
    <t>5-02-99-990-27</t>
  </si>
  <si>
    <t xml:space="preserve">        Excise -Calamity Quick Response fund  (Tobacco Farmers)</t>
  </si>
  <si>
    <t>5-02-99-990-27a</t>
  </si>
  <si>
    <t xml:space="preserve">        Purchase of LED</t>
  </si>
  <si>
    <t>1-07-05-030-1</t>
  </si>
  <si>
    <t xml:space="preserve">        Purchase of Rescue Equipment, Tools and Accessories and Supplies</t>
  </si>
  <si>
    <t>1-07-05-090-2a</t>
  </si>
  <si>
    <t xml:space="preserve">        Motor Vehicle (Rescue Vehicle)</t>
  </si>
  <si>
    <t xml:space="preserve">        Estrablishment of Fully Funcitional Emergency  Operation Center and Command Center ; Construction of  Storage and Kitchen Area</t>
  </si>
  <si>
    <t xml:space="preserve">        Installation of CCTV IP Camera for Disaster Impacts and Risk Monitoring </t>
  </si>
  <si>
    <t xml:space="preserve">        Dredging/de-clogging of Drainage Canals along Payas Creek</t>
  </si>
  <si>
    <t xml:space="preserve">                                                                         signed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</si>
  <si>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20% Development Fund</t>
    </r>
  </si>
  <si>
    <t>Construction of One (1) Stop Shop Phase 1 &amp; 2 &amp; 3 &amp; 4 &amp; 5</t>
  </si>
  <si>
    <t>1-07-03-990</t>
  </si>
  <si>
    <t xml:space="preserve">P </t>
  </si>
  <si>
    <t>LGU Payment of Loans</t>
  </si>
  <si>
    <t>2-01-02-040-1</t>
  </si>
  <si>
    <t>Construction of Perimeter Fence, Backfilling and Concreting of Super Rural Health Unit's Ground Phase 1 &amp; 2</t>
  </si>
  <si>
    <t>1-07-04-990-10</t>
  </si>
  <si>
    <t>Construction of Cross/Drainage Canal along Gondol Street , Primicias</t>
  </si>
  <si>
    <t>1-07-04-990-21</t>
  </si>
  <si>
    <t>Improvement/Extension of Office for MDRRM Command Center at Brgy. Poblacion</t>
  </si>
  <si>
    <t>1-07-04-990-22</t>
  </si>
  <si>
    <t>Improvement/Re-painting of Roof of the Mapandan Municipal Hall</t>
  </si>
  <si>
    <t>1-07-04-990-23</t>
  </si>
  <si>
    <t>Re-conctruction of Drainage Canal along Pico Avenue at Brgy. Coral</t>
  </si>
  <si>
    <t>1-07-04-990-24</t>
  </si>
  <si>
    <t>Construction of Covered Drainage Canal along Lawin Avenue at Brgy. Poblacion</t>
  </si>
  <si>
    <t>1-07-04-990-25</t>
  </si>
  <si>
    <t>Procurement and Installation of Industrial Fan at Tulagan Multi-Purpose Gym</t>
  </si>
  <si>
    <t>1-07-04-990-26</t>
  </si>
  <si>
    <t>Construction of Airconditioned Waiting Shed at Poblacion, Mapandan</t>
  </si>
  <si>
    <t>1-07-04-990-27</t>
  </si>
  <si>
    <t>LDF-Impro. Brgy Road/Drianage-Orchid St. Nilombot Phase 3</t>
  </si>
  <si>
    <t>1-07-04-990-8b</t>
  </si>
  <si>
    <t>LDF-Additional Illumination of Mapandan Town Plaza Phase 2</t>
  </si>
  <si>
    <t>1-07-99-990-1</t>
  </si>
  <si>
    <t>Rehabilitation/Improvement of Mapandan Tennis Clubhouse inside Public Plaza and Comfort Room inside Public Auditorium</t>
  </si>
  <si>
    <t>1-07-04-990-30</t>
  </si>
  <si>
    <t>Construction of Stalls for Ambulant Vendors at Public Market</t>
  </si>
  <si>
    <t>1-07-04-990-31</t>
  </si>
  <si>
    <t xml:space="preserve">Construction of Sewerage Treatment Plant at Public Market </t>
  </si>
  <si>
    <t>1-07-04-990-32</t>
  </si>
  <si>
    <t>Construction of Drainage Canal along Agila Street, Brgy.  Amanoaoac</t>
  </si>
  <si>
    <t>1-07-04-990-33</t>
  </si>
  <si>
    <t>Construction of Drainage Canal along Apayas Street, Brgy.  Apaya</t>
  </si>
  <si>
    <t>1-07-04-990-34</t>
  </si>
  <si>
    <t>Construction of Drainage Canal along Caimito Street Ext. , Brgy. Aserda</t>
  </si>
  <si>
    <t>1-07-04-990-35</t>
  </si>
  <si>
    <t>Improvement of Road along Tibule Street, Brgy. Baloling</t>
  </si>
  <si>
    <t>1-07-04-990-36</t>
  </si>
  <si>
    <t>Construction of Drainage Canal along Pico Avenue, Brgy. Coral</t>
  </si>
  <si>
    <t>1-07-04-990-37</t>
  </si>
  <si>
    <t>Construction of Drainage Canal along Golden Shower Street, Brgy. Golden</t>
  </si>
  <si>
    <t>1-07-04-990-38</t>
  </si>
  <si>
    <t xml:space="preserve">SUB-TOTAL </t>
  </si>
  <si>
    <t>Construction of Drainage Canal along Wag-wag Street and Raminad Street, Brgy. Jimenez</t>
  </si>
  <si>
    <t>1-07-04-990-39</t>
  </si>
  <si>
    <t>Concrete Paving of Road along Chico Street Extension, Brgy. Luyan</t>
  </si>
  <si>
    <t>1-07-04-990-40</t>
  </si>
  <si>
    <t>Construction of Drainage Canal along Cadena Seniguelas Street, Brgy. Pias</t>
  </si>
  <si>
    <t>1-07-04-990-41</t>
  </si>
  <si>
    <t>Construction of Drainage Canal along Cadena de Amor Street, Brgy. Poblacion</t>
  </si>
  <si>
    <t>1-07-04-990-42</t>
  </si>
  <si>
    <t>Construction of Drainage Canal along Gondol Street, Brgy. Primicias</t>
  </si>
  <si>
    <t>1-07-04-990-43</t>
  </si>
  <si>
    <t>Construction of Drainage Canal along Sitio Sabangan, Brgy. Sta. Maria</t>
  </si>
  <si>
    <t>1-07-04-990-44</t>
  </si>
  <si>
    <t>Construction of Drainage Canal along Salumague Street, Brgy. Torres</t>
  </si>
  <si>
    <t>1-07-04-990-45</t>
  </si>
  <si>
    <t xml:space="preserve">                                                     signed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</si>
  <si>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Public Market - 8811</t>
    </r>
  </si>
  <si>
    <t xml:space="preserve">        Janitorial Supplies Expenses</t>
  </si>
  <si>
    <t xml:space="preserve">        Repairs and Maintenance – Buildings  and Other Structures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</si>
  <si>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Slaughterhouse - 8812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</si>
  <si>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Cemetery</t>
    </r>
    <r>
      <rPr>
        <rFont val="Calibri"/>
        <b val="true"/>
        <i val="false"/>
        <strike val="false"/>
        <color rgb="FF000000"/>
        <sz val="11"/>
        <u val="none"/>
      </rPr>
      <t xml:space="preserve"> 8841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</si>
  <si>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Cemetery - 8841</t>
    </r>
  </si>
  <si>
    <t xml:space="preserve">        Oher Properties and Equipment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</si>
</sst>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1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</fills>
  <borders count="4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top style="double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25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3" numFmtId="0" fillId="2" borderId="4" applyFont="1" applyNumberFormat="0" applyFill="0" applyBorder="1" applyAlignment="1">
      <alignment horizontal="center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bottom" textRotation="0" wrapText="false" shrinkToFit="false"/>
    </xf>
    <xf xfId="0" fontId="3" numFmtId="0" fillId="2" borderId="7" applyFont="1" applyNumberFormat="0" applyFill="0" applyBorder="1" applyAlignment="0">
      <alignment horizontal="general" vertical="bottom" textRotation="0" wrapText="false" shrinkToFit="false"/>
    </xf>
    <xf xfId="0" fontId="3" numFmtId="0" fillId="2" borderId="8" applyFont="1" applyNumberFormat="0" applyFill="0" applyBorder="1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1">
      <alignment horizontal="left" vertical="bottom" textRotation="0" wrapText="false" shrinkToFit="false"/>
    </xf>
    <xf xfId="0" fontId="1" numFmtId="0" fillId="2" borderId="4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5" applyFont="1" applyNumberFormat="0" applyFill="0" applyBorder="1" applyAlignment="0">
      <alignment horizontal="general" vertical="bottom" textRotation="0" wrapText="false" shrinkToFit="false"/>
    </xf>
    <xf xfId="0" fontId="1" numFmtId="0" fillId="2" borderId="6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4" fillId="2" borderId="9" applyFont="1" applyNumberFormat="1" applyFill="0" applyBorder="1" applyAlignment="0">
      <alignment horizontal="general" vertical="bottom" textRotation="0" wrapText="false" shrinkToFit="false"/>
    </xf>
    <xf xfId="0" fontId="1" numFmtId="0" fillId="2" borderId="10" applyFont="1" applyNumberFormat="0" applyFill="0" applyBorder="1" applyAlignment="0">
      <alignment horizontal="general" vertical="bottom" textRotation="0" wrapText="false" shrinkToFit="false"/>
    </xf>
    <xf xfId="0" fontId="1" numFmtId="4" fillId="2" borderId="9" applyFont="1" applyNumberFormat="1" applyFill="0" applyBorder="1" applyAlignment="0">
      <alignment horizontal="general" vertical="bottom" textRotation="0" wrapText="false" shrinkToFit="false"/>
    </xf>
    <xf xfId="0" fontId="1" numFmtId="4" fillId="2" borderId="11" applyFont="1" applyNumberFormat="1" applyFill="0" applyBorder="1" applyAlignment="0">
      <alignment horizontal="general" vertical="bottom" textRotation="0" wrapText="false" shrinkToFit="false"/>
    </xf>
    <xf xfId="0" fontId="1" numFmtId="4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4" fillId="2" borderId="5" applyFont="1" applyNumberFormat="1" applyFill="0" applyBorder="1" applyAlignment="0">
      <alignment horizontal="general" vertical="bottom" textRotation="0" wrapText="false" shrinkToFit="false"/>
    </xf>
    <xf xfId="0" fontId="1" numFmtId="4" fillId="2" borderId="5" applyFont="1" applyNumberFormat="1" applyFill="0" applyBorder="1" applyAlignment="0">
      <alignment horizontal="general" vertical="bottom" textRotation="0" wrapText="false" shrinkToFit="false"/>
    </xf>
    <xf xfId="0" fontId="1" numFmtId="4" fillId="2" borderId="6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13" applyFont="1" applyNumberFormat="1" applyFill="0" applyBorder="1" applyAlignment="0">
      <alignment horizontal="general" vertical="bottom" textRotation="0" wrapText="false" shrinkToFit="false"/>
    </xf>
    <xf xfId="0" fontId="1" numFmtId="4" fillId="2" borderId="14" applyFont="1" applyNumberFormat="1" applyFill="0" applyBorder="1" applyAlignment="0">
      <alignment horizontal="general" vertical="bottom" textRotation="0" wrapText="false" shrinkToFit="false"/>
    </xf>
    <xf xfId="0" fontId="5" numFmtId="4" fillId="2" borderId="9" applyFont="1" applyNumberFormat="1" applyFill="0" applyBorder="1" applyAlignment="1">
      <alignment horizontal="right" vertical="bottom" textRotation="0" wrapText="false" shrinkToFit="false"/>
    </xf>
    <xf xfId="0" fontId="5" numFmtId="4" fillId="2" borderId="12" applyFont="1" applyNumberFormat="1" applyFill="0" applyBorder="1" applyAlignment="1">
      <alignment horizontal="right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13" applyFont="1" applyNumberFormat="1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4" fillId="2" borderId="15" applyFont="1" applyNumberFormat="1" applyFill="0" applyBorder="1" applyAlignment="0">
      <alignment horizontal="general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1" numFmtId="4" fillId="2" borderId="17" applyFont="1" applyNumberFormat="1" applyFill="0" applyBorder="1" applyAlignment="0">
      <alignment horizontal="general" vertical="bottom" textRotation="0" wrapText="false" shrinkToFit="false"/>
    </xf>
    <xf xfId="0" fontId="4" numFmtId="0" fillId="2" borderId="7" applyFont="1" applyNumberFormat="0" applyFill="0" applyBorder="1" applyAlignment="0">
      <alignment horizontal="general" vertical="bottom" textRotation="0" wrapText="false" shrinkToFit="false"/>
    </xf>
    <xf xfId="0" fontId="1" numFmtId="0" fillId="2" borderId="8" applyFont="1" applyNumberFormat="0" applyFill="0" applyBorder="1" applyAlignment="0">
      <alignment horizontal="general" vertical="bottom" textRotation="0" wrapText="false" shrinkToFit="false"/>
    </xf>
    <xf xfId="0" fontId="4" numFmtId="0" fillId="2" borderId="18" applyFont="1" applyNumberFormat="0" applyFill="0" applyBorder="1" applyAlignment="0">
      <alignment horizontal="general" vertical="bottom" textRotation="0" wrapText="false" shrinkToFit="false"/>
    </xf>
    <xf xfId="0" fontId="4" numFmtId="4" fillId="2" borderId="15" applyFont="1" applyNumberFormat="1" applyFill="0" applyBorder="1" applyAlignment="0">
      <alignment horizontal="general" vertical="bottom" textRotation="0" wrapText="false" shrinkToFit="false"/>
    </xf>
    <xf xfId="0" fontId="4" numFmtId="0" fillId="2" borderId="19" applyFont="1" applyNumberFormat="0" applyFill="0" applyBorder="1" applyAlignment="0">
      <alignment horizontal="general" vertical="bottom" textRotation="0" wrapText="false" shrinkToFit="false"/>
    </xf>
    <xf xfId="0" fontId="4" numFmtId="4" fillId="2" borderId="20" applyFont="1" applyNumberFormat="1" applyFill="0" applyBorder="1" applyAlignment="0">
      <alignment horizontal="general" vertical="bottom" textRotation="0" wrapText="false" shrinkToFit="false"/>
    </xf>
    <xf xfId="0" fontId="4" numFmtId="4" fillId="2" borderId="0" applyFont="1" applyNumberFormat="1" applyFill="0" applyBorder="0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4" applyFont="1" applyNumberFormat="0" applyFill="0" applyBorder="1" applyAlignment="0">
      <alignment horizontal="general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1" numFmtId="4" fillId="2" borderId="15" applyFont="1" applyNumberFormat="1" applyFill="0" applyBorder="1" applyAlignment="0">
      <alignment horizontal="general" vertical="bottom" textRotation="0" wrapText="false" shrinkToFit="false"/>
    </xf>
    <xf xfId="0" fontId="1" numFmtId="4" fillId="2" borderId="20" applyFont="1" applyNumberFormat="1" applyFill="0" applyBorder="1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4" fillId="2" borderId="5" applyFont="1" applyNumberFormat="1" applyFill="0" applyBorder="1" applyAlignment="0">
      <alignment horizontal="general" vertical="bottom" textRotation="0" wrapText="false" shrinkToFit="false"/>
    </xf>
    <xf xfId="0" fontId="4" numFmtId="4" fillId="2" borderId="6" applyFont="1" applyNumberFormat="1" applyFill="0" applyBorder="1" applyAlignment="0">
      <alignment horizontal="general" vertical="bottom" textRotation="0" wrapText="false" shrinkToFit="false"/>
    </xf>
    <xf xfId="0" fontId="4" numFmtId="4" fillId="2" borderId="0" applyFont="1" applyNumberFormat="1" applyFill="0" applyBorder="0" applyAlignment="0">
      <alignment horizontal="general" vertical="bottom" textRotation="0" wrapText="false" shrinkToFit="false"/>
    </xf>
    <xf xfId="0" fontId="3" numFmtId="0" fillId="2" borderId="21" applyFont="1" applyNumberFormat="0" applyFill="0" applyBorder="1" applyAlignment="0">
      <alignment horizontal="general" vertical="bottom" textRotation="0" wrapText="false" shrinkToFit="false"/>
    </xf>
    <xf xfId="0" fontId="0" numFmtId="0" fillId="2" borderId="22" applyFont="0" applyNumberFormat="0" applyFill="0" applyBorder="1" applyAlignment="0">
      <alignment horizontal="general" vertical="bottom" textRotation="0" wrapText="false" shrinkToFit="false"/>
    </xf>
    <xf xfId="0" fontId="4" numFmtId="0" fillId="2" borderId="23" applyFont="1" applyNumberFormat="0" applyFill="0" applyBorder="1" applyAlignment="0">
      <alignment horizontal="general" vertical="bottom" textRotation="0" wrapText="false" shrinkToFit="false"/>
    </xf>
    <xf xfId="0" fontId="4" numFmtId="4" fillId="2" borderId="22" applyFont="1" applyNumberFormat="1" applyFill="0" applyBorder="1" applyAlignment="0">
      <alignment horizontal="general" vertical="bottom" textRotation="0" wrapText="false" shrinkToFit="false"/>
    </xf>
    <xf xfId="0" fontId="4" numFmtId="0" fillId="2" borderId="24" applyFont="1" applyNumberFormat="0" applyFill="0" applyBorder="1" applyAlignment="0">
      <alignment horizontal="general" vertical="bottom" textRotation="0" wrapText="false" shrinkToFit="false"/>
    </xf>
    <xf xfId="0" fontId="4" numFmtId="4" fillId="2" borderId="25" applyFont="1" applyNumberFormat="1" applyFill="0" applyBorder="1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5" numFmtId="4" fillId="2" borderId="9" applyFont="1" applyNumberFormat="1" applyFill="0" applyBorder="1" applyAlignment="1">
      <alignment horizontal="right" vertical="bottom" textRotation="0" wrapText="false" shrinkToFit="false"/>
    </xf>
    <xf xfId="0" fontId="5" numFmtId="4" fillId="2" borderId="12" applyFont="1" applyNumberFormat="1" applyFill="0" applyBorder="1" applyAlignment="1">
      <alignment horizontal="right" vertical="bottom" textRotation="0" wrapText="false" shrinkToFit="false"/>
    </xf>
    <xf xfId="0" fontId="5" numFmtId="4" fillId="2" borderId="12" applyFont="1" applyNumberFormat="1" applyFill="0" applyBorder="1" applyAlignment="1">
      <alignment horizontal="right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1" numFmtId="0" fillId="2" borderId="26" applyFont="1" applyNumberFormat="0" applyFill="0" applyBorder="1" applyAlignment="0">
      <alignment horizontal="general" vertical="bottom" textRotation="0" wrapText="false" shrinkToFit="false"/>
    </xf>
    <xf xfId="0" fontId="1" numFmtId="4" fillId="2" borderId="27" applyFont="1" applyNumberFormat="1" applyFill="0" applyBorder="1" applyAlignment="0">
      <alignment horizontal="general" vertical="bottom" textRotation="0" wrapText="false" shrinkToFit="false"/>
    </xf>
    <xf xfId="0" fontId="1" numFmtId="4" fillId="2" borderId="26" applyFont="1" applyNumberFormat="1" applyFill="0" applyBorder="1" applyAlignment="0">
      <alignment horizontal="general" vertical="bottom" textRotation="0" wrapText="false" shrinkToFit="false"/>
    </xf>
    <xf xfId="0" fontId="4" numFmtId="4" fillId="2" borderId="28" applyFont="1" applyNumberFormat="1" applyFill="0" applyBorder="1" applyAlignment="0">
      <alignment horizontal="general" vertical="bottom" textRotation="0" wrapText="false" shrinkToFit="false"/>
    </xf>
    <xf xfId="0" fontId="4" numFmtId="4" fillId="2" borderId="29" applyFont="1" applyNumberFormat="1" applyFill="0" applyBorder="1" applyAlignment="0">
      <alignment horizontal="general" vertical="bottom" textRotation="0" wrapText="false" shrinkToFit="false"/>
    </xf>
    <xf xfId="0" fontId="3" numFmtId="0" fillId="2" borderId="30" applyFont="1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0" applyBorder="1" applyAlignment="0">
      <alignment horizontal="general" vertical="bottom" textRotation="0" wrapText="false" shrinkToFit="false"/>
    </xf>
    <xf xfId="0" fontId="4" numFmtId="0" fillId="2" borderId="32" applyFont="1" applyNumberFormat="0" applyFill="0" applyBorder="1" applyAlignment="0">
      <alignment horizontal="general" vertical="bottom" textRotation="0" wrapText="false" shrinkToFit="false"/>
    </xf>
    <xf xfId="0" fontId="4" numFmtId="4" fillId="2" borderId="31" applyFont="1" applyNumberFormat="1" applyFill="0" applyBorder="1" applyAlignment="0">
      <alignment horizontal="general" vertical="bottom" textRotation="0" wrapText="false" shrinkToFit="false"/>
    </xf>
    <xf xfId="0" fontId="4" numFmtId="0" fillId="2" borderId="33" applyFont="1" applyNumberFormat="0" applyFill="0" applyBorder="1" applyAlignment="0">
      <alignment horizontal="general" vertical="bottom" textRotation="0" wrapText="false" shrinkToFit="false"/>
    </xf>
    <xf xfId="0" fontId="4" numFmtId="4" fillId="2" borderId="34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1">
      <alignment horizontal="right" vertical="bottom" textRotation="0" wrapText="false" shrinkToFit="false"/>
    </xf>
    <xf xfId="0" fontId="1" numFmtId="4" fillId="2" borderId="13" applyFont="1" applyNumberFormat="1" applyFill="0" applyBorder="1" applyAlignment="1">
      <alignment horizontal="right" vertical="bottom" textRotation="0" wrapText="false" shrinkToFit="false"/>
    </xf>
    <xf xfId="0" fontId="1" numFmtId="4" fillId="2" borderId="0" applyFont="1" applyNumberFormat="1" applyFill="0" applyBorder="0" applyAlignment="1">
      <alignment horizontal="right" vertical="bottom" textRotation="0" wrapText="false" shrinkToFit="false"/>
    </xf>
    <xf xfId="0" fontId="1" numFmtId="4" fillId="2" borderId="14" applyFont="1" applyNumberFormat="1" applyFill="0" applyBorder="1" applyAlignment="0">
      <alignment horizontal="general" vertical="bottom" textRotation="0" wrapText="false" shrinkToFit="false"/>
    </xf>
    <xf xfId="0" fontId="1" numFmtId="4" fillId="2" borderId="0" applyFont="1" applyNumberFormat="1" applyFill="0" applyBorder="0" applyAlignment="0">
      <alignment horizontal="general" vertical="bottom" textRotation="0" wrapText="false" shrinkToFit="false"/>
    </xf>
    <xf xfId="0" fontId="1" numFmtId="0" fillId="2" borderId="31" applyFont="1" applyNumberFormat="0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13" applyFont="1" applyNumberFormat="1" applyFill="0" applyBorder="1" applyAlignment="0">
      <alignment horizontal="general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4" fillId="2" borderId="0" applyFont="1" applyNumberFormat="1" applyFill="0" applyBorder="0" applyAlignment="1">
      <alignment horizontal="general" vertical="bottom" textRotation="0" wrapText="true" shrinkToFit="false"/>
    </xf>
    <xf xfId="0" fontId="4" numFmtId="4" fillId="2" borderId="15" applyFont="1" applyNumberFormat="1" applyFill="0" applyBorder="1" applyAlignment="0">
      <alignment horizontal="general" vertical="bottom" textRotation="0" wrapText="false" shrinkToFit="false"/>
    </xf>
    <xf xfId="0" fontId="1" numFmtId="4" fillId="2" borderId="14" applyFont="1" applyNumberFormat="1" applyFill="0" applyBorder="1" applyAlignment="0">
      <alignment horizontal="general" vertical="bottom" textRotation="0" wrapText="false" shrinkToFit="false"/>
    </xf>
    <xf xfId="0" fontId="1" numFmtId="4" fillId="2" borderId="9" applyFont="1" applyNumberFormat="1" applyFill="0" applyBorder="1" applyAlignment="1">
      <alignment horizontal="right" vertical="bottom" textRotation="0" wrapText="false" shrinkToFit="false"/>
    </xf>
    <xf xfId="0" fontId="1" numFmtId="4" fillId="2" borderId="11" applyFont="1" applyNumberFormat="1" applyFill="0" applyBorder="1" applyAlignment="1">
      <alignment horizontal="right" vertical="bottom" textRotation="0" wrapText="false" shrinkToFit="false"/>
    </xf>
    <xf xfId="0" fontId="1" numFmtId="4" fillId="2" borderId="5" applyFont="1" applyNumberFormat="1" applyFill="0" applyBorder="1" applyAlignment="1">
      <alignment horizontal="right" vertical="bottom" textRotation="0" wrapText="false" shrinkToFit="false"/>
    </xf>
    <xf xfId="0" fontId="1" numFmtId="4" fillId="2" borderId="6" applyFont="1" applyNumberFormat="1" applyFill="0" applyBorder="1" applyAlignment="1">
      <alignment horizontal="right" vertical="bottom" textRotation="0" wrapText="false" shrinkToFit="false"/>
    </xf>
    <xf xfId="0" fontId="1" numFmtId="4" fillId="2" borderId="12" applyFont="1" applyNumberFormat="1" applyFill="0" applyBorder="1" applyAlignment="1">
      <alignment horizontal="right" vertical="bottom" textRotation="0" wrapText="false" shrinkToFit="false"/>
    </xf>
    <xf xfId="0" fontId="1" numFmtId="4" fillId="2" borderId="13" applyFont="1" applyNumberFormat="1" applyFill="0" applyBorder="1" applyAlignment="1">
      <alignment horizontal="right" vertical="bottom" textRotation="0" wrapText="false" shrinkToFit="false"/>
    </xf>
    <xf xfId="0" fontId="1" numFmtId="4" fillId="2" borderId="15" applyFont="1" applyNumberFormat="1" applyFill="0" applyBorder="1" applyAlignment="1">
      <alignment horizontal="right" vertical="bottom" textRotation="0" wrapText="false" shrinkToFit="false"/>
    </xf>
    <xf xfId="0" fontId="1" numFmtId="4" fillId="2" borderId="20" applyFont="1" applyNumberFormat="1" applyFill="0" applyBorder="1" applyAlignment="1">
      <alignment horizontal="right" vertical="bottom" textRotation="0" wrapText="false" shrinkToFit="false"/>
    </xf>
    <xf xfId="0" fontId="4" numFmtId="4" fillId="2" borderId="15" applyFont="1" applyNumberFormat="1" applyFill="0" applyBorder="1" applyAlignment="1">
      <alignment horizontal="right" vertical="bottom" textRotation="0" wrapText="false" shrinkToFit="false"/>
    </xf>
    <xf xfId="0" fontId="4" numFmtId="4" fillId="2" borderId="20" applyFont="1" applyNumberFormat="1" applyFill="0" applyBorder="1" applyAlignment="1">
      <alignment horizontal="right" vertical="bottom" textRotation="0" wrapText="false" shrinkToFit="false"/>
    </xf>
    <xf xfId="0" fontId="4" numFmtId="4" fillId="2" borderId="0" applyFont="1" applyNumberFormat="1" applyFill="0" applyBorder="0" applyAlignment="1">
      <alignment horizontal="right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4" numFmtId="4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general" vertical="bottom" textRotation="0" wrapText="true" shrinkToFit="false"/>
    </xf>
    <xf xfId="0" fontId="4" numFmtId="4" fillId="2" borderId="29" applyFont="1" applyNumberFormat="1" applyFill="0" applyBorder="1" applyAlignment="0">
      <alignment horizontal="general" vertical="bottom" textRotation="0" wrapText="false" shrinkToFit="false"/>
    </xf>
    <xf xfId="0" fontId="5" numFmtId="4" fillId="2" borderId="9" applyFont="1" applyNumberFormat="1" applyFill="0" applyBorder="1" applyAlignment="1">
      <alignment horizontal="right" vertical="bottom" textRotation="0" wrapText="false" shrinkToFit="false"/>
    </xf>
    <xf xfId="0" fontId="3" numFmtId="0" fillId="2" borderId="4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4" numFmtId="0" fillId="2" borderId="35" applyFont="1" applyNumberFormat="0" applyFill="0" applyBorder="1" applyAlignment="1">
      <alignment horizontal="center" vertical="bottom" textRotation="0" wrapText="false" shrinkToFit="false"/>
    </xf>
    <xf xfId="0" fontId="4" numFmtId="0" fillId="2" borderId="10" applyFont="1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4" numFmtId="0" fillId="2" borderId="36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7" applyFont="0" applyNumberFormat="0" applyFill="0" applyBorder="1" applyAlignment="0">
      <alignment horizontal="general" vertical="bottom" textRotation="0" wrapText="false" shrinkToFit="false"/>
    </xf>
    <xf xfId="0" fontId="0" numFmtId="0" fillId="2" borderId="37" applyFont="0" applyNumberFormat="0" applyFill="0" applyBorder="1" applyAlignment="0">
      <alignment horizontal="general" vertical="bottom" textRotation="0" wrapText="false" shrinkToFit="false"/>
    </xf>
    <xf xfId="0" fontId="0" numFmtId="0" fillId="2" borderId="26" applyFont="0" applyNumberFormat="0" applyFill="0" applyBorder="1" applyAlignment="0">
      <alignment horizontal="general" vertical="bottom" textRotation="0" wrapText="false" shrinkToFit="false"/>
    </xf>
    <xf xfId="0" fontId="1" numFmtId="0" fillId="2" borderId="10" applyFont="1" applyNumberFormat="0" applyFill="0" applyBorder="1" applyAlignment="0">
      <alignment horizontal="general" vertical="bottom" textRotation="0" wrapText="false" shrinkToFit="false"/>
    </xf>
    <xf xfId="0" fontId="8" numFmtId="4" fillId="2" borderId="0" applyFont="1" applyNumberFormat="1" applyFill="0" applyBorder="0" applyAlignment="0">
      <alignment horizontal="general" vertical="bottom" textRotation="0" wrapText="false" shrinkToFit="false"/>
    </xf>
    <xf xfId="0" fontId="1" numFmtId="4" fillId="2" borderId="14" applyFont="1" applyNumberFormat="1" applyFill="0" applyBorder="1" applyAlignment="0">
      <alignment horizontal="general" vertical="bottom" textRotation="0" wrapText="false" shrinkToFit="false"/>
    </xf>
    <xf xfId="0" fontId="1" numFmtId="4" fillId="2" borderId="38" applyFont="1" applyNumberFormat="1" applyFill="0" applyBorder="1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1">
      <alignment horizontal="center" vertical="bottom" textRotation="0" wrapText="false" shrinkToFit="false"/>
    </xf>
    <xf xfId="0" fontId="4" numFmtId="0" fillId="2" borderId="10" applyFont="1" applyNumberFormat="0" applyFill="0" applyBorder="1" applyAlignment="0">
      <alignment horizontal="general" vertical="bottom" textRotation="0" wrapText="false" shrinkToFit="false"/>
    </xf>
    <xf xfId="0" fontId="9" numFmtId="4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8" applyFont="0" applyNumberFormat="0" applyFill="0" applyBorder="1" applyAlignment="0">
      <alignment horizontal="general" vertical="bottom" textRotation="0" wrapText="false" shrinkToFit="false"/>
    </xf>
    <xf xfId="0" fontId="4" numFmtId="0" fillId="2" borderId="18" applyFont="1" applyNumberFormat="0" applyFill="0" applyBorder="1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4" numFmtId="4" fillId="2" borderId="20" applyFont="1" applyNumberFormat="1" applyFill="0" applyBorder="1" applyAlignment="0">
      <alignment horizontal="general" vertical="bottom" textRotation="0" wrapText="false" shrinkToFit="false"/>
    </xf>
    <xf xfId="0" fontId="4" numFmtId="4" fillId="2" borderId="34" applyFont="1" applyNumberFormat="1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general" vertical="bottom" textRotation="0" wrapText="true" shrinkToFit="false"/>
    </xf>
    <xf xfId="0" fontId="1" numFmtId="0" fillId="2" borderId="4" applyFont="1" applyNumberFormat="0" applyFill="0" applyBorder="1" applyAlignment="1">
      <alignment horizontal="left" vertical="bottom" textRotation="0" wrapText="false" shrinkToFit="false"/>
    </xf>
    <xf xfId="0" fontId="1" numFmtId="0" fillId="2" borderId="27" applyFont="1" applyNumberFormat="0" applyFill="0" applyBorder="1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39" applyFont="0" applyNumberFormat="0" applyFill="0" applyBorder="1" applyAlignment="0">
      <alignment horizontal="general" vertical="bottom" textRotation="0" wrapText="false" shrinkToFit="false"/>
    </xf>
    <xf xfId="0" fontId="1" numFmtId="0" fillId="2" borderId="37" applyFont="1" applyNumberFormat="0" applyFill="0" applyBorder="1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4" fillId="2" borderId="13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4" fillId="2" borderId="28" applyFont="1" applyNumberFormat="1" applyFill="0" applyBorder="1" applyAlignment="0">
      <alignment horizontal="general" vertical="bottom" textRotation="0" wrapText="false" shrinkToFit="false"/>
    </xf>
    <xf xfId="0" fontId="1" numFmtId="4" fillId="2" borderId="13" applyFont="1" applyNumberFormat="1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40" applyFont="1" applyNumberFormat="0" applyFill="0" applyBorder="1" applyAlignment="0">
      <alignment horizontal="general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1" numFmtId="4" fillId="2" borderId="14" applyFont="1" applyNumberFormat="1" applyFill="0" applyBorder="1" applyAlignment="0">
      <alignment horizontal="general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4" fillId="2" borderId="16" applyFont="1" applyNumberFormat="1" applyFill="0" applyBorder="1" applyAlignment="1">
      <alignment horizontal="right" vertical="bottom" textRotation="0" wrapText="false" shrinkToFit="false"/>
    </xf>
    <xf xfId="0" fontId="1" numFmtId="4" fillId="2" borderId="17" applyFont="1" applyNumberFormat="1" applyFill="0" applyBorder="1" applyAlignment="0">
      <alignment horizontal="general" vertical="bottom" textRotation="0" wrapText="false" shrinkToFit="false"/>
    </xf>
    <xf xfId="0" fontId="4" numFmtId="4" fillId="2" borderId="6" applyFont="1" applyNumberFormat="1" applyFill="0" applyBorder="1" applyAlignment="0">
      <alignment horizontal="general" vertical="bottom" textRotation="0" wrapText="false" shrinkToFit="false"/>
    </xf>
    <xf xfId="0" fontId="1" numFmtId="4" fillId="2" borderId="9" applyFont="1" applyNumberFormat="1" applyFill="0" applyBorder="1" applyAlignment="0">
      <alignment horizontal="general" vertical="bottom" textRotation="0" wrapText="false" shrinkToFit="false"/>
    </xf>
    <xf xfId="0" fontId="1" numFmtId="4" fillId="2" borderId="11" applyFont="1" applyNumberFormat="1" applyFill="0" applyBorder="1" applyAlignment="0">
      <alignment horizontal="general" vertical="bottom" textRotation="0" wrapText="false" shrinkToFit="false"/>
    </xf>
    <xf xfId="0" fontId="1" numFmtId="4" fillId="2" borderId="11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13" applyFont="1" applyNumberFormat="1" applyFill="0" applyBorder="1" applyAlignment="0">
      <alignment horizontal="general" vertical="bottom" textRotation="0" wrapText="false" shrinkToFit="false"/>
    </xf>
    <xf xfId="0" fontId="1" numFmtId="4" fillId="2" borderId="14" applyFont="1" applyNumberFormat="1" applyFill="0" applyBorder="1" applyAlignment="0">
      <alignment horizontal="general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4" fillId="2" borderId="5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4" fillId="2" borderId="9" applyFont="1" applyNumberFormat="1" applyFill="0" applyBorder="1" applyAlignment="0">
      <alignment horizontal="general" vertical="bottom" textRotation="0" wrapText="false" shrinkToFit="false"/>
    </xf>
    <xf xfId="0" fontId="6" numFmtId="4" fillId="2" borderId="13" applyFont="1" applyNumberFormat="1" applyFill="0" applyBorder="1" applyAlignment="0">
      <alignment horizontal="general" vertical="bottom" textRotation="0" wrapText="false" shrinkToFit="false"/>
    </xf>
    <xf xfId="0" fontId="1" numFmtId="0" fillId="2" borderId="40" applyFont="1" applyNumberFormat="0" applyFill="0" applyBorder="1" applyAlignment="0">
      <alignment horizontal="general" vertical="bottom" textRotation="0" wrapText="false" shrinkToFit="false"/>
    </xf>
    <xf xfId="0" fontId="4" numFmtId="0" fillId="2" borderId="19" applyFont="1" applyNumberFormat="0" applyFill="0" applyBorder="1" applyAlignment="0">
      <alignment horizontal="general" vertical="bottom" textRotation="0" wrapText="false" shrinkToFit="false"/>
    </xf>
    <xf xfId="0" fontId="0" numFmtId="0" fillId="2" borderId="37" applyFont="0" applyNumberFormat="0" applyFill="0" applyBorder="1" applyAlignment="0">
      <alignment horizontal="general" vertical="bottom" textRotation="0" wrapText="false" shrinkToFit="false"/>
    </xf>
    <xf xfId="0" fontId="1" numFmtId="0" fillId="2" borderId="37" applyFont="1" applyNumberFormat="0" applyFill="0" applyBorder="1" applyAlignment="1">
      <alignment horizontal="general" vertical="bottom" textRotation="0" wrapText="true" shrinkToFit="false"/>
    </xf>
    <xf xfId="0" fontId="1" numFmtId="0" fillId="2" borderId="37" applyFont="1" applyNumberFormat="0" applyFill="0" applyBorder="1" applyAlignment="1">
      <alignment horizontal="left" vertical="bottom" textRotation="0" wrapText="false" shrinkToFit="false"/>
    </xf>
    <xf xfId="0" fontId="1" numFmtId="4" fillId="2" borderId="37" applyFont="1" applyNumberFormat="1" applyFill="0" applyBorder="1" applyAlignment="0">
      <alignment horizontal="general" vertical="bottom" textRotation="0" wrapText="false" shrinkToFit="false"/>
    </xf>
    <xf xfId="0" fontId="1" numFmtId="4" fillId="2" borderId="37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0" fillId="2" borderId="41" applyFont="1" applyNumberFormat="0" applyFill="0" applyBorder="1" applyAlignment="1">
      <alignment horizontal="right" vertical="bottom" textRotation="0" wrapText="true" shrinkToFit="false"/>
    </xf>
    <xf xfId="0" fontId="1" numFmtId="0" fillId="2" borderId="28" applyFont="1" applyNumberFormat="0" applyFill="0" applyBorder="1" applyAlignment="1">
      <alignment horizontal="left" vertical="bottom" textRotation="0" wrapText="false" shrinkToFit="false"/>
    </xf>
    <xf xfId="0" fontId="1" numFmtId="4" fillId="2" borderId="28" applyFont="1" applyNumberFormat="1" applyFill="0" applyBorder="1" applyAlignment="0">
      <alignment horizontal="general" vertical="bottom" textRotation="0" wrapText="false" shrinkToFit="false"/>
    </xf>
    <xf xfId="0" fontId="1" numFmtId="4" fillId="2" borderId="29" applyFont="1" applyNumberFormat="1" applyFill="0" applyBorder="1" applyAlignment="0">
      <alignment horizontal="general" vertical="bottom" textRotation="0" wrapText="false" shrinkToFit="false"/>
    </xf>
    <xf xfId="0" fontId="3" numFmtId="0" fillId="2" borderId="42" applyFont="1" applyNumberFormat="0" applyFill="0" applyBorder="1" applyAlignment="0">
      <alignment horizontal="general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5" applyFont="1" applyNumberFormat="1" applyFill="0" applyBorder="1" applyAlignment="1">
      <alignment horizontal="center" vertical="bottom" textRotation="0" wrapText="false" shrinkToFit="false"/>
    </xf>
    <xf xfId="0" fontId="1" numFmtId="164" fillId="2" borderId="5" applyFont="1" applyNumberFormat="1" applyFill="0" applyBorder="1" applyAlignment="1">
      <alignment horizontal="center" vertical="center" textRotation="0" wrapText="false" shrinkToFit="false"/>
    </xf>
    <xf xfId="0" fontId="1" numFmtId="164" fillId="2" borderId="6" applyFont="1" applyNumberFormat="1" applyFill="0" applyBorder="1" applyAlignment="1">
      <alignment horizontal="center" vertical="bottom" textRotation="0" wrapText="false" shrinkToFit="false"/>
    </xf>
    <xf xfId="0" fontId="1" numFmtId="4" fillId="2" borderId="17" applyFont="1" applyNumberFormat="1" applyFill="0" applyBorder="1" applyAlignment="0">
      <alignment horizontal="general" vertical="bottom" textRotation="0" wrapText="false" shrinkToFit="false"/>
    </xf>
    <xf xfId="0" fontId="1" numFmtId="4" fillId="2" borderId="6" applyFont="1" applyNumberFormat="1" applyFill="0" applyBorder="1" applyAlignment="0">
      <alignment horizontal="general" vertical="bottom" textRotation="0" wrapText="false" shrinkToFit="false"/>
    </xf>
    <xf xfId="0" fontId="4" numFmtId="4" fillId="2" borderId="9" applyFont="1" applyNumberFormat="1" applyFill="0" applyBorder="1" applyAlignment="0">
      <alignment horizontal="general" vertical="bottom" textRotation="0" wrapText="false" shrinkToFit="false"/>
    </xf>
    <xf xfId="0" fontId="4" numFmtId="4" fillId="2" borderId="11" applyFont="1" applyNumberFormat="1" applyFill="0" applyBorder="1" applyAlignment="0">
      <alignment horizontal="general" vertical="bottom" textRotation="0" wrapText="false" shrinkToFit="false"/>
    </xf>
    <xf xfId="0" fontId="3" numFmtId="0" fillId="2" borderId="43" applyFont="1" applyNumberFormat="0" applyFill="0" applyBorder="1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0" fillId="2" borderId="44" applyFont="1" applyNumberFormat="0" applyFill="0" applyBorder="1" applyAlignment="1">
      <alignment horizontal="center" vertical="bottom" textRotation="0" wrapText="false" shrinkToFit="false"/>
    </xf>
    <xf xfId="0" fontId="3" numFmtId="0" fillId="2" borderId="27" applyFont="1" applyNumberFormat="0" applyFill="0" applyBorder="1" applyAlignment="1">
      <alignment horizontal="center" vertical="bottom" textRotation="0" wrapText="false" shrinkToFit="false"/>
    </xf>
    <xf xfId="0" fontId="3" numFmtId="0" fillId="2" borderId="45" applyFont="1" applyNumberFormat="0" applyFill="0" applyBorder="1" applyAlignment="1">
      <alignment horizontal="center" vertical="bottom" textRotation="0" wrapText="false" shrinkToFit="false"/>
    </xf>
    <xf xfId="0" fontId="3" numFmtId="0" fillId="2" borderId="46" applyFont="1" applyNumberFormat="0" applyFill="0" applyBorder="1" applyAlignment="1">
      <alignment horizontal="center" vertical="bottom" textRotation="0" wrapText="false" shrinkToFit="false"/>
    </xf>
    <xf xfId="0" fontId="3" numFmtId="0" fillId="2" borderId="47" applyFont="1" applyNumberFormat="0" applyFill="0" applyBorder="1" applyAlignment="1">
      <alignment horizontal="center" vertical="bottom" textRotation="0" wrapText="false" shrinkToFit="false"/>
    </xf>
    <xf xfId="0" fontId="3" numFmtId="0" fillId="2" borderId="44" applyFont="1" applyNumberFormat="0" applyFill="0" applyBorder="1" applyAlignment="1">
      <alignment horizontal="center" vertical="bottom" textRotation="0" wrapText="false" shrinkToFit="false"/>
    </xf>
    <xf xfId="0" fontId="3" numFmtId="0" fillId="2" borderId="26" applyFont="1" applyNumberFormat="0" applyFill="0" applyBorder="1" applyAlignment="1">
      <alignment horizontal="center" vertical="bottom" textRotation="0" wrapText="false" shrinkToFit="false"/>
    </xf>
    <xf xfId="0" fontId="3" numFmtId="0" fillId="2" borderId="10" applyFont="1" applyNumberFormat="0" applyFill="0" applyBorder="1" applyAlignment="1">
      <alignment horizontal="center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4" numFmtId="0" fillId="2" borderId="48" applyFont="1" applyNumberFormat="0" applyFill="0" applyBorder="1" applyAlignment="1">
      <alignment horizontal="center" vertical="bottom" textRotation="0" wrapText="false" shrinkToFit="false"/>
    </xf>
    <xf xfId="0" fontId="4" numFmtId="0" fillId="2" borderId="14" applyFont="1" applyNumberFormat="0" applyFill="0" applyBorder="1" applyAlignment="1">
      <alignment horizontal="center" vertical="bottom" textRotation="0" wrapText="false" shrinkToFit="false"/>
    </xf>
    <xf xfId="0" fontId="3" numFmtId="0" fillId="2" borderId="48" applyFont="1" applyNumberFormat="0" applyFill="0" applyBorder="1" applyAlignment="1">
      <alignment horizontal="center" vertical="center" textRotation="0" wrapText="false" shrinkToFit="false"/>
    </xf>
    <xf xfId="0" fontId="3" numFmtId="0" fillId="2" borderId="14" applyFont="1" applyNumberFormat="0" applyFill="0" applyBorder="1" applyAlignment="1">
      <alignment horizontal="center" vertical="center" textRotation="0" wrapText="false" shrinkToFit="false"/>
    </xf>
    <xf xfId="0" fontId="3" numFmtId="0" fillId="2" borderId="18" applyFont="1" applyNumberFormat="0" applyFill="0" applyBorder="1" applyAlignment="1">
      <alignment horizontal="center" vertical="center" textRotation="0" wrapText="false" shrinkToFit="false"/>
    </xf>
    <xf xfId="0" fontId="3" numFmtId="0" fillId="2" borderId="15" applyFont="1" applyNumberFormat="0" applyFill="0" applyBorder="1" applyAlignment="1">
      <alignment horizontal="center" vertical="center" textRotation="0" wrapText="false" shrinkToFit="false"/>
    </xf>
    <xf xfId="0" fontId="3" numFmtId="0" fillId="2" borderId="10" applyFont="1" applyNumberFormat="0" applyFill="0" applyBorder="1" applyAlignment="1">
      <alignment horizontal="center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bottom" textRotation="0" wrapText="false" shrinkToFit="false"/>
    </xf>
    <xf xfId="0" fontId="3" numFmtId="0" fillId="2" borderId="18" applyFont="1" applyNumberFormat="0" applyFill="0" applyBorder="1" applyAlignment="1">
      <alignment horizontal="center" vertical="bottom" textRotation="0" wrapText="false" shrinkToFit="false"/>
    </xf>
    <xf xfId="0" fontId="3" numFmtId="0" fillId="2" borderId="15" applyFont="1" applyNumberFormat="0" applyFill="0" applyBorder="1" applyAlignment="1">
      <alignment horizontal="center" vertical="bottom" textRotation="0" wrapText="false" shrinkToFit="false"/>
    </xf>
    <xf xfId="0" fontId="3" numFmtId="0" fillId="2" borderId="18" applyFont="1" applyNumberFormat="0" applyFill="0" applyBorder="1" applyAlignment="1">
      <alignment horizontal="center" vertical="bottom" textRotation="0" wrapText="false" shrinkToFit="false"/>
    </xf>
    <xf xfId="0" fontId="3" numFmtId="0" fillId="2" borderId="20" applyFont="1" applyNumberFormat="0" applyFill="0" applyBorder="1" applyAlignment="1">
      <alignment horizontal="center" vertical="bottom" textRotation="0" wrapText="false" shrinkToFit="false"/>
    </xf>
    <xf xfId="0" fontId="3" numFmtId="0" fillId="2" borderId="26" applyFont="1" applyNumberFormat="0" applyFill="0" applyBorder="1" applyAlignment="1">
      <alignment horizontal="center" vertical="bottom" textRotation="0" wrapText="false" shrinkToFit="false"/>
    </xf>
    <xf xfId="0" fontId="4" numFmtId="0" fillId="2" borderId="48" applyFont="1" applyNumberFormat="0" applyFill="0" applyBorder="1" applyAlignment="1">
      <alignment horizontal="center" vertical="bottom" textRotation="0" wrapText="false" shrinkToFit="false"/>
    </xf>
    <xf xfId="0" fontId="4" numFmtId="0" fillId="2" borderId="14" applyFont="1" applyNumberFormat="0" applyFill="0" applyBorder="1" applyAlignment="1">
      <alignment horizontal="center" vertical="bottom" textRotation="0" wrapText="false" shrinkToFit="false"/>
    </xf>
    <xf xfId="0" fontId="3" numFmtId="0" fillId="2" borderId="48" applyFont="1" applyNumberFormat="0" applyFill="0" applyBorder="1" applyAlignment="1">
      <alignment horizontal="center" vertical="center" textRotation="0" wrapText="false" shrinkToFit="false"/>
    </xf>
    <xf xfId="0" fontId="3" numFmtId="0" fillId="2" borderId="14" applyFont="1" applyNumberFormat="0" applyFill="0" applyBorder="1" applyAlignment="1">
      <alignment horizontal="center" vertical="center" textRotation="0" wrapText="false" shrinkToFit="false"/>
    </xf>
    <xf xfId="0" fontId="3" numFmtId="0" fillId="2" borderId="6" applyFont="1" applyNumberFormat="0" applyFill="0" applyBorder="1" applyAlignment="1">
      <alignment horizontal="center" vertical="bottom" textRotation="0" wrapText="false" shrinkToFit="false"/>
    </xf>
    <xf xfId="0" fontId="3" numFmtId="0" fillId="2" borderId="20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8" applyFont="1" applyNumberFormat="0" applyFill="0" applyBorder="1" applyAlignment="1">
      <alignment horizontal="center" vertical="bottom" textRotation="0" wrapText="false" shrinkToFit="false"/>
    </xf>
    <xf xfId="0" fontId="3" numFmtId="0" fillId="2" borderId="14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48" applyFont="1" applyNumberFormat="0" applyFill="0" applyBorder="1" applyAlignment="1">
      <alignment horizontal="center" vertical="bottom" textRotation="0" wrapText="false" shrinkToFit="false"/>
    </xf>
    <xf xfId="0" fontId="3" numFmtId="0" fillId="2" borderId="14" applyFont="1" applyNumberFormat="0" applyFill="0" applyBorder="1" applyAlignment="1">
      <alignment horizontal="center" vertical="bottom" textRotation="0" wrapText="false" shrinkToFit="false"/>
    </xf>
    <xf xfId="0" fontId="3" numFmtId="0" fillId="2" borderId="14" applyFont="1" applyNumberFormat="0" applyFill="0" applyBorder="1" applyAlignment="1">
      <alignment horizontal="center" vertical="center" textRotation="0" wrapText="false" shrinkToFit="false"/>
    </xf>
    <xf xfId="0" fontId="3" numFmtId="0" fillId="2" borderId="14" applyFont="1" applyNumberFormat="0" applyFill="0" applyBorder="1" applyAlignment="1">
      <alignment horizontal="center" vertical="bottom" textRotation="0" wrapText="false" shrinkToFit="false"/>
    </xf>
    <xf xfId="0" fontId="4" numFmtId="0" fillId="2" borderId="44" applyFont="1" applyNumberFormat="0" applyFill="0" applyBorder="1" applyAlignment="1">
      <alignment horizontal="center" vertical="bottom" textRotation="0" wrapText="false" shrinkToFit="false"/>
    </xf>
    <xf xfId="0" fontId="4" numFmtId="0" fillId="2" borderId="27" applyFont="1" applyNumberFormat="0" applyFill="0" applyBorder="1" applyAlignment="1">
      <alignment horizontal="center" vertical="bottom" textRotation="0" wrapText="false" shrinkToFit="false"/>
    </xf>
    <xf xfId="0" fontId="3" numFmtId="0" fillId="2" borderId="44" applyFont="1" applyNumberFormat="0" applyFill="0" applyBorder="1" applyAlignment="1">
      <alignment horizontal="center" vertical="center" textRotation="0" wrapText="false" shrinkToFit="false"/>
    </xf>
    <xf xfId="0" fontId="3" numFmtId="0" fillId="2" borderId="27" applyFont="1" applyNumberFormat="0" applyFill="0" applyBorder="1" applyAlignment="1">
      <alignment horizontal="center" vertical="center" textRotation="0" wrapText="false" shrinkToFit="false"/>
    </xf>
    <xf xfId="0" fontId="3" numFmtId="0" fillId="2" borderId="37" applyFont="1" applyNumberFormat="0" applyFill="0" applyBorder="1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4" numFmtId="0" fillId="2" borderId="48" applyFont="1" applyNumberFormat="0" applyFill="0" applyBorder="1" applyAlignment="1">
      <alignment horizontal="center" vertical="bottom" textRotation="0" wrapText="false" shrinkToFit="false"/>
    </xf>
    <xf xfId="0" fontId="3" numFmtId="0" fillId="2" borderId="48" applyFont="1" applyNumberFormat="0" applyFill="0" applyBorder="1" applyAlignment="1">
      <alignment horizontal="center" vertical="center" textRotation="0" wrapText="false" shrinkToFit="false"/>
    </xf>
    <xf xfId="0" fontId="4" numFmtId="0" fillId="2" borderId="48" applyFont="1" applyNumberFormat="0" applyFill="0" applyBorder="1" applyAlignment="1">
      <alignment horizontal="center" vertical="bottom" textRotation="0" wrapText="false" shrinkToFit="false"/>
    </xf>
    <xf xfId="0" fontId="3" numFmtId="0" fillId="2" borderId="48" applyFont="1" applyNumberFormat="0" applyFill="0" applyBorder="1" applyAlignment="1">
      <alignment horizontal="center" vertical="center" textRotation="0" wrapText="false" shrinkToFit="false"/>
    </xf>
    <xf xfId="0" fontId="4" numFmtId="0" fillId="2" borderId="48" applyFont="1" applyNumberFormat="0" applyFill="0" applyBorder="1" applyAlignment="1">
      <alignment horizontal="center" vertical="bottom" textRotation="0" wrapText="false" shrinkToFit="false"/>
    </xf>
    <xf xfId="0" fontId="4" numFmtId="0" fillId="2" borderId="14" applyFont="1" applyNumberFormat="0" applyFill="0" applyBorder="1" applyAlignment="1">
      <alignment horizontal="center" vertical="bottom" textRotation="0" wrapText="false" shrinkToFit="false"/>
    </xf>
    <xf xfId="0" fontId="3" numFmtId="0" fillId="2" borderId="48" applyFont="1" applyNumberFormat="0" applyFill="0" applyBorder="1" applyAlignment="1">
      <alignment horizontal="center" vertical="center" textRotation="0" wrapText="false" shrinkToFit="false"/>
    </xf>
    <xf xfId="0" fontId="3" numFmtId="0" fillId="2" borderId="14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X1502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66.5546875" customWidth="true" style="0"/>
    <col min="2" max="2" width="12.5546875" customWidth="true" style="0"/>
    <col min="3" max="3" width="2" customWidth="true" style="0"/>
    <col min="4" max="4" width="12.109375" customWidth="true" style="0"/>
    <col min="5" max="5" width="2" customWidth="true" style="0"/>
    <col min="6" max="6" width="13" customWidth="true" style="0"/>
    <col min="7" max="7" width="2" customWidth="true" style="0"/>
    <col min="8" max="8" width="13.88671875" customWidth="true" style="0"/>
    <col min="9" max="9" width="2" customWidth="true" style="0"/>
    <col min="10" max="10" width="11.109375" customWidth="true" style="0"/>
    <col min="11" max="11" width="2" customWidth="true" style="0"/>
    <col min="12" max="12" width="12.44140625" customWidth="true" style="6"/>
    <col min="13" max="13" width="12.44140625" customWidth="true" style="6"/>
    <col min="14" max="14" width="11.109375" customWidth="true" style="6"/>
    <col min="15" max="15" width="11.109375" customWidth="true" style="6"/>
    <col min="16" max="16" width="16.33203125" customWidth="true" style="6"/>
    <col min="17" max="17" width="13" customWidth="true" style="6"/>
    <col min="18" max="18" width="13" customWidth="true" style="6"/>
    <col min="19" max="19" width="13" customWidth="true" style="6"/>
    <col min="20" max="20" width="13" customWidth="true" style="6"/>
    <col min="21" max="21" width="13" customWidth="true" style="6"/>
    <col min="22" max="22" width="13" customWidth="true" style="6"/>
    <col min="24" max="24" width="13.44140625" customWidth="true" style="0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4" customHeight="1" ht="15.6">
      <c r="A3" s="236" t="s">
        <v>1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4">
      <c r="A4" s="231" t="s">
        <v>2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4"/>
      <c r="N4" s="4"/>
      <c r="O4" s="4"/>
      <c r="P4" s="4"/>
      <c r="Q4" s="4"/>
      <c r="R4" s="4"/>
      <c r="S4" s="4"/>
      <c r="T4" s="4"/>
      <c r="U4" s="4"/>
      <c r="V4" s="4"/>
    </row>
    <row r="6" spans="1:24">
      <c r="A6" s="5" t="s">
        <v>3</v>
      </c>
    </row>
    <row r="7" spans="1:24" customHeight="1" ht="15"/>
    <row r="8" spans="1:24">
      <c r="A8" s="7"/>
      <c r="B8" s="8"/>
      <c r="C8" s="203" t="s">
        <v>4</v>
      </c>
      <c r="D8" s="204"/>
      <c r="E8" s="205" t="s">
        <v>5</v>
      </c>
      <c r="F8" s="206"/>
      <c r="G8" s="206"/>
      <c r="H8" s="206"/>
      <c r="I8" s="206"/>
      <c r="J8" s="207"/>
      <c r="K8" s="203" t="s">
        <v>6</v>
      </c>
      <c r="L8" s="22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4">
      <c r="A9" s="9" t="s">
        <v>7</v>
      </c>
      <c r="B9" s="10" t="s">
        <v>8</v>
      </c>
      <c r="C9" s="210">
        <v>2024</v>
      </c>
      <c r="D9" s="211"/>
      <c r="E9" s="255" t="s">
        <v>9</v>
      </c>
      <c r="F9" s="256"/>
      <c r="G9" s="255" t="s">
        <v>10</v>
      </c>
      <c r="H9" s="256"/>
      <c r="I9" s="257" t="s">
        <v>11</v>
      </c>
      <c r="J9" s="258"/>
      <c r="K9" s="210">
        <v>2026</v>
      </c>
      <c r="L9" s="229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4" customHeight="1" ht="15">
      <c r="A10" s="13"/>
      <c r="B10" s="14"/>
      <c r="C10" s="220" t="s">
        <v>12</v>
      </c>
      <c r="D10" s="221"/>
      <c r="E10" s="220" t="s">
        <v>12</v>
      </c>
      <c r="F10" s="221"/>
      <c r="G10" s="220" t="s">
        <v>13</v>
      </c>
      <c r="H10" s="221"/>
      <c r="I10" s="216"/>
      <c r="J10" s="217"/>
      <c r="K10" s="220" t="s">
        <v>14</v>
      </c>
      <c r="L10" s="230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4">
      <c r="A11" s="15" t="s">
        <v>15</v>
      </c>
      <c r="B11" s="16"/>
      <c r="C11" s="17"/>
      <c r="D11" s="18"/>
      <c r="E11" s="17"/>
      <c r="F11" s="18"/>
      <c r="G11" s="17"/>
      <c r="H11" s="18"/>
      <c r="I11" s="17"/>
      <c r="J11" s="18"/>
      <c r="K11" s="17"/>
      <c r="L11" s="19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4">
      <c r="A12" s="21" t="s">
        <v>16</v>
      </c>
      <c r="B12" s="16" t="s">
        <v>17</v>
      </c>
      <c r="C12" s="17" t="s">
        <v>18</v>
      </c>
      <c r="D12" s="22">
        <v>3842196.72</v>
      </c>
      <c r="E12" s="17" t="s">
        <v>18</v>
      </c>
      <c r="F12" s="22">
        <v>2298801.86</v>
      </c>
      <c r="G12" s="23" t="s">
        <v>18</v>
      </c>
      <c r="H12" s="22">
        <f>J12-F12</f>
        <v>2498866.14</v>
      </c>
      <c r="I12" s="17" t="s">
        <v>18</v>
      </c>
      <c r="J12" s="24">
        <v>4797668</v>
      </c>
      <c r="K12" s="17" t="s">
        <v>18</v>
      </c>
      <c r="L12" s="25">
        <v>5531936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1:24">
      <c r="A13" s="27" t="s">
        <v>19</v>
      </c>
      <c r="B13" s="16"/>
      <c r="C13" s="17"/>
      <c r="D13" s="28"/>
      <c r="E13" s="23"/>
      <c r="F13" s="28"/>
      <c r="G13" s="23"/>
      <c r="H13" s="28"/>
      <c r="I13" s="23"/>
      <c r="J13" s="29"/>
      <c r="K13" s="17"/>
      <c r="L13" s="30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1:24">
      <c r="A14" s="21" t="s">
        <v>20</v>
      </c>
      <c r="B14" s="16" t="s">
        <v>21</v>
      </c>
      <c r="C14" s="17"/>
      <c r="D14" s="28">
        <v>271032.26</v>
      </c>
      <c r="E14" s="23"/>
      <c r="F14" s="28">
        <v>153000</v>
      </c>
      <c r="G14" s="23"/>
      <c r="H14" s="22">
        <f>J14-F14</f>
        <v>171000</v>
      </c>
      <c r="I14" s="23"/>
      <c r="J14" s="29">
        <v>324000</v>
      </c>
      <c r="K14" s="17"/>
      <c r="L14" s="30">
        <v>336000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4">
      <c r="A15" s="21" t="s">
        <v>22</v>
      </c>
      <c r="B15" s="16" t="s">
        <v>23</v>
      </c>
      <c r="C15" s="17"/>
      <c r="D15" s="31">
        <v>96000</v>
      </c>
      <c r="E15" s="23"/>
      <c r="F15" s="31">
        <v>48000</v>
      </c>
      <c r="G15" s="23"/>
      <c r="H15" s="22">
        <f>J15-F15</f>
        <v>48000</v>
      </c>
      <c r="I15" s="23"/>
      <c r="J15" s="32">
        <v>96000</v>
      </c>
      <c r="K15" s="17"/>
      <c r="L15" s="33">
        <v>96000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1:24">
      <c r="A16" s="21" t="s">
        <v>24</v>
      </c>
      <c r="B16" s="16" t="s">
        <v>25</v>
      </c>
      <c r="C16" s="17"/>
      <c r="D16" s="31">
        <v>96000</v>
      </c>
      <c r="E16" s="23"/>
      <c r="F16" s="31">
        <v>48000</v>
      </c>
      <c r="G16" s="23"/>
      <c r="H16" s="22">
        <f>J16-F16</f>
        <v>48000</v>
      </c>
      <c r="I16" s="23"/>
      <c r="J16" s="32">
        <v>96000</v>
      </c>
      <c r="K16" s="17"/>
      <c r="L16" s="33">
        <v>96000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1:24">
      <c r="A17" s="21" t="s">
        <v>26</v>
      </c>
      <c r="B17" s="16" t="s">
        <v>27</v>
      </c>
      <c r="C17" s="17"/>
      <c r="D17" s="31">
        <v>77000</v>
      </c>
      <c r="E17" s="23"/>
      <c r="F17" s="31">
        <v>84000</v>
      </c>
      <c r="G17" s="23"/>
      <c r="H17" s="22">
        <f>J17-F17</f>
        <v>14000</v>
      </c>
      <c r="I17" s="23"/>
      <c r="J17" s="32">
        <v>98000</v>
      </c>
      <c r="K17" s="17"/>
      <c r="L17" s="33">
        <v>98000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1:24">
      <c r="A18" s="21" t="s">
        <v>28</v>
      </c>
      <c r="B18" s="16" t="s">
        <v>29</v>
      </c>
      <c r="C18" s="17"/>
      <c r="D18" s="31">
        <v>57500</v>
      </c>
      <c r="E18" s="23"/>
      <c r="F18" s="31">
        <v>0</v>
      </c>
      <c r="G18" s="23"/>
      <c r="H18" s="22">
        <f>J18-F18</f>
        <v>70000</v>
      </c>
      <c r="I18" s="23"/>
      <c r="J18" s="32">
        <v>70000</v>
      </c>
      <c r="K18" s="17"/>
      <c r="L18" s="33">
        <v>0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spans="1:24">
      <c r="A19" s="21" t="s">
        <v>30</v>
      </c>
      <c r="B19" s="16" t="s">
        <v>31</v>
      </c>
      <c r="C19" s="17"/>
      <c r="D19" s="31">
        <v>228000</v>
      </c>
      <c r="E19" s="23"/>
      <c r="F19" s="31">
        <v>0</v>
      </c>
      <c r="G19" s="23"/>
      <c r="H19" s="22">
        <f>J19-F19</f>
        <v>280000</v>
      </c>
      <c r="I19" s="23"/>
      <c r="J19" s="32">
        <v>280000</v>
      </c>
      <c r="K19" s="17"/>
      <c r="L19" s="33">
        <v>0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spans="1:24">
      <c r="A20" s="21" t="s">
        <v>32</v>
      </c>
      <c r="B20" s="16" t="s">
        <v>33</v>
      </c>
      <c r="C20" s="17"/>
      <c r="D20" s="31">
        <v>354683.35</v>
      </c>
      <c r="E20" s="23"/>
      <c r="F20" s="31">
        <v>0</v>
      </c>
      <c r="G20" s="23"/>
      <c r="H20" s="22">
        <f>J20-F20</f>
        <v>418874</v>
      </c>
      <c r="I20" s="23"/>
      <c r="J20" s="32">
        <v>418874</v>
      </c>
      <c r="K20" s="17"/>
      <c r="L20" s="33">
        <v>546518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spans="1:24">
      <c r="A21" s="21" t="s">
        <v>34</v>
      </c>
      <c r="B21" s="16" t="s">
        <v>35</v>
      </c>
      <c r="C21" s="17"/>
      <c r="D21" s="31">
        <v>61250</v>
      </c>
      <c r="E21" s="23"/>
      <c r="F21" s="31">
        <v>0</v>
      </c>
      <c r="G21" s="23"/>
      <c r="H21" s="22">
        <f>J21-F21</f>
        <v>70000</v>
      </c>
      <c r="I21" s="23"/>
      <c r="J21" s="32">
        <v>70000</v>
      </c>
      <c r="K21" s="17"/>
      <c r="L21" s="33">
        <v>70000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spans="1:24">
      <c r="A22" s="21" t="s">
        <v>36</v>
      </c>
      <c r="B22" s="16" t="s">
        <v>37</v>
      </c>
      <c r="C22" s="17"/>
      <c r="D22" s="31">
        <v>264461</v>
      </c>
      <c r="E22" s="23"/>
      <c r="F22" s="31">
        <v>375027</v>
      </c>
      <c r="G22" s="23"/>
      <c r="H22" s="22">
        <f>J22-F22</f>
        <v>11372</v>
      </c>
      <c r="I22" s="23"/>
      <c r="J22" s="32">
        <v>386399</v>
      </c>
      <c r="K22" s="17"/>
      <c r="L22" s="33">
        <v>418233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spans="1:24">
      <c r="A23" s="27" t="s">
        <v>38</v>
      </c>
      <c r="B23" s="16"/>
      <c r="C23" s="17"/>
      <c r="D23" s="34"/>
      <c r="E23" s="23"/>
      <c r="F23" s="28"/>
      <c r="G23" s="23"/>
      <c r="H23" s="28"/>
      <c r="I23" s="23"/>
      <c r="J23" s="29"/>
      <c r="K23" s="17"/>
      <c r="L23" s="30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spans="1:24">
      <c r="A24" s="21" t="s">
        <v>39</v>
      </c>
      <c r="B24" s="16" t="s">
        <v>40</v>
      </c>
      <c r="C24" s="17"/>
      <c r="D24" s="35">
        <v>460697.43</v>
      </c>
      <c r="E24" s="23"/>
      <c r="F24" s="28">
        <v>275856.22</v>
      </c>
      <c r="G24" s="23"/>
      <c r="H24" s="22">
        <f>J24-F24</f>
        <v>299864.78</v>
      </c>
      <c r="I24" s="23"/>
      <c r="J24" s="29">
        <v>575721</v>
      </c>
      <c r="K24" s="17"/>
      <c r="L24" s="30">
        <v>664110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spans="1:24">
      <c r="A25" s="21" t="s">
        <v>41</v>
      </c>
      <c r="B25" s="16" t="s">
        <v>42</v>
      </c>
      <c r="C25" s="17"/>
      <c r="D25" s="36">
        <v>26300</v>
      </c>
      <c r="E25" s="23"/>
      <c r="F25" s="37">
        <v>15400</v>
      </c>
      <c r="G25" s="23"/>
      <c r="H25" s="22">
        <f>J25-F25</f>
        <v>17000</v>
      </c>
      <c r="I25" s="23"/>
      <c r="J25" s="38">
        <v>32400</v>
      </c>
      <c r="K25" s="17"/>
      <c r="L25" s="39">
        <v>33600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spans="1:24">
      <c r="A26" s="21" t="s">
        <v>43</v>
      </c>
      <c r="B26" s="16" t="s">
        <v>44</v>
      </c>
      <c r="C26" s="17"/>
      <c r="D26" s="36">
        <v>93780.38</v>
      </c>
      <c r="E26" s="23"/>
      <c r="F26" s="37">
        <v>55927.01</v>
      </c>
      <c r="G26" s="23"/>
      <c r="H26" s="22">
        <f>J26-F26</f>
        <v>64017.99</v>
      </c>
      <c r="I26" s="23"/>
      <c r="J26" s="38">
        <v>119945</v>
      </c>
      <c r="K26" s="17"/>
      <c r="L26" s="39">
        <v>138430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spans="1:24">
      <c r="A27" s="21" t="s">
        <v>45</v>
      </c>
      <c r="B27" s="16" t="s">
        <v>46</v>
      </c>
      <c r="C27" s="17"/>
      <c r="D27" s="36">
        <v>13600</v>
      </c>
      <c r="E27" s="23"/>
      <c r="F27" s="37">
        <v>7700</v>
      </c>
      <c r="G27" s="23"/>
      <c r="H27" s="22">
        <f>J27-F27</f>
        <v>8500</v>
      </c>
      <c r="I27" s="23"/>
      <c r="J27" s="38">
        <v>16200</v>
      </c>
      <c r="K27" s="17"/>
      <c r="L27" s="39">
        <v>16800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spans="1:24">
      <c r="A28" s="27" t="s">
        <v>47</v>
      </c>
      <c r="B28" s="16"/>
      <c r="C28" s="17"/>
      <c r="D28" s="28"/>
      <c r="E28" s="23"/>
      <c r="F28" s="28">
        <v>0</v>
      </c>
      <c r="G28" s="23"/>
      <c r="H28" s="28"/>
      <c r="I28" s="23"/>
      <c r="J28" s="29"/>
      <c r="K28" s="17"/>
      <c r="L28" s="30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spans="1:24">
      <c r="A29" s="40" t="s">
        <v>48</v>
      </c>
      <c r="B29" s="16" t="s">
        <v>49</v>
      </c>
      <c r="C29" s="17"/>
      <c r="D29" s="22">
        <v>107008.97</v>
      </c>
      <c r="E29" s="23"/>
      <c r="F29" s="22">
        <v>0</v>
      </c>
      <c r="G29" s="23"/>
      <c r="H29" s="22">
        <f>J29-F29</f>
        <v>0</v>
      </c>
      <c r="I29" s="23"/>
      <c r="J29" s="24">
        <v>0</v>
      </c>
      <c r="K29" s="17"/>
      <c r="L29" s="25">
        <v>0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spans="1:24" customHeight="1" ht="15">
      <c r="A30" s="40" t="s">
        <v>50</v>
      </c>
      <c r="B30" s="16" t="s">
        <v>51</v>
      </c>
      <c r="C30" s="17"/>
      <c r="D30" s="93">
        <v>5000</v>
      </c>
      <c r="E30" s="17"/>
      <c r="F30" s="22">
        <v>84000</v>
      </c>
      <c r="G30" s="17"/>
      <c r="H30" s="93">
        <f>J30-F30</f>
        <v>7000</v>
      </c>
      <c r="I30" s="17"/>
      <c r="J30" s="42">
        <v>91000</v>
      </c>
      <c r="K30" s="17"/>
      <c r="L30" s="43">
        <v>108000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spans="1:24" customHeight="1" ht="15">
      <c r="A31" s="44" t="s">
        <v>52</v>
      </c>
      <c r="B31" s="45"/>
      <c r="C31" s="46" t="s">
        <v>18</v>
      </c>
      <c r="D31" s="47">
        <f>SUM(D12:D30)</f>
        <v>6054510.11</v>
      </c>
      <c r="E31" s="48" t="s">
        <v>18</v>
      </c>
      <c r="F31" s="47">
        <f>SUM(F12:F30)</f>
        <v>3445712.09</v>
      </c>
      <c r="G31" s="48" t="s">
        <v>18</v>
      </c>
      <c r="H31" s="47">
        <f>SUM(H12:H30)</f>
        <v>4026494.91</v>
      </c>
      <c r="I31" s="48" t="s">
        <v>18</v>
      </c>
      <c r="J31" s="47">
        <f>SUM(J12:J30)</f>
        <v>7472207</v>
      </c>
      <c r="K31" s="48" t="s">
        <v>18</v>
      </c>
      <c r="L31" s="49">
        <f>SUM(L12:L30)</f>
        <v>8153627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X31" s="51"/>
    </row>
    <row r="32" spans="1:24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1:24">
      <c r="A33" s="17"/>
      <c r="B33" s="17"/>
      <c r="C33" s="17"/>
      <c r="D33" s="17"/>
      <c r="E33" s="17"/>
      <c r="F33" s="17"/>
      <c r="G33" s="17"/>
      <c r="H33" s="17"/>
      <c r="I33" s="17"/>
      <c r="K33" s="17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1:24">
      <c r="A35" s="1" t="s">
        <v>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4" customHeight="1" ht="15.6">
      <c r="A36" s="236" t="s">
        <v>1</v>
      </c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4">
      <c r="A37" s="231" t="s">
        <v>2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4" customHeight="1" ht="15">
      <c r="A38" s="5" t="s">
        <v>3</v>
      </c>
    </row>
    <row r="39" spans="1:24">
      <c r="A39" s="7"/>
      <c r="B39" s="8"/>
      <c r="C39" s="203" t="s">
        <v>4</v>
      </c>
      <c r="D39" s="204"/>
      <c r="E39" s="205" t="s">
        <v>5</v>
      </c>
      <c r="F39" s="206"/>
      <c r="G39" s="206"/>
      <c r="H39" s="206"/>
      <c r="I39" s="206"/>
      <c r="J39" s="207"/>
      <c r="K39" s="203" t="s">
        <v>6</v>
      </c>
      <c r="L39" s="22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4">
      <c r="A40" s="9" t="s">
        <v>7</v>
      </c>
      <c r="B40" s="10" t="s">
        <v>8</v>
      </c>
      <c r="C40" s="210">
        <v>2024</v>
      </c>
      <c r="D40" s="211"/>
      <c r="E40" s="251" t="s">
        <v>9</v>
      </c>
      <c r="F40" s="226"/>
      <c r="G40" s="251" t="s">
        <v>10</v>
      </c>
      <c r="H40" s="226"/>
      <c r="I40" s="252" t="s">
        <v>11</v>
      </c>
      <c r="J40" s="228"/>
      <c r="K40" s="210">
        <v>2026</v>
      </c>
      <c r="L40" s="229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4" customHeight="1" ht="15">
      <c r="A41" s="13"/>
      <c r="B41" s="14"/>
      <c r="C41" s="220" t="s">
        <v>12</v>
      </c>
      <c r="D41" s="221"/>
      <c r="E41" s="220" t="s">
        <v>12</v>
      </c>
      <c r="F41" s="221"/>
      <c r="G41" s="220" t="s">
        <v>13</v>
      </c>
      <c r="H41" s="221"/>
      <c r="I41" s="216"/>
      <c r="J41" s="217"/>
      <c r="K41" s="220" t="s">
        <v>14</v>
      </c>
      <c r="L41" s="230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4">
      <c r="A42" s="27" t="s">
        <v>53</v>
      </c>
      <c r="B42" s="52"/>
      <c r="C42" s="17"/>
      <c r="D42" s="18"/>
      <c r="E42" s="17"/>
      <c r="F42" s="18"/>
      <c r="G42" s="17"/>
      <c r="H42" s="18"/>
      <c r="I42" s="17"/>
      <c r="J42" s="18"/>
      <c r="K42" s="17"/>
      <c r="L42" s="19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spans="1:24">
      <c r="A43" s="21" t="s">
        <v>54</v>
      </c>
      <c r="B43" s="16" t="s">
        <v>55</v>
      </c>
      <c r="C43" s="17" t="s">
        <v>18</v>
      </c>
      <c r="D43" s="22">
        <v>935141.28</v>
      </c>
      <c r="E43" s="17" t="s">
        <v>18</v>
      </c>
      <c r="F43" s="22">
        <v>366384.72</v>
      </c>
      <c r="G43" s="17" t="s">
        <v>18</v>
      </c>
      <c r="H43" s="22">
        <f>J43-F43</f>
        <v>233615.28</v>
      </c>
      <c r="I43" s="17" t="s">
        <v>18</v>
      </c>
      <c r="J43" s="24">
        <v>600000</v>
      </c>
      <c r="K43" s="17" t="s">
        <v>18</v>
      </c>
      <c r="L43" s="25">
        <v>1000000</v>
      </c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spans="1:24">
      <c r="A44" s="21" t="s">
        <v>56</v>
      </c>
      <c r="B44" s="16" t="s">
        <v>57</v>
      </c>
      <c r="C44" s="17"/>
      <c r="D44" s="37">
        <v>151299.5</v>
      </c>
      <c r="E44" s="23"/>
      <c r="F44" s="37">
        <v>0</v>
      </c>
      <c r="G44" s="23"/>
      <c r="H44" s="22">
        <f>J44-F44</f>
        <v>300000</v>
      </c>
      <c r="I44" s="23"/>
      <c r="J44" s="38">
        <v>300000</v>
      </c>
      <c r="K44" s="17"/>
      <c r="L44" s="39">
        <v>100000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spans="1:24">
      <c r="A45" s="21" t="s">
        <v>58</v>
      </c>
      <c r="B45" s="16" t="s">
        <v>59</v>
      </c>
      <c r="C45" s="17"/>
      <c r="D45" s="37">
        <v>775012.36</v>
      </c>
      <c r="E45" s="23"/>
      <c r="F45" s="37">
        <v>580531.74</v>
      </c>
      <c r="G45" s="23"/>
      <c r="H45" s="22">
        <f>J45-F45</f>
        <v>719468.26</v>
      </c>
      <c r="I45" s="23"/>
      <c r="J45" s="38">
        <v>1300000</v>
      </c>
      <c r="K45" s="17"/>
      <c r="L45" s="39">
        <v>1000000</v>
      </c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spans="1:24">
      <c r="A46" s="21" t="s">
        <v>60</v>
      </c>
      <c r="B46" s="16" t="s">
        <v>61</v>
      </c>
      <c r="C46" s="17"/>
      <c r="D46" s="147">
        <v>0</v>
      </c>
      <c r="E46" s="23"/>
      <c r="F46" s="147">
        <v>0</v>
      </c>
      <c r="G46" s="23"/>
      <c r="H46" s="22">
        <v>0</v>
      </c>
      <c r="I46" s="23"/>
      <c r="J46" s="148">
        <v>0</v>
      </c>
      <c r="K46" s="17"/>
      <c r="L46" s="151">
        <v>500000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spans="1:24">
      <c r="A47" s="21" t="s">
        <v>62</v>
      </c>
      <c r="B47" s="16" t="s">
        <v>63</v>
      </c>
      <c r="C47" s="17"/>
      <c r="D47" s="37">
        <v>3340704.43</v>
      </c>
      <c r="E47" s="23"/>
      <c r="F47" s="37">
        <v>1612772.39</v>
      </c>
      <c r="G47" s="23"/>
      <c r="H47" s="22">
        <f>J47-F47</f>
        <v>1387227.61</v>
      </c>
      <c r="I47" s="23"/>
      <c r="J47" s="38">
        <v>3000000</v>
      </c>
      <c r="K47" s="17"/>
      <c r="L47" s="39">
        <v>4000000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spans="1:24">
      <c r="A48" s="21" t="s">
        <v>64</v>
      </c>
      <c r="B48" s="16" t="s">
        <v>65</v>
      </c>
      <c r="C48" s="17"/>
      <c r="D48" s="37">
        <v>1538665.45</v>
      </c>
      <c r="E48" s="23"/>
      <c r="F48" s="37">
        <v>837441.15</v>
      </c>
      <c r="G48" s="23"/>
      <c r="H48" s="22">
        <f>J48-F48</f>
        <v>562558.85</v>
      </c>
      <c r="I48" s="23"/>
      <c r="J48" s="38">
        <v>1400000</v>
      </c>
      <c r="K48" s="17"/>
      <c r="L48" s="146">
        <v>2000000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spans="1:24">
      <c r="A49" s="21" t="s">
        <v>66</v>
      </c>
      <c r="B49" s="16" t="s">
        <v>67</v>
      </c>
      <c r="C49" s="17"/>
      <c r="D49" s="37">
        <v>5660587.3</v>
      </c>
      <c r="E49" s="23"/>
      <c r="F49" s="37">
        <v>2411959.58</v>
      </c>
      <c r="G49" s="23"/>
      <c r="H49" s="22">
        <f>J49-F49</f>
        <v>3088040.42</v>
      </c>
      <c r="I49" s="23"/>
      <c r="J49" s="38">
        <v>5500000</v>
      </c>
      <c r="K49" s="17"/>
      <c r="L49" s="146">
        <v>6000000</v>
      </c>
      <c r="M49" s="26"/>
      <c r="N49" s="26"/>
      <c r="O49" s="26"/>
      <c r="P49" s="26"/>
      <c r="Q49" s="26"/>
      <c r="R49" s="26"/>
      <c r="S49" s="26"/>
      <c r="T49" s="26"/>
      <c r="V49" s="26"/>
    </row>
    <row r="50" spans="1:24">
      <c r="A50" s="21" t="s">
        <v>68</v>
      </c>
      <c r="B50" s="16" t="s">
        <v>69</v>
      </c>
      <c r="C50" s="17"/>
      <c r="D50" s="37">
        <v>0</v>
      </c>
      <c r="E50" s="23"/>
      <c r="F50" s="37">
        <v>0</v>
      </c>
      <c r="G50" s="23"/>
      <c r="H50" s="22">
        <f>J50-F50</f>
        <v>5000</v>
      </c>
      <c r="I50" s="23"/>
      <c r="J50" s="38">
        <v>5000</v>
      </c>
      <c r="K50" s="17"/>
      <c r="L50" s="146">
        <v>5000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spans="1:24">
      <c r="A51" s="21" t="s">
        <v>70</v>
      </c>
      <c r="B51" s="16" t="s">
        <v>71</v>
      </c>
      <c r="C51" s="17"/>
      <c r="D51" s="37">
        <v>163500</v>
      </c>
      <c r="E51" s="23"/>
      <c r="F51" s="37">
        <v>84250</v>
      </c>
      <c r="G51" s="23"/>
      <c r="H51" s="22">
        <f>J51-F51</f>
        <v>135750</v>
      </c>
      <c r="I51" s="23"/>
      <c r="J51" s="38">
        <v>220000</v>
      </c>
      <c r="K51" s="17"/>
      <c r="L51" s="39">
        <v>250000</v>
      </c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spans="1:24">
      <c r="A52" s="21" t="s">
        <v>72</v>
      </c>
      <c r="B52" s="16" t="s">
        <v>73</v>
      </c>
      <c r="C52" s="17"/>
      <c r="D52" s="37">
        <v>91382.28</v>
      </c>
      <c r="E52" s="23"/>
      <c r="F52" s="37">
        <v>43723.23</v>
      </c>
      <c r="G52" s="23"/>
      <c r="H52" s="22">
        <f>J52-F52</f>
        <v>56276.77</v>
      </c>
      <c r="I52" s="23"/>
      <c r="J52" s="38">
        <v>100000</v>
      </c>
      <c r="K52" s="17"/>
      <c r="L52" s="39">
        <v>150000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spans="1:24">
      <c r="A53" s="21" t="s">
        <v>74</v>
      </c>
      <c r="B53" s="16" t="s">
        <v>75</v>
      </c>
      <c r="C53" s="17"/>
      <c r="D53" s="37">
        <v>0</v>
      </c>
      <c r="E53" s="23"/>
      <c r="F53" s="37">
        <v>0</v>
      </c>
      <c r="G53" s="23"/>
      <c r="H53" s="22">
        <f>J53-F53</f>
        <v>51874.56</v>
      </c>
      <c r="I53" s="23"/>
      <c r="J53" s="38">
        <v>51874.56</v>
      </c>
      <c r="K53" s="17"/>
      <c r="L53" s="39">
        <v>57018.82</v>
      </c>
      <c r="M53" s="26"/>
      <c r="N53" s="26"/>
      <c r="O53" s="26"/>
      <c r="P53" s="26"/>
      <c r="Q53" s="26"/>
      <c r="R53" s="26"/>
      <c r="S53" s="26"/>
      <c r="T53" s="26"/>
      <c r="U53" s="26"/>
      <c r="V53" s="26"/>
      <c r="X53" s="39"/>
    </row>
    <row r="54" spans="1:24">
      <c r="A54" s="21" t="s">
        <v>76</v>
      </c>
      <c r="B54" s="16" t="s">
        <v>77</v>
      </c>
      <c r="C54" s="17"/>
      <c r="D54" s="37">
        <v>262000</v>
      </c>
      <c r="E54" s="23"/>
      <c r="F54" s="37">
        <v>80000</v>
      </c>
      <c r="G54" s="23"/>
      <c r="H54" s="22">
        <f>J54-F54</f>
        <v>30000</v>
      </c>
      <c r="I54" s="23"/>
      <c r="J54" s="38">
        <v>110000</v>
      </c>
      <c r="K54" s="17"/>
      <c r="L54" s="39">
        <v>0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spans="1:24">
      <c r="A55" s="21" t="s">
        <v>78</v>
      </c>
      <c r="B55" s="16" t="s">
        <v>79</v>
      </c>
      <c r="C55" s="17"/>
      <c r="D55" s="37">
        <v>8527490.5</v>
      </c>
      <c r="E55" s="23"/>
      <c r="F55" s="37">
        <v>3943171.25</v>
      </c>
      <c r="G55" s="23"/>
      <c r="H55" s="22">
        <f>J55-F55</f>
        <v>3556828.75</v>
      </c>
      <c r="I55" s="23"/>
      <c r="J55" s="38">
        <v>7500000</v>
      </c>
      <c r="K55" s="17"/>
      <c r="L55" s="39">
        <v>8000000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X55" s="51"/>
    </row>
    <row r="56" spans="1:24">
      <c r="A56" s="21" t="s">
        <v>80</v>
      </c>
      <c r="B56" s="16" t="s">
        <v>81</v>
      </c>
      <c r="C56" s="17"/>
      <c r="D56" s="37">
        <v>107150</v>
      </c>
      <c r="E56" s="23"/>
      <c r="F56" s="37">
        <v>19400</v>
      </c>
      <c r="G56" s="23"/>
      <c r="H56" s="22">
        <f>J56-F56</f>
        <v>80600</v>
      </c>
      <c r="I56" s="23"/>
      <c r="J56" s="38">
        <v>100000</v>
      </c>
      <c r="K56" s="17"/>
      <c r="L56" s="39">
        <v>200000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spans="1:24">
      <c r="A57" s="21" t="s">
        <v>82</v>
      </c>
      <c r="B57" s="16" t="s">
        <v>83</v>
      </c>
      <c r="C57" s="17"/>
      <c r="D57" s="37">
        <v>977282</v>
      </c>
      <c r="E57" s="23"/>
      <c r="F57" s="37">
        <v>757752.44</v>
      </c>
      <c r="G57" s="23"/>
      <c r="H57" s="22">
        <f>J57-F57</f>
        <v>542247.56</v>
      </c>
      <c r="I57" s="23"/>
      <c r="J57" s="38">
        <v>1300000</v>
      </c>
      <c r="K57" s="17"/>
      <c r="L57" s="39">
        <v>1000000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spans="1:24">
      <c r="A58" s="21" t="s">
        <v>84</v>
      </c>
      <c r="B58" s="16" t="s">
        <v>85</v>
      </c>
      <c r="C58" s="17"/>
      <c r="D58" s="37">
        <v>52500</v>
      </c>
      <c r="E58" s="17"/>
      <c r="F58" s="37">
        <v>0</v>
      </c>
      <c r="G58" s="17"/>
      <c r="H58" s="22">
        <f>J58-F58</f>
        <v>60000</v>
      </c>
      <c r="I58" s="17"/>
      <c r="J58" s="38">
        <v>60000</v>
      </c>
      <c r="K58" s="17"/>
      <c r="L58" s="39">
        <v>60000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 spans="1:24">
      <c r="A59" s="21" t="s">
        <v>86</v>
      </c>
      <c r="B59" s="16" t="s">
        <v>87</v>
      </c>
      <c r="C59" s="17"/>
      <c r="D59" s="37">
        <v>125892.7</v>
      </c>
      <c r="E59" s="23"/>
      <c r="F59" s="37">
        <v>76587.99</v>
      </c>
      <c r="G59" s="23"/>
      <c r="H59" s="22">
        <f>J59-F59</f>
        <v>423412.01</v>
      </c>
      <c r="I59" s="23"/>
      <c r="J59" s="38">
        <v>500000</v>
      </c>
      <c r="K59" s="17"/>
      <c r="L59" s="39">
        <v>500000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</row>
    <row r="60" spans="1:24">
      <c r="A60" s="21" t="s">
        <v>88</v>
      </c>
      <c r="B60" s="16" t="s">
        <v>89</v>
      </c>
      <c r="C60" s="17"/>
      <c r="D60" s="37">
        <v>30000</v>
      </c>
      <c r="E60" s="23"/>
      <c r="F60" s="37">
        <v>23000</v>
      </c>
      <c r="G60" s="23"/>
      <c r="H60" s="22">
        <f>J60-F60</f>
        <v>77000</v>
      </c>
      <c r="I60" s="23"/>
      <c r="J60" s="38">
        <v>100000</v>
      </c>
      <c r="K60" s="17"/>
      <c r="L60" s="39">
        <v>0</v>
      </c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 spans="1:24">
      <c r="A61" s="21" t="s">
        <v>90</v>
      </c>
      <c r="B61" s="16" t="s">
        <v>91</v>
      </c>
      <c r="C61" s="17"/>
      <c r="D61" s="37">
        <v>390000</v>
      </c>
      <c r="E61" s="17"/>
      <c r="F61" s="37">
        <v>0</v>
      </c>
      <c r="G61" s="17"/>
      <c r="H61" s="22">
        <f>J61-F61</f>
        <v>0</v>
      </c>
      <c r="I61" s="17"/>
      <c r="J61" s="38">
        <v>0</v>
      </c>
      <c r="K61" s="17"/>
      <c r="L61" s="39">
        <v>200000</v>
      </c>
      <c r="M61" s="26"/>
      <c r="N61" s="26"/>
      <c r="O61" s="26"/>
      <c r="P61" s="26"/>
      <c r="Q61" s="26"/>
      <c r="R61" s="26"/>
      <c r="S61" s="26"/>
      <c r="T61" s="26"/>
      <c r="U61" s="26"/>
      <c r="V61" s="26"/>
    </row>
    <row r="62" spans="1:24" customHeight="1" ht="15">
      <c r="A62" s="21" t="s">
        <v>92</v>
      </c>
      <c r="B62" s="16" t="s">
        <v>93</v>
      </c>
      <c r="C62" s="17"/>
      <c r="D62" s="41">
        <v>4163717.65</v>
      </c>
      <c r="E62" s="17"/>
      <c r="F62" s="41">
        <v>4438007.34</v>
      </c>
      <c r="G62" s="17"/>
      <c r="H62" s="53">
        <f>J62-F62</f>
        <v>1809443.25</v>
      </c>
      <c r="I62" s="17"/>
      <c r="J62" s="54">
        <v>6247450.59</v>
      </c>
      <c r="K62" s="17"/>
      <c r="L62" s="55">
        <v>5127494.82</v>
      </c>
      <c r="M62" s="26"/>
      <c r="N62" s="26"/>
      <c r="O62" s="26"/>
      <c r="P62" s="26"/>
      <c r="Q62" s="26"/>
      <c r="R62" s="26"/>
      <c r="S62" s="26"/>
      <c r="T62" s="26"/>
      <c r="U62" s="26"/>
      <c r="V62" s="26"/>
      <c r="X62" s="51"/>
    </row>
    <row r="63" spans="1:24" customHeight="1" ht="15">
      <c r="A63" s="44" t="s">
        <v>94</v>
      </c>
      <c r="B63" s="45"/>
      <c r="C63" s="46" t="s">
        <v>18</v>
      </c>
      <c r="D63" s="47">
        <f>SUM(D43:D62)</f>
        <v>27292325.45</v>
      </c>
      <c r="E63" s="48" t="s">
        <v>18</v>
      </c>
      <c r="F63" s="47">
        <f>SUM(F43:F62)</f>
        <v>15274981.83</v>
      </c>
      <c r="G63" s="48" t="s">
        <v>18</v>
      </c>
      <c r="H63" s="47">
        <f>SUM(H43:H62)</f>
        <v>13119343.32</v>
      </c>
      <c r="I63" s="48" t="s">
        <v>18</v>
      </c>
      <c r="J63" s="47">
        <f>SUM(J43:J62)</f>
        <v>28394325.15</v>
      </c>
      <c r="K63" s="48" t="s">
        <v>18</v>
      </c>
      <c r="L63" s="49">
        <f>SUM(L43:L62)</f>
        <v>30149513.64</v>
      </c>
      <c r="M63" s="50"/>
      <c r="N63" s="50"/>
      <c r="O63" s="50"/>
      <c r="P63" s="50"/>
      <c r="Q63" s="50"/>
      <c r="R63" s="50"/>
      <c r="S63" s="50"/>
      <c r="T63" s="50"/>
      <c r="U63" s="50"/>
      <c r="V63" s="50"/>
      <c r="X63" s="51"/>
    </row>
    <row r="64" spans="1:24">
      <c r="A64" s="144"/>
      <c r="B64" s="20"/>
      <c r="C64" s="56"/>
      <c r="D64" s="59"/>
      <c r="E64" s="56"/>
      <c r="F64" s="59"/>
      <c r="G64" s="56"/>
      <c r="H64" s="59"/>
      <c r="I64" s="56"/>
      <c r="J64" s="59"/>
      <c r="K64" s="56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X64" s="51"/>
    </row>
    <row r="65" spans="1:24">
      <c r="A65" s="144"/>
      <c r="B65" s="20"/>
      <c r="C65" s="56"/>
      <c r="D65" s="59"/>
      <c r="E65" s="56"/>
      <c r="F65" s="59"/>
      <c r="G65" s="56"/>
      <c r="H65" s="59"/>
      <c r="I65" s="56"/>
      <c r="J65" s="59"/>
      <c r="K65" s="56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X65" s="51"/>
    </row>
    <row r="66" spans="1:24">
      <c r="A66" s="144"/>
      <c r="B66" s="20"/>
      <c r="C66" s="56"/>
      <c r="D66" s="59"/>
      <c r="E66" s="56"/>
      <c r="F66" s="59"/>
      <c r="G66" s="56"/>
      <c r="H66" s="59"/>
      <c r="I66" s="56"/>
      <c r="J66" s="59"/>
      <c r="K66" s="56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X66" s="51"/>
    </row>
    <row r="67" spans="1:24">
      <c r="A67" s="144"/>
      <c r="B67" s="20"/>
      <c r="C67" s="56"/>
      <c r="D67" s="59"/>
      <c r="E67" s="56"/>
      <c r="F67" s="59"/>
      <c r="G67" s="56"/>
      <c r="H67" s="59"/>
      <c r="I67" s="56"/>
      <c r="J67" s="59"/>
      <c r="K67" s="56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X67" s="51"/>
    </row>
    <row r="68" spans="1:24">
      <c r="A68" s="144"/>
      <c r="B68" s="20"/>
      <c r="C68" s="56"/>
      <c r="D68" s="59"/>
      <c r="E68" s="56"/>
      <c r="F68" s="59"/>
      <c r="G68" s="56"/>
      <c r="H68" s="59"/>
      <c r="I68" s="56"/>
      <c r="J68" s="59"/>
      <c r="K68" s="56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X68" s="51"/>
    </row>
    <row r="69" spans="1:24">
      <c r="A69" s="1" t="s">
        <v>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4" customHeight="1" ht="15.6">
      <c r="A70" s="236" t="s">
        <v>1</v>
      </c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4">
      <c r="A71" s="231" t="s">
        <v>2</v>
      </c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4" customHeight="1" ht="15">
      <c r="A72" s="5" t="s">
        <v>3</v>
      </c>
    </row>
    <row r="73" spans="1:24">
      <c r="A73" s="7"/>
      <c r="B73" s="8"/>
      <c r="C73" s="203" t="s">
        <v>4</v>
      </c>
      <c r="D73" s="204"/>
      <c r="E73" s="205" t="s">
        <v>5</v>
      </c>
      <c r="F73" s="206"/>
      <c r="G73" s="206"/>
      <c r="H73" s="206"/>
      <c r="I73" s="206"/>
      <c r="J73" s="207"/>
      <c r="K73" s="203" t="s">
        <v>6</v>
      </c>
      <c r="L73" s="22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4">
      <c r="A74" s="9" t="s">
        <v>7</v>
      </c>
      <c r="B74" s="10" t="s">
        <v>8</v>
      </c>
      <c r="C74" s="210">
        <v>2024</v>
      </c>
      <c r="D74" s="211"/>
      <c r="E74" s="251" t="s">
        <v>9</v>
      </c>
      <c r="F74" s="226"/>
      <c r="G74" s="251" t="s">
        <v>10</v>
      </c>
      <c r="H74" s="226"/>
      <c r="I74" s="252" t="s">
        <v>11</v>
      </c>
      <c r="J74" s="228"/>
      <c r="K74" s="210">
        <v>2026</v>
      </c>
      <c r="L74" s="229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4" customHeight="1" ht="15">
      <c r="A75" s="13"/>
      <c r="B75" s="14"/>
      <c r="C75" s="220" t="s">
        <v>12</v>
      </c>
      <c r="D75" s="221"/>
      <c r="E75" s="220" t="s">
        <v>12</v>
      </c>
      <c r="F75" s="221"/>
      <c r="G75" s="220" t="s">
        <v>13</v>
      </c>
      <c r="H75" s="221"/>
      <c r="I75" s="216"/>
      <c r="J75" s="217"/>
      <c r="K75" s="220" t="s">
        <v>14</v>
      </c>
      <c r="L75" s="230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4">
      <c r="A76" s="145" t="s">
        <v>95</v>
      </c>
      <c r="B76" s="121"/>
      <c r="C76" s="143"/>
      <c r="D76" s="75"/>
      <c r="E76" s="143"/>
      <c r="F76" s="75"/>
      <c r="G76" s="143"/>
      <c r="H76" s="75"/>
      <c r="I76" s="143"/>
      <c r="J76" s="75"/>
      <c r="K76" s="143"/>
      <c r="L76" s="76"/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 spans="1:24">
      <c r="A77" s="21" t="s">
        <v>96</v>
      </c>
      <c r="B77" s="16" t="s">
        <v>97</v>
      </c>
      <c r="C77" s="17" t="s">
        <v>18</v>
      </c>
      <c r="D77" s="22">
        <v>2088979.4</v>
      </c>
      <c r="E77" s="17" t="s">
        <v>18</v>
      </c>
      <c r="F77" s="22">
        <v>421979.4</v>
      </c>
      <c r="G77" s="17" t="s">
        <v>18</v>
      </c>
      <c r="H77" s="22">
        <f>J77-F77</f>
        <v>378020.6</v>
      </c>
      <c r="I77" s="17" t="s">
        <v>18</v>
      </c>
      <c r="J77" s="24">
        <v>800000</v>
      </c>
      <c r="K77" s="17" t="s">
        <v>18</v>
      </c>
      <c r="L77" s="25">
        <v>1000000</v>
      </c>
      <c r="M77" s="26"/>
      <c r="N77" s="26"/>
      <c r="O77" s="26"/>
      <c r="P77" s="26"/>
      <c r="Q77" s="26"/>
      <c r="R77" s="26"/>
      <c r="S77" s="26"/>
      <c r="T77" s="26"/>
      <c r="U77" s="26"/>
      <c r="V77" s="26"/>
    </row>
    <row r="78" spans="1:24">
      <c r="A78" s="27" t="s">
        <v>98</v>
      </c>
      <c r="B78" s="16"/>
      <c r="C78" s="56" t="s">
        <v>18</v>
      </c>
      <c r="D78" s="57">
        <f>SUM(D77:D77)</f>
        <v>2088979.4</v>
      </c>
      <c r="E78" s="56" t="s">
        <v>18</v>
      </c>
      <c r="F78" s="57">
        <f>SUM(F77:F77)</f>
        <v>421979.4</v>
      </c>
      <c r="G78" s="56" t="s">
        <v>18</v>
      </c>
      <c r="H78" s="57">
        <f>SUM(H77:H77)</f>
        <v>378020.6</v>
      </c>
      <c r="I78" s="56" t="s">
        <v>18</v>
      </c>
      <c r="J78" s="57">
        <f>SUM(J77:J77)</f>
        <v>800000</v>
      </c>
      <c r="K78" s="56" t="s">
        <v>18</v>
      </c>
      <c r="L78" s="58">
        <f>SUM(L77:L77)</f>
        <v>1000000</v>
      </c>
      <c r="M78" s="59"/>
      <c r="N78" s="59"/>
      <c r="O78" s="59"/>
      <c r="P78" s="59"/>
      <c r="Q78" s="59"/>
      <c r="R78" s="59"/>
      <c r="S78" s="59"/>
      <c r="T78" s="50"/>
      <c r="U78" s="50"/>
      <c r="V78" s="50"/>
    </row>
    <row r="79" spans="1:24" customHeight="1" ht="15">
      <c r="A79" s="60" t="s">
        <v>99</v>
      </c>
      <c r="B79" s="61"/>
      <c r="C79" s="62" t="s">
        <v>18</v>
      </c>
      <c r="D79" s="63">
        <f>D31+D63+D78</f>
        <v>35435814.96</v>
      </c>
      <c r="E79" s="64" t="s">
        <v>18</v>
      </c>
      <c r="F79" s="63">
        <f>F31+F63+F78</f>
        <v>19142673.32</v>
      </c>
      <c r="G79" s="64" t="s">
        <v>18</v>
      </c>
      <c r="H79" s="63">
        <f>H31+H63+H78</f>
        <v>17523858.83</v>
      </c>
      <c r="I79" s="64" t="s">
        <v>18</v>
      </c>
      <c r="J79" s="63">
        <f>J31+J63+J78</f>
        <v>36666532.15</v>
      </c>
      <c r="K79" s="64" t="s">
        <v>18</v>
      </c>
      <c r="L79" s="65">
        <f>L31+L63+L78</f>
        <v>39303140.64</v>
      </c>
      <c r="M79" s="50"/>
      <c r="N79" s="50"/>
      <c r="O79" s="50"/>
      <c r="P79" s="50"/>
      <c r="Q79" s="50"/>
      <c r="R79" s="50"/>
      <c r="S79" s="50"/>
      <c r="T79" s="50"/>
      <c r="U79" s="50"/>
      <c r="V79" s="50"/>
    </row>
    <row r="80" spans="1:24" customHeight="1" ht="15">
      <c r="A80" s="5"/>
      <c r="C80" s="56"/>
      <c r="D80" s="59"/>
      <c r="E80" s="56"/>
      <c r="F80" s="59"/>
      <c r="G80" s="56"/>
      <c r="H80" s="59"/>
      <c r="I80" s="56"/>
      <c r="J80" s="59"/>
      <c r="K80" s="56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spans="1:24">
      <c r="A81" s="5"/>
      <c r="C81" s="56"/>
      <c r="D81" s="59"/>
      <c r="E81" s="56"/>
      <c r="F81" s="59"/>
      <c r="G81" s="56"/>
      <c r="H81" s="59"/>
      <c r="I81" s="56"/>
      <c r="J81" s="59"/>
      <c r="K81" s="56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</row>
    <row r="82" spans="1:24">
      <c r="A82" s="5"/>
      <c r="C82" s="56"/>
      <c r="D82" s="59"/>
      <c r="E82" s="56"/>
      <c r="F82" s="59"/>
      <c r="G82" s="56"/>
      <c r="H82" s="59"/>
      <c r="I82" s="56"/>
      <c r="J82" s="59"/>
      <c r="K82" s="56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</row>
    <row r="83" spans="1:24">
      <c r="A83" s="5"/>
      <c r="C83" s="56"/>
      <c r="D83" s="59"/>
      <c r="E83" s="56"/>
      <c r="F83" s="59"/>
      <c r="G83" s="56"/>
      <c r="H83" s="59"/>
      <c r="I83" s="56"/>
      <c r="J83" s="59"/>
      <c r="K83" s="56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</row>
    <row r="84" spans="1:24">
      <c r="A84" s="5"/>
      <c r="C84" s="56"/>
      <c r="D84" s="59"/>
      <c r="E84" s="56"/>
      <c r="F84" s="59"/>
      <c r="G84" s="56"/>
      <c r="H84" s="59"/>
      <c r="I84" s="56"/>
      <c r="J84" s="59"/>
      <c r="K84" s="56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spans="1:24">
      <c r="A85" t="s">
        <v>100</v>
      </c>
      <c r="B85" t="s">
        <v>101</v>
      </c>
      <c r="G85" t="s">
        <v>102</v>
      </c>
    </row>
    <row r="87" spans="1:24">
      <c r="A87" s="200" t="s">
        <v>103</v>
      </c>
      <c r="B87" t="s">
        <v>104</v>
      </c>
      <c r="D87" s="202"/>
      <c r="J87" s="200" t="s">
        <v>105</v>
      </c>
    </row>
    <row r="88" spans="1:24">
      <c r="A88" s="4" t="s">
        <v>106</v>
      </c>
      <c r="B88" s="231" t="s">
        <v>107</v>
      </c>
      <c r="C88" s="231"/>
      <c r="D88" s="231"/>
      <c r="E88" s="231"/>
      <c r="F88" s="231"/>
      <c r="H88" s="231" t="s">
        <v>106</v>
      </c>
      <c r="I88" s="231"/>
      <c r="J88" s="231"/>
      <c r="K88" s="231"/>
      <c r="L88" s="231"/>
      <c r="M88" s="4"/>
      <c r="N88" s="66"/>
      <c r="O88" s="66"/>
      <c r="P88" s="66"/>
      <c r="Q88" s="66"/>
      <c r="R88" s="66"/>
      <c r="S88" s="66"/>
      <c r="T88" s="66"/>
      <c r="U88" s="66"/>
      <c r="V88" s="66"/>
    </row>
    <row r="89" spans="1:24">
      <c r="A89" s="158" t="s">
        <v>108</v>
      </c>
      <c r="B89" s="232" t="s">
        <v>109</v>
      </c>
      <c r="C89" s="232"/>
      <c r="D89" s="232"/>
      <c r="E89" s="232"/>
      <c r="F89" s="232"/>
      <c r="H89" s="232" t="s">
        <v>108</v>
      </c>
      <c r="I89" s="232"/>
      <c r="J89" s="232"/>
      <c r="K89" s="232"/>
      <c r="L89" s="232"/>
      <c r="M89" s="158"/>
      <c r="N89" s="68"/>
      <c r="O89" s="68"/>
      <c r="P89" s="68"/>
      <c r="Q89" s="68"/>
      <c r="R89" s="68"/>
      <c r="S89" s="68"/>
      <c r="T89" s="68"/>
      <c r="U89" s="68"/>
      <c r="V89" s="68"/>
    </row>
    <row r="90" spans="1:24">
      <c r="A90" s="68"/>
      <c r="B90" s="68"/>
      <c r="C90" s="68"/>
      <c r="D90" s="68"/>
      <c r="E90" s="68"/>
      <c r="F90" s="68"/>
      <c r="G90" s="17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</row>
    <row r="91" spans="1:24">
      <c r="A91" s="68"/>
      <c r="B91" s="68"/>
      <c r="C91" s="68"/>
      <c r="D91" s="68"/>
      <c r="E91" s="68"/>
      <c r="F91" s="68"/>
      <c r="G91" s="17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</row>
    <row r="92" spans="1:24">
      <c r="A92" s="68"/>
      <c r="B92" s="68"/>
      <c r="C92" s="68"/>
      <c r="D92" s="68"/>
      <c r="E92" s="68"/>
      <c r="F92" s="68"/>
      <c r="G92" s="17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</row>
    <row r="93" spans="1:24">
      <c r="A93" s="68"/>
      <c r="B93" s="68"/>
      <c r="C93" s="68"/>
      <c r="D93" s="68"/>
      <c r="E93" s="68"/>
      <c r="F93" s="68"/>
      <c r="G93" s="17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</row>
    <row r="94" spans="1:24">
      <c r="A94" s="68"/>
      <c r="B94" s="68"/>
      <c r="C94" s="68"/>
      <c r="D94" s="68"/>
      <c r="E94" s="68"/>
      <c r="F94" s="68"/>
      <c r="G94" s="17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</row>
    <row r="95" spans="1:24">
      <c r="A95" s="68"/>
      <c r="B95" s="68"/>
      <c r="C95" s="68"/>
      <c r="D95" s="68"/>
      <c r="E95" s="68"/>
      <c r="F95" s="68"/>
      <c r="G95" s="17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</row>
    <row r="96" spans="1:24">
      <c r="A96" s="68"/>
      <c r="B96" s="68"/>
      <c r="C96" s="68"/>
      <c r="D96" s="68"/>
      <c r="E96" s="68"/>
      <c r="F96" s="68"/>
      <c r="G96" s="17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</row>
    <row r="97" spans="1:24">
      <c r="A97" s="68"/>
      <c r="B97" s="68"/>
      <c r="C97" s="68"/>
      <c r="D97" s="68"/>
      <c r="E97" s="68"/>
      <c r="F97" s="68"/>
      <c r="G97" s="17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</row>
    <row r="98" spans="1:24">
      <c r="A98" s="68"/>
      <c r="B98" s="68"/>
      <c r="C98" s="68"/>
      <c r="D98" s="68"/>
      <c r="E98" s="68"/>
      <c r="F98" s="68"/>
      <c r="G98" s="17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</row>
    <row r="99" spans="1:24">
      <c r="A99" s="68"/>
      <c r="B99" s="68"/>
      <c r="C99" s="68"/>
      <c r="D99" s="68"/>
      <c r="E99" s="68"/>
      <c r="F99" s="68"/>
      <c r="G99" s="17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</row>
    <row r="100" spans="1:24">
      <c r="A100" s="68"/>
      <c r="B100" s="68"/>
      <c r="C100" s="68"/>
      <c r="D100" s="68"/>
      <c r="E100" s="68"/>
      <c r="F100" s="68"/>
      <c r="G100" s="17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</row>
    <row r="101" spans="1:24">
      <c r="A101" s="68"/>
      <c r="B101" s="68"/>
      <c r="C101" s="68"/>
      <c r="D101" s="68"/>
      <c r="E101" s="68"/>
      <c r="F101" s="68"/>
      <c r="G101" s="17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</row>
    <row r="102" spans="1:24">
      <c r="A102" s="68"/>
      <c r="B102" s="68"/>
      <c r="C102" s="68"/>
      <c r="D102" s="68"/>
      <c r="E102" s="68"/>
      <c r="F102" s="68"/>
      <c r="G102" s="17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</row>
    <row r="103" spans="1:24">
      <c r="A103" s="235" t="s">
        <v>0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69"/>
      <c r="N103" s="69"/>
      <c r="O103" s="69"/>
      <c r="P103" s="69"/>
      <c r="Q103" s="69"/>
      <c r="R103" s="69"/>
      <c r="S103" s="69"/>
      <c r="T103" s="69"/>
      <c r="U103" s="69"/>
      <c r="V103" s="69"/>
    </row>
    <row r="105" spans="1:24" customHeight="1" ht="15.6">
      <c r="A105" s="236" t="s">
        <v>1</v>
      </c>
      <c r="B105" s="236"/>
      <c r="C105" s="236"/>
      <c r="D105" s="236"/>
      <c r="E105" s="236"/>
      <c r="F105" s="236"/>
      <c r="G105" s="236"/>
      <c r="H105" s="236"/>
      <c r="I105" s="236"/>
      <c r="J105" s="236"/>
      <c r="K105" s="236"/>
      <c r="L105" s="236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4">
      <c r="A106" s="231" t="s">
        <v>2</v>
      </c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8" spans="1:24">
      <c r="A108" s="5" t="s">
        <v>110</v>
      </c>
    </row>
    <row r="109" spans="1:24" customHeight="1" ht="15"/>
    <row r="110" spans="1:24">
      <c r="A110" s="7"/>
      <c r="B110" s="8"/>
      <c r="C110" s="203" t="s">
        <v>4</v>
      </c>
      <c r="D110" s="204"/>
      <c r="E110" s="205" t="s">
        <v>5</v>
      </c>
      <c r="F110" s="206"/>
      <c r="G110" s="206"/>
      <c r="H110" s="206"/>
      <c r="I110" s="206"/>
      <c r="J110" s="207"/>
      <c r="K110" s="203" t="s">
        <v>6</v>
      </c>
      <c r="L110" s="22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4">
      <c r="A111" s="9" t="s">
        <v>7</v>
      </c>
      <c r="B111" s="10" t="s">
        <v>8</v>
      </c>
      <c r="C111" s="210">
        <v>2024</v>
      </c>
      <c r="D111" s="211"/>
      <c r="E111" s="251" t="s">
        <v>9</v>
      </c>
      <c r="F111" s="226"/>
      <c r="G111" s="251" t="s">
        <v>10</v>
      </c>
      <c r="H111" s="226"/>
      <c r="I111" s="252" t="s">
        <v>11</v>
      </c>
      <c r="J111" s="228"/>
      <c r="K111" s="210">
        <v>2026</v>
      </c>
      <c r="L111" s="229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4" customHeight="1" ht="15">
      <c r="A112" s="13"/>
      <c r="B112" s="14"/>
      <c r="C112" s="220" t="s">
        <v>12</v>
      </c>
      <c r="D112" s="221"/>
      <c r="E112" s="220" t="s">
        <v>12</v>
      </c>
      <c r="F112" s="221"/>
      <c r="G112" s="220" t="s">
        <v>13</v>
      </c>
      <c r="H112" s="221"/>
      <c r="I112" s="216"/>
      <c r="J112" s="217"/>
      <c r="K112" s="220" t="s">
        <v>14</v>
      </c>
      <c r="L112" s="230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4">
      <c r="A113" s="15" t="s">
        <v>15</v>
      </c>
      <c r="B113" s="16"/>
      <c r="C113" s="17"/>
      <c r="D113" s="18"/>
      <c r="E113" s="17"/>
      <c r="F113" s="18"/>
      <c r="G113" s="17"/>
      <c r="H113" s="18"/>
      <c r="I113" s="17"/>
      <c r="J113" s="18"/>
      <c r="K113" s="17"/>
      <c r="L113" s="19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spans="1:24">
      <c r="A114" s="21" t="s">
        <v>16</v>
      </c>
      <c r="B114" s="16" t="s">
        <v>17</v>
      </c>
      <c r="C114" s="17" t="s">
        <v>18</v>
      </c>
      <c r="D114" s="22">
        <v>884779.86</v>
      </c>
      <c r="E114" s="17" t="s">
        <v>18</v>
      </c>
      <c r="F114" s="22">
        <v>511763</v>
      </c>
      <c r="G114" s="23" t="s">
        <v>18</v>
      </c>
      <c r="H114" s="22">
        <f>J114-F114</f>
        <v>527284</v>
      </c>
      <c r="I114" s="17" t="s">
        <v>18</v>
      </c>
      <c r="J114" s="22">
        <v>1039047</v>
      </c>
      <c r="K114" s="17" t="s">
        <v>18</v>
      </c>
      <c r="L114" s="25">
        <v>1873620</v>
      </c>
      <c r="M114" s="26"/>
      <c r="N114" s="26"/>
      <c r="O114" s="26"/>
      <c r="P114" s="26"/>
      <c r="Q114" s="26"/>
      <c r="R114" s="26"/>
      <c r="S114" s="26"/>
      <c r="T114" s="26"/>
      <c r="U114" s="26"/>
      <c r="V114" s="26"/>
    </row>
    <row r="115" spans="1:24">
      <c r="A115" s="27" t="s">
        <v>19</v>
      </c>
      <c r="B115" s="16"/>
      <c r="C115" s="17"/>
      <c r="D115" s="28"/>
      <c r="E115" s="23"/>
      <c r="F115" s="28"/>
      <c r="G115" s="23"/>
      <c r="H115" s="28"/>
      <c r="I115" s="23"/>
      <c r="J115" s="28"/>
      <c r="K115" s="17"/>
      <c r="L115" s="30"/>
      <c r="M115" s="26"/>
      <c r="N115" s="26"/>
      <c r="O115" s="26"/>
      <c r="P115" s="26"/>
      <c r="Q115" s="26"/>
      <c r="R115" s="26"/>
      <c r="S115" s="26"/>
      <c r="T115" s="26"/>
      <c r="U115" s="26"/>
      <c r="V115" s="26"/>
    </row>
    <row r="116" spans="1:24">
      <c r="A116" s="21" t="s">
        <v>20</v>
      </c>
      <c r="B116" s="16" t="s">
        <v>21</v>
      </c>
      <c r="C116" s="17"/>
      <c r="D116" s="28">
        <v>81032.26</v>
      </c>
      <c r="E116" s="23"/>
      <c r="F116" s="28">
        <v>48000</v>
      </c>
      <c r="G116" s="23"/>
      <c r="H116" s="22">
        <f>J116-F116</f>
        <v>48000</v>
      </c>
      <c r="I116" s="23"/>
      <c r="J116" s="28">
        <v>96000</v>
      </c>
      <c r="K116" s="17"/>
      <c r="L116" s="30">
        <v>108000</v>
      </c>
      <c r="M116" s="26"/>
      <c r="N116" s="26"/>
      <c r="O116" s="26"/>
      <c r="P116" s="26"/>
      <c r="Q116" s="26"/>
      <c r="R116" s="26"/>
      <c r="S116" s="26"/>
      <c r="T116" s="26"/>
      <c r="U116" s="26"/>
      <c r="V116" s="26"/>
    </row>
    <row r="117" spans="1:24">
      <c r="A117" s="21" t="s">
        <v>22</v>
      </c>
      <c r="B117" s="16" t="s">
        <v>23</v>
      </c>
      <c r="C117" s="17"/>
      <c r="D117" s="31">
        <v>0</v>
      </c>
      <c r="E117" s="23"/>
      <c r="F117" s="31">
        <v>0</v>
      </c>
      <c r="G117" s="23"/>
      <c r="H117" s="22">
        <f>J117-F117</f>
        <v>0</v>
      </c>
      <c r="I117" s="23"/>
      <c r="J117" s="32">
        <v>0</v>
      </c>
      <c r="K117" s="17"/>
      <c r="L117" s="33">
        <v>81600</v>
      </c>
      <c r="M117" s="26"/>
      <c r="N117" s="26"/>
      <c r="O117" s="26"/>
      <c r="P117" s="26"/>
      <c r="Q117" s="26"/>
      <c r="R117" s="26"/>
      <c r="S117" s="26"/>
      <c r="T117" s="26"/>
      <c r="U117" s="26"/>
      <c r="V117" s="26"/>
    </row>
    <row r="118" spans="1:24">
      <c r="A118" s="21" t="s">
        <v>24</v>
      </c>
      <c r="B118" s="16" t="s">
        <v>25</v>
      </c>
      <c r="C118" s="17"/>
      <c r="D118" s="31">
        <v>0</v>
      </c>
      <c r="E118" s="23"/>
      <c r="F118" s="31">
        <v>0</v>
      </c>
      <c r="G118" s="23"/>
      <c r="H118" s="22">
        <f>J118-F118</f>
        <v>0</v>
      </c>
      <c r="I118" s="23"/>
      <c r="J118" s="32">
        <v>0</v>
      </c>
      <c r="K118" s="17"/>
      <c r="L118" s="33">
        <v>81600</v>
      </c>
      <c r="M118" s="26"/>
      <c r="N118" s="26"/>
      <c r="O118" s="26"/>
      <c r="P118" s="26"/>
      <c r="Q118" s="26"/>
      <c r="R118" s="26"/>
      <c r="S118" s="26"/>
      <c r="T118" s="26"/>
      <c r="U118" s="26"/>
      <c r="V118" s="26"/>
    </row>
    <row r="119" spans="1:24">
      <c r="A119" s="21" t="s">
        <v>26</v>
      </c>
      <c r="B119" s="16" t="s">
        <v>27</v>
      </c>
      <c r="C119" s="17"/>
      <c r="D119" s="37">
        <v>21000</v>
      </c>
      <c r="E119" s="23"/>
      <c r="F119" s="37">
        <v>28000</v>
      </c>
      <c r="G119" s="23"/>
      <c r="H119" s="22">
        <f>J119-F119</f>
        <v>0</v>
      </c>
      <c r="I119" s="23"/>
      <c r="J119" s="37">
        <v>28000</v>
      </c>
      <c r="K119" s="17"/>
      <c r="L119" s="39">
        <v>35000</v>
      </c>
      <c r="M119" s="26"/>
      <c r="N119" s="26"/>
      <c r="O119" s="26"/>
      <c r="P119" s="26"/>
      <c r="Q119" s="26"/>
      <c r="R119" s="26"/>
      <c r="S119" s="26"/>
      <c r="T119" s="26"/>
      <c r="U119" s="26"/>
      <c r="V119" s="26"/>
    </row>
    <row r="120" spans="1:24">
      <c r="A120" s="21" t="s">
        <v>28</v>
      </c>
      <c r="B120" s="16" t="s">
        <v>29</v>
      </c>
      <c r="C120" s="17"/>
      <c r="D120" s="37">
        <v>17500</v>
      </c>
      <c r="E120" s="23"/>
      <c r="F120" s="37">
        <v>0</v>
      </c>
      <c r="G120" s="23"/>
      <c r="H120" s="22">
        <f>J120-F120</f>
        <v>20000</v>
      </c>
      <c r="I120" s="23"/>
      <c r="J120" s="37">
        <v>20000</v>
      </c>
      <c r="K120" s="17"/>
      <c r="L120" s="39">
        <v>0</v>
      </c>
      <c r="M120" s="26"/>
      <c r="N120" s="26"/>
      <c r="O120" s="26"/>
      <c r="P120" s="26"/>
      <c r="Q120" s="26"/>
      <c r="R120" s="26"/>
      <c r="S120" s="26"/>
      <c r="T120" s="26"/>
      <c r="U120" s="26"/>
      <c r="V120" s="26"/>
    </row>
    <row r="121" spans="1:24">
      <c r="A121" s="21" t="s">
        <v>30</v>
      </c>
      <c r="B121" s="16" t="s">
        <v>31</v>
      </c>
      <c r="C121" s="17"/>
      <c r="D121" s="37">
        <v>68000</v>
      </c>
      <c r="E121" s="23"/>
      <c r="F121" s="37">
        <v>0</v>
      </c>
      <c r="G121" s="23"/>
      <c r="H121" s="22">
        <f>J121-F121</f>
        <v>80000</v>
      </c>
      <c r="I121" s="23"/>
      <c r="J121" s="37">
        <v>80000</v>
      </c>
      <c r="K121" s="17"/>
      <c r="L121" s="39">
        <v>0</v>
      </c>
      <c r="M121" s="26"/>
      <c r="N121" s="26"/>
      <c r="O121" s="26"/>
      <c r="P121" s="26"/>
      <c r="Q121" s="26"/>
      <c r="R121" s="26"/>
      <c r="S121" s="26"/>
      <c r="T121" s="26"/>
      <c r="U121" s="26"/>
      <c r="V121" s="26"/>
    </row>
    <row r="122" spans="1:24">
      <c r="A122" s="21" t="s">
        <v>32</v>
      </c>
      <c r="B122" s="16" t="s">
        <v>33</v>
      </c>
      <c r="C122" s="17"/>
      <c r="D122" s="37">
        <v>70243</v>
      </c>
      <c r="E122" s="23"/>
      <c r="F122" s="37">
        <v>0</v>
      </c>
      <c r="G122" s="23"/>
      <c r="H122" s="22">
        <f>J122-F122</f>
        <v>89112</v>
      </c>
      <c r="I122" s="23"/>
      <c r="J122" s="37">
        <v>89112</v>
      </c>
      <c r="K122" s="17"/>
      <c r="L122" s="39">
        <v>164458</v>
      </c>
      <c r="M122" s="26"/>
      <c r="N122" s="26"/>
      <c r="O122" s="26"/>
      <c r="P122" s="26"/>
      <c r="Q122" s="26"/>
      <c r="R122" s="26"/>
      <c r="S122" s="26"/>
      <c r="T122" s="26"/>
      <c r="U122" s="26"/>
      <c r="V122" s="26"/>
    </row>
    <row r="123" spans="1:24">
      <c r="A123" s="21" t="s">
        <v>34</v>
      </c>
      <c r="B123" s="16" t="s">
        <v>35</v>
      </c>
      <c r="C123" s="17"/>
      <c r="D123" s="37">
        <v>16500</v>
      </c>
      <c r="E123" s="23"/>
      <c r="F123" s="37">
        <v>0</v>
      </c>
      <c r="G123" s="23"/>
      <c r="H123" s="22">
        <f>J123-F123</f>
        <v>20000</v>
      </c>
      <c r="I123" s="23"/>
      <c r="J123" s="37">
        <v>20000</v>
      </c>
      <c r="K123" s="17"/>
      <c r="L123" s="39">
        <v>20000</v>
      </c>
      <c r="M123" s="26"/>
      <c r="N123" s="26"/>
      <c r="O123" s="26"/>
      <c r="P123" s="26"/>
      <c r="Q123" s="26"/>
      <c r="R123" s="26"/>
      <c r="S123" s="26"/>
      <c r="T123" s="26"/>
      <c r="U123" s="26"/>
      <c r="V123" s="26"/>
    </row>
    <row r="124" spans="1:24">
      <c r="A124" s="21" t="s">
        <v>36</v>
      </c>
      <c r="B124" s="16" t="s">
        <v>37</v>
      </c>
      <c r="C124" s="17"/>
      <c r="D124" s="37">
        <v>67217</v>
      </c>
      <c r="E124" s="23"/>
      <c r="F124" s="37">
        <v>85269</v>
      </c>
      <c r="G124" s="23"/>
      <c r="H124" s="22">
        <f>J124-F124</f>
        <v>0</v>
      </c>
      <c r="I124" s="23"/>
      <c r="J124" s="37">
        <v>85269</v>
      </c>
      <c r="K124" s="17"/>
      <c r="L124" s="39">
        <v>167505</v>
      </c>
      <c r="M124" s="26"/>
      <c r="N124" s="26"/>
      <c r="O124" s="26"/>
      <c r="P124" s="26"/>
      <c r="Q124" s="26"/>
      <c r="R124" s="26"/>
      <c r="S124" s="26"/>
      <c r="T124" s="26"/>
      <c r="U124" s="26"/>
      <c r="V124" s="26"/>
    </row>
    <row r="125" spans="1:24">
      <c r="A125" s="27" t="s">
        <v>38</v>
      </c>
      <c r="B125" s="16"/>
      <c r="C125" s="17"/>
      <c r="D125" s="28"/>
      <c r="E125" s="23"/>
      <c r="F125" s="28"/>
      <c r="G125" s="23"/>
      <c r="H125" s="28"/>
      <c r="I125" s="23"/>
      <c r="J125" s="28"/>
      <c r="K125" s="17"/>
      <c r="L125" s="30"/>
      <c r="M125" s="26"/>
      <c r="N125" s="26"/>
      <c r="O125" s="26"/>
      <c r="P125" s="26"/>
      <c r="Q125" s="26"/>
      <c r="R125" s="26"/>
      <c r="S125" s="26"/>
      <c r="T125" s="26"/>
      <c r="U125" s="26"/>
      <c r="V125" s="26"/>
    </row>
    <row r="126" spans="1:24">
      <c r="A126" s="21" t="s">
        <v>39</v>
      </c>
      <c r="B126" s="16" t="s">
        <v>40</v>
      </c>
      <c r="C126" s="17"/>
      <c r="D126" s="28">
        <v>106173.59</v>
      </c>
      <c r="E126" s="23"/>
      <c r="F126" s="28">
        <v>61411.56</v>
      </c>
      <c r="G126" s="23"/>
      <c r="H126" s="22">
        <f>J126-F126</f>
        <v>63275.44</v>
      </c>
      <c r="I126" s="23"/>
      <c r="J126" s="70">
        <v>124687</v>
      </c>
      <c r="K126" s="17"/>
      <c r="L126" s="30">
        <v>224870</v>
      </c>
      <c r="M126" s="26"/>
      <c r="N126" s="26"/>
      <c r="O126" s="26"/>
      <c r="P126" s="26"/>
      <c r="Q126" s="26"/>
      <c r="R126" s="26"/>
      <c r="S126" s="26"/>
      <c r="T126" s="26"/>
      <c r="U126" s="26"/>
      <c r="V126" s="26"/>
    </row>
    <row r="127" spans="1:24">
      <c r="A127" s="21" t="s">
        <v>41</v>
      </c>
      <c r="B127" s="16" t="s">
        <v>42</v>
      </c>
      <c r="C127" s="17"/>
      <c r="D127" s="37">
        <v>7900</v>
      </c>
      <c r="E127" s="23"/>
      <c r="F127" s="37">
        <v>4800</v>
      </c>
      <c r="G127" s="23"/>
      <c r="H127" s="22">
        <f>J127-F127</f>
        <v>4800</v>
      </c>
      <c r="I127" s="23"/>
      <c r="J127" s="71">
        <v>9600</v>
      </c>
      <c r="K127" s="17"/>
      <c r="L127" s="33">
        <v>10800</v>
      </c>
      <c r="M127" s="26"/>
      <c r="N127" s="26"/>
      <c r="O127" s="26"/>
      <c r="P127" s="26"/>
      <c r="Q127" s="26"/>
      <c r="R127" s="26"/>
      <c r="S127" s="26"/>
      <c r="T127" s="26"/>
      <c r="U127" s="26"/>
      <c r="V127" s="26"/>
    </row>
    <row r="128" spans="1:24">
      <c r="A128" s="21" t="s">
        <v>43</v>
      </c>
      <c r="B128" s="16" t="s">
        <v>44</v>
      </c>
      <c r="C128" s="17"/>
      <c r="D128" s="37">
        <v>22119.56</v>
      </c>
      <c r="E128" s="23"/>
      <c r="F128" s="37">
        <v>12794.1</v>
      </c>
      <c r="G128" s="23"/>
      <c r="H128" s="22">
        <f>J128-F128</f>
        <v>13182.9</v>
      </c>
      <c r="I128" s="23"/>
      <c r="J128" s="72">
        <v>25977</v>
      </c>
      <c r="K128" s="17"/>
      <c r="L128" s="33">
        <v>46900</v>
      </c>
      <c r="M128" s="26"/>
      <c r="N128" s="26"/>
      <c r="O128" s="26"/>
      <c r="P128" s="26"/>
      <c r="Q128" s="26"/>
      <c r="R128" s="26"/>
      <c r="S128" s="26"/>
      <c r="T128" s="26"/>
      <c r="U128" s="26"/>
      <c r="V128" s="26"/>
    </row>
    <row r="129" spans="1:24">
      <c r="A129" s="21" t="s">
        <v>45</v>
      </c>
      <c r="B129" s="16" t="s">
        <v>46</v>
      </c>
      <c r="C129" s="17"/>
      <c r="D129" s="37">
        <v>4100</v>
      </c>
      <c r="E129" s="17"/>
      <c r="F129" s="37">
        <v>2400</v>
      </c>
      <c r="G129" s="17"/>
      <c r="H129" s="22">
        <f>J129-F129</f>
        <v>2400</v>
      </c>
      <c r="I129" s="17"/>
      <c r="J129" s="37">
        <v>4800</v>
      </c>
      <c r="K129" s="17"/>
      <c r="L129" s="33">
        <v>5400</v>
      </c>
      <c r="M129" s="26"/>
      <c r="N129" s="26"/>
      <c r="O129" s="26"/>
      <c r="P129" s="26"/>
      <c r="Q129" s="26"/>
      <c r="R129" s="26"/>
      <c r="S129" s="26"/>
      <c r="T129" s="26"/>
      <c r="U129" s="26"/>
      <c r="V129" s="26"/>
    </row>
    <row r="130" spans="1:24">
      <c r="A130" s="27" t="s">
        <v>47</v>
      </c>
      <c r="B130" s="16"/>
      <c r="C130" s="23"/>
      <c r="D130" s="28"/>
      <c r="E130" s="17"/>
      <c r="F130" s="28"/>
      <c r="G130" s="17"/>
      <c r="H130" s="28"/>
      <c r="I130" s="17"/>
      <c r="J130" s="28"/>
      <c r="K130" s="17"/>
      <c r="L130" s="30"/>
      <c r="M130" s="26"/>
      <c r="N130" s="26"/>
      <c r="O130" s="26"/>
      <c r="P130" s="26"/>
      <c r="Q130" s="26"/>
      <c r="R130" s="26"/>
      <c r="S130" s="26"/>
      <c r="T130" s="26"/>
      <c r="U130" s="26"/>
      <c r="V130" s="26"/>
    </row>
    <row r="131" spans="1:24">
      <c r="A131" s="40" t="s">
        <v>48</v>
      </c>
      <c r="B131" s="16" t="s">
        <v>49</v>
      </c>
      <c r="C131" s="17"/>
      <c r="D131" s="22">
        <v>0</v>
      </c>
      <c r="E131" s="17"/>
      <c r="F131" s="22">
        <v>0</v>
      </c>
      <c r="G131" s="17"/>
      <c r="H131" s="22">
        <v>0</v>
      </c>
      <c r="I131" s="17"/>
      <c r="J131" s="22">
        <v>0</v>
      </c>
      <c r="K131" s="17"/>
      <c r="L131" s="25">
        <v>0</v>
      </c>
      <c r="M131" s="26"/>
      <c r="N131" s="26"/>
      <c r="O131" s="26"/>
      <c r="P131" s="26"/>
      <c r="Q131" s="26"/>
      <c r="R131" s="26"/>
      <c r="S131" s="26"/>
      <c r="T131" s="26"/>
      <c r="U131" s="26"/>
      <c r="V131" s="26"/>
    </row>
    <row r="132" spans="1:24" customHeight="1" ht="15">
      <c r="A132" s="40" t="s">
        <v>50</v>
      </c>
      <c r="B132" s="16" t="s">
        <v>51</v>
      </c>
      <c r="C132" s="17"/>
      <c r="D132" s="73">
        <v>0</v>
      </c>
      <c r="E132" s="17"/>
      <c r="F132" s="73">
        <v>28000</v>
      </c>
      <c r="G132" s="17"/>
      <c r="H132" s="73">
        <v>0</v>
      </c>
      <c r="I132" s="17"/>
      <c r="J132" s="73">
        <v>28000</v>
      </c>
      <c r="K132" s="17"/>
      <c r="L132" s="43">
        <v>35000</v>
      </c>
      <c r="M132" s="26"/>
      <c r="N132" s="26"/>
      <c r="O132" s="26"/>
      <c r="P132" s="26"/>
      <c r="Q132" s="26"/>
      <c r="R132" s="26"/>
      <c r="S132" s="26"/>
      <c r="T132" s="26"/>
      <c r="U132" s="26"/>
      <c r="V132" s="26"/>
    </row>
    <row r="133" spans="1:24" customHeight="1" ht="15">
      <c r="A133" s="44" t="s">
        <v>52</v>
      </c>
      <c r="B133" s="45"/>
      <c r="C133" s="46" t="s">
        <v>18</v>
      </c>
      <c r="D133" s="47">
        <f>SUM(D114:D132)</f>
        <v>1366565.27</v>
      </c>
      <c r="E133" s="48" t="s">
        <v>18</v>
      </c>
      <c r="F133" s="47">
        <f>SUM(F114:F132)</f>
        <v>782437.66</v>
      </c>
      <c r="G133" s="48" t="s">
        <v>18</v>
      </c>
      <c r="H133" s="47">
        <f>J133-F133</f>
        <v>868054.34</v>
      </c>
      <c r="I133" s="48" t="s">
        <v>18</v>
      </c>
      <c r="J133" s="47">
        <f>SUM(J114:J132)</f>
        <v>1650492</v>
      </c>
      <c r="K133" s="48" t="s">
        <v>18</v>
      </c>
      <c r="L133" s="49">
        <f>SUM(L114:L132)</f>
        <v>2854753</v>
      </c>
      <c r="M133" s="50"/>
      <c r="N133" s="50"/>
      <c r="O133" s="50"/>
      <c r="P133" s="50"/>
      <c r="Q133" s="50"/>
      <c r="R133" s="50"/>
      <c r="S133" s="50"/>
      <c r="T133" s="50"/>
      <c r="U133" s="50"/>
      <c r="V133" s="50"/>
    </row>
    <row r="137" spans="1:24">
      <c r="A137" s="235" t="s">
        <v>0</v>
      </c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69"/>
      <c r="N137" s="69"/>
      <c r="O137" s="69"/>
      <c r="P137" s="69"/>
      <c r="Q137" s="69"/>
      <c r="R137" s="69"/>
      <c r="S137" s="69"/>
      <c r="T137" s="69"/>
      <c r="U137" s="69"/>
      <c r="V137" s="69"/>
    </row>
    <row r="139" spans="1:24" customHeight="1" ht="15.6">
      <c r="A139" s="236" t="s">
        <v>1</v>
      </c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4">
      <c r="A140" s="231" t="s">
        <v>2</v>
      </c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2" spans="1:24">
      <c r="A142" s="5" t="s">
        <v>110</v>
      </c>
    </row>
    <row r="143" spans="1:24" customHeight="1" ht="15"/>
    <row r="144" spans="1:24">
      <c r="A144" s="7"/>
      <c r="B144" s="8"/>
      <c r="C144" s="203" t="s">
        <v>4</v>
      </c>
      <c r="D144" s="204"/>
      <c r="E144" s="205" t="s">
        <v>5</v>
      </c>
      <c r="F144" s="206"/>
      <c r="G144" s="206"/>
      <c r="H144" s="206"/>
      <c r="I144" s="206"/>
      <c r="J144" s="207"/>
      <c r="K144" s="203" t="s">
        <v>6</v>
      </c>
      <c r="L144" s="22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4">
      <c r="A145" s="9" t="s">
        <v>7</v>
      </c>
      <c r="B145" s="10" t="s">
        <v>8</v>
      </c>
      <c r="C145" s="210">
        <v>2024</v>
      </c>
      <c r="D145" s="211"/>
      <c r="E145" s="251" t="s">
        <v>9</v>
      </c>
      <c r="F145" s="226"/>
      <c r="G145" s="251" t="s">
        <v>10</v>
      </c>
      <c r="H145" s="226"/>
      <c r="I145" s="252" t="s">
        <v>11</v>
      </c>
      <c r="J145" s="228"/>
      <c r="K145" s="210">
        <v>2026</v>
      </c>
      <c r="L145" s="229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4" customHeight="1" ht="15">
      <c r="A146" s="13"/>
      <c r="B146" s="14"/>
      <c r="C146" s="220" t="s">
        <v>12</v>
      </c>
      <c r="D146" s="221"/>
      <c r="E146" s="220" t="s">
        <v>12</v>
      </c>
      <c r="F146" s="221"/>
      <c r="G146" s="220" t="s">
        <v>13</v>
      </c>
      <c r="H146" s="221"/>
      <c r="I146" s="216"/>
      <c r="J146" s="217"/>
      <c r="K146" s="220" t="s">
        <v>14</v>
      </c>
      <c r="L146" s="230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4">
      <c r="A147" s="27" t="s">
        <v>53</v>
      </c>
      <c r="B147" s="52"/>
      <c r="C147" s="17"/>
      <c r="D147" s="18"/>
      <c r="E147" s="17"/>
      <c r="F147" s="18"/>
      <c r="G147" s="17"/>
      <c r="H147" s="18"/>
      <c r="I147" s="17"/>
      <c r="J147" s="18"/>
      <c r="K147" s="17"/>
      <c r="L147" s="74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spans="1:24">
      <c r="A148" s="21" t="s">
        <v>54</v>
      </c>
      <c r="B148" s="16" t="s">
        <v>55</v>
      </c>
      <c r="C148" s="17" t="s">
        <v>18</v>
      </c>
      <c r="D148" s="28">
        <v>77120</v>
      </c>
      <c r="E148" s="17" t="s">
        <v>18</v>
      </c>
      <c r="F148" s="28">
        <v>44706.45</v>
      </c>
      <c r="G148" s="17" t="s">
        <v>18</v>
      </c>
      <c r="H148" s="22">
        <f>J148-F148</f>
        <v>45293.55</v>
      </c>
      <c r="I148" s="17" t="s">
        <v>18</v>
      </c>
      <c r="J148" s="28">
        <v>90000</v>
      </c>
      <c r="K148" s="17" t="s">
        <v>18</v>
      </c>
      <c r="L148" s="30">
        <v>90000</v>
      </c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 spans="1:24">
      <c r="A149" s="21" t="s">
        <v>58</v>
      </c>
      <c r="B149" s="16" t="s">
        <v>59</v>
      </c>
      <c r="C149" s="17"/>
      <c r="D149" s="37">
        <v>50000</v>
      </c>
      <c r="E149" s="17"/>
      <c r="F149" s="37">
        <v>30001.48</v>
      </c>
      <c r="G149" s="17"/>
      <c r="H149" s="37">
        <f>J149-F149</f>
        <v>39998.52</v>
      </c>
      <c r="I149" s="17"/>
      <c r="J149" s="37">
        <v>70000</v>
      </c>
      <c r="K149" s="17"/>
      <c r="L149" s="33">
        <v>82360</v>
      </c>
      <c r="M149" s="26"/>
      <c r="N149" s="26"/>
      <c r="O149" s="26"/>
      <c r="P149" s="26"/>
      <c r="Q149" s="26"/>
      <c r="R149" s="26"/>
      <c r="S149" s="26"/>
      <c r="T149" s="26"/>
      <c r="U149" s="26"/>
      <c r="V149" s="26"/>
    </row>
    <row r="150" spans="1:24">
      <c r="A150" s="21" t="s">
        <v>70</v>
      </c>
      <c r="B150" s="16" t="s">
        <v>71</v>
      </c>
      <c r="C150" s="17"/>
      <c r="D150" s="37">
        <v>48000</v>
      </c>
      <c r="E150" s="17"/>
      <c r="F150" s="37">
        <v>20000</v>
      </c>
      <c r="G150" s="17"/>
      <c r="H150" s="37">
        <f>J150-F150</f>
        <v>16000</v>
      </c>
      <c r="I150" s="17"/>
      <c r="J150" s="37">
        <v>36000</v>
      </c>
      <c r="K150" s="17"/>
      <c r="L150" s="33">
        <v>60000</v>
      </c>
      <c r="M150" s="26"/>
      <c r="N150" s="26"/>
      <c r="O150" s="26"/>
      <c r="P150" s="26"/>
      <c r="Q150" s="26"/>
      <c r="R150" s="26"/>
      <c r="S150" s="26"/>
      <c r="T150" s="26"/>
      <c r="U150" s="26"/>
      <c r="V150" s="26"/>
    </row>
    <row r="151" spans="1:24">
      <c r="A151" s="21" t="s">
        <v>72</v>
      </c>
      <c r="B151" s="16" t="s">
        <v>73</v>
      </c>
      <c r="C151" s="17"/>
      <c r="D151" s="37">
        <v>24000.12</v>
      </c>
      <c r="E151" s="17"/>
      <c r="F151" s="37">
        <v>9042.3</v>
      </c>
      <c r="G151" s="17"/>
      <c r="H151" s="37">
        <f>J151-F151</f>
        <v>15957.7</v>
      </c>
      <c r="I151" s="17"/>
      <c r="J151" s="37">
        <v>25000</v>
      </c>
      <c r="K151" s="17"/>
      <c r="L151" s="33">
        <v>25000</v>
      </c>
      <c r="M151" s="26"/>
      <c r="N151" s="26"/>
      <c r="O151" s="26"/>
      <c r="P151" s="26"/>
      <c r="Q151" s="26"/>
      <c r="R151" s="26"/>
      <c r="S151" s="26"/>
      <c r="T151" s="26"/>
      <c r="U151" s="26"/>
      <c r="V151" s="26"/>
    </row>
    <row r="152" spans="1:24">
      <c r="A152" s="21" t="s">
        <v>80</v>
      </c>
      <c r="B152" s="16" t="s">
        <v>81</v>
      </c>
      <c r="C152" s="17"/>
      <c r="D152" s="37">
        <v>2400</v>
      </c>
      <c r="E152" s="17"/>
      <c r="F152" s="37">
        <v>6400</v>
      </c>
      <c r="G152" s="17"/>
      <c r="H152" s="37">
        <f>J152-F152</f>
        <v>3600</v>
      </c>
      <c r="I152" s="17"/>
      <c r="J152" s="37">
        <v>10000</v>
      </c>
      <c r="K152" s="17"/>
      <c r="L152" s="33">
        <v>10000</v>
      </c>
      <c r="M152" s="26"/>
      <c r="N152" s="26"/>
      <c r="O152" s="26"/>
      <c r="P152" s="26"/>
      <c r="Q152" s="26"/>
      <c r="R152" s="26"/>
      <c r="S152" s="26"/>
      <c r="T152" s="26"/>
      <c r="U152" s="26"/>
      <c r="V152" s="26"/>
    </row>
    <row r="153" spans="1:24" customHeight="1" ht="15">
      <c r="A153" s="21" t="s">
        <v>92</v>
      </c>
      <c r="B153" s="16" t="s">
        <v>93</v>
      </c>
      <c r="C153" s="17"/>
      <c r="D153" s="41">
        <v>12095.39</v>
      </c>
      <c r="E153" s="17"/>
      <c r="F153" s="41">
        <v>0</v>
      </c>
      <c r="G153" s="17"/>
      <c r="H153" s="73">
        <f>J153-F153</f>
        <v>36360</v>
      </c>
      <c r="I153" s="17"/>
      <c r="J153" s="41">
        <v>36360</v>
      </c>
      <c r="K153" s="17"/>
      <c r="L153" s="55">
        <v>0</v>
      </c>
      <c r="M153" s="26"/>
      <c r="N153" s="26"/>
      <c r="O153" s="26"/>
      <c r="P153" s="26"/>
      <c r="Q153" s="26"/>
      <c r="R153" s="26"/>
      <c r="S153" s="26"/>
      <c r="T153" s="26"/>
      <c r="U153" s="26"/>
      <c r="V153" s="26"/>
    </row>
    <row r="154" spans="1:24" customHeight="1" ht="15">
      <c r="A154" s="27" t="s">
        <v>94</v>
      </c>
      <c r="B154" s="52"/>
      <c r="C154" s="56" t="s">
        <v>18</v>
      </c>
      <c r="D154" s="47">
        <f>SUM(D148:D153)</f>
        <v>213615.51</v>
      </c>
      <c r="E154" s="56" t="s">
        <v>18</v>
      </c>
      <c r="F154" s="47">
        <f>SUM(F148:F153)</f>
        <v>110150.23</v>
      </c>
      <c r="G154" s="56" t="s">
        <v>18</v>
      </c>
      <c r="H154" s="47">
        <f>SUM(H148:H153)</f>
        <v>157209.77</v>
      </c>
      <c r="I154" s="56" t="s">
        <v>18</v>
      </c>
      <c r="J154" s="47">
        <f>SUM(J148:J153)</f>
        <v>267360</v>
      </c>
      <c r="K154" s="56" t="s">
        <v>18</v>
      </c>
      <c r="L154" s="49">
        <f>SUM(L148:L153)</f>
        <v>267360</v>
      </c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spans="1:24">
      <c r="A155" s="27" t="s">
        <v>95</v>
      </c>
      <c r="B155" s="52"/>
      <c r="C155" s="17"/>
      <c r="D155" s="75"/>
      <c r="E155" s="17"/>
      <c r="F155" s="75"/>
      <c r="G155" s="17"/>
      <c r="H155" s="75"/>
      <c r="I155" s="17"/>
      <c r="J155" s="75"/>
      <c r="K155" s="17"/>
      <c r="L155" s="76"/>
      <c r="M155" s="26"/>
      <c r="N155" s="26"/>
      <c r="O155" s="26"/>
      <c r="P155" s="26"/>
      <c r="Q155" s="26"/>
      <c r="R155" s="26"/>
      <c r="S155" s="26"/>
      <c r="T155" s="26"/>
      <c r="U155" s="26"/>
      <c r="V155" s="26"/>
    </row>
    <row r="156" spans="1:24" customHeight="1" ht="15">
      <c r="A156" s="21" t="s">
        <v>96</v>
      </c>
      <c r="B156" s="16" t="s">
        <v>97</v>
      </c>
      <c r="C156" s="17" t="s">
        <v>18</v>
      </c>
      <c r="D156" s="28">
        <v>0</v>
      </c>
      <c r="E156" s="17" t="s">
        <v>18</v>
      </c>
      <c r="F156" s="28">
        <v>0</v>
      </c>
      <c r="G156" s="17" t="s">
        <v>18</v>
      </c>
      <c r="H156" s="28">
        <v>0</v>
      </c>
      <c r="I156" s="17" t="s">
        <v>18</v>
      </c>
      <c r="J156" s="28">
        <v>0</v>
      </c>
      <c r="K156" s="17" t="s">
        <v>18</v>
      </c>
      <c r="L156" s="30">
        <v>0</v>
      </c>
      <c r="M156" s="26"/>
      <c r="N156" s="26"/>
      <c r="O156" s="26"/>
      <c r="P156" s="26"/>
      <c r="Q156" s="26"/>
      <c r="R156" s="26"/>
      <c r="S156" s="26"/>
      <c r="T156" s="26"/>
      <c r="U156" s="26"/>
      <c r="V156" s="26"/>
    </row>
    <row r="157" spans="1:24" customHeight="1" ht="15">
      <c r="A157" s="27" t="s">
        <v>98</v>
      </c>
      <c r="B157" s="16"/>
      <c r="C157" s="56" t="s">
        <v>18</v>
      </c>
      <c r="D157" s="77">
        <f>SUM(D156)</f>
        <v>0</v>
      </c>
      <c r="E157" s="56" t="s">
        <v>18</v>
      </c>
      <c r="F157" s="77">
        <f>SUM(F156)</f>
        <v>0</v>
      </c>
      <c r="G157" s="56" t="s">
        <v>18</v>
      </c>
      <c r="H157" s="77">
        <f>SUM(H156)</f>
        <v>0</v>
      </c>
      <c r="I157" s="56" t="s">
        <v>18</v>
      </c>
      <c r="J157" s="77">
        <f>SUM(J156)</f>
        <v>0</v>
      </c>
      <c r="K157" s="56" t="s">
        <v>18</v>
      </c>
      <c r="L157" s="78">
        <f>SUM(L156)</f>
        <v>0</v>
      </c>
      <c r="M157" s="50"/>
      <c r="N157" s="50"/>
      <c r="O157" s="50"/>
      <c r="P157" s="50"/>
      <c r="Q157" s="50"/>
      <c r="R157" s="50"/>
      <c r="S157" s="50"/>
      <c r="T157" s="50"/>
      <c r="U157" s="50"/>
      <c r="V157" s="50"/>
    </row>
    <row r="158" spans="1:24" customHeight="1" ht="15">
      <c r="A158" s="79" t="s">
        <v>99</v>
      </c>
      <c r="B158" s="80"/>
      <c r="C158" s="81" t="s">
        <v>18</v>
      </c>
      <c r="D158" s="82">
        <f>D133+D154+D157</f>
        <v>1580180.78</v>
      </c>
      <c r="E158" s="83" t="s">
        <v>18</v>
      </c>
      <c r="F158" s="82">
        <f>F133+F154+F157</f>
        <v>892587.89</v>
      </c>
      <c r="G158" s="83" t="s">
        <v>18</v>
      </c>
      <c r="H158" s="82">
        <f>H133+H154+H157</f>
        <v>1025264.11</v>
      </c>
      <c r="I158" s="83" t="s">
        <v>18</v>
      </c>
      <c r="J158" s="82">
        <f>J133+J154+J157</f>
        <v>1917852</v>
      </c>
      <c r="K158" s="83" t="s">
        <v>18</v>
      </c>
      <c r="L158" s="84">
        <f>L133+L154+L157</f>
        <v>3122113</v>
      </c>
      <c r="M158" s="50"/>
      <c r="N158" s="50"/>
      <c r="O158" s="50"/>
      <c r="P158" s="50"/>
      <c r="Q158" s="50"/>
      <c r="R158" s="50"/>
      <c r="S158" s="50"/>
      <c r="T158" s="50"/>
      <c r="U158" s="50"/>
      <c r="V158" s="50"/>
    </row>
    <row r="159" spans="1:24" customHeight="1" ht="15">
      <c r="A159" s="5"/>
      <c r="C159" s="56"/>
      <c r="D159" s="59"/>
      <c r="E159" s="56"/>
      <c r="F159" s="59"/>
      <c r="G159" s="56"/>
      <c r="H159" s="59"/>
      <c r="I159" s="56"/>
      <c r="J159" s="59"/>
      <c r="K159" s="56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</row>
    <row r="160" spans="1:24">
      <c r="A160" t="s">
        <v>100</v>
      </c>
      <c r="B160" t="s">
        <v>101</v>
      </c>
      <c r="G160" t="s">
        <v>102</v>
      </c>
    </row>
    <row r="162" spans="1:24">
      <c r="A162" t="s">
        <v>111</v>
      </c>
      <c r="D162" s="200" t="s">
        <v>112</v>
      </c>
      <c r="J162" s="200" t="s">
        <v>113</v>
      </c>
    </row>
    <row r="163" spans="1:24">
      <c r="A163" s="4" t="s">
        <v>114</v>
      </c>
      <c r="B163" s="231" t="s">
        <v>107</v>
      </c>
      <c r="C163" s="231"/>
      <c r="D163" s="231"/>
      <c r="E163" s="231"/>
      <c r="F163" s="231"/>
      <c r="H163" s="231" t="s">
        <v>106</v>
      </c>
      <c r="I163" s="231"/>
      <c r="J163" s="231"/>
      <c r="K163" s="231"/>
      <c r="L163" s="231"/>
      <c r="M163" s="4"/>
      <c r="N163" s="66"/>
      <c r="O163" s="66"/>
      <c r="P163" s="66"/>
      <c r="Q163" s="66"/>
      <c r="R163" s="66"/>
      <c r="S163" s="66"/>
      <c r="T163" s="66"/>
      <c r="U163" s="66"/>
      <c r="V163" s="66"/>
    </row>
    <row r="164" spans="1:24">
      <c r="A164" s="158" t="s">
        <v>115</v>
      </c>
      <c r="B164" s="232" t="s">
        <v>109</v>
      </c>
      <c r="C164" s="232"/>
      <c r="D164" s="232"/>
      <c r="E164" s="232"/>
      <c r="F164" s="232"/>
      <c r="H164" s="232" t="s">
        <v>108</v>
      </c>
      <c r="I164" s="232"/>
      <c r="J164" s="232"/>
      <c r="K164" s="232"/>
      <c r="L164" s="232"/>
      <c r="M164" s="158"/>
      <c r="N164" s="68"/>
      <c r="O164" s="68"/>
      <c r="P164" s="68"/>
      <c r="Q164" s="68"/>
      <c r="R164" s="68"/>
      <c r="S164" s="68"/>
      <c r="T164" s="68"/>
      <c r="U164" s="68"/>
      <c r="V164" s="68"/>
    </row>
    <row r="166" spans="1:24">
      <c r="J166" s="17"/>
    </row>
    <row r="169" spans="1:24">
      <c r="J169" s="17"/>
    </row>
    <row r="170" spans="1:24">
      <c r="J170" s="17"/>
    </row>
    <row r="171" spans="1:24">
      <c r="A171" s="235" t="s">
        <v>0</v>
      </c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69"/>
      <c r="N171" s="69"/>
      <c r="O171" s="69"/>
      <c r="P171" s="69"/>
      <c r="Q171" s="69"/>
      <c r="R171" s="69"/>
      <c r="S171" s="69"/>
      <c r="T171" s="69"/>
      <c r="U171" s="69"/>
      <c r="V171" s="69"/>
    </row>
    <row r="173" spans="1:24" customHeight="1" ht="15.6">
      <c r="A173" s="236" t="s">
        <v>1</v>
      </c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4">
      <c r="A174" s="231" t="s">
        <v>2</v>
      </c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6" spans="1:24">
      <c r="A176" s="5" t="s">
        <v>116</v>
      </c>
    </row>
    <row r="177" spans="1:24" customHeight="1" ht="15"/>
    <row r="178" spans="1:24">
      <c r="A178" s="7"/>
      <c r="B178" s="8"/>
      <c r="C178" s="203" t="s">
        <v>4</v>
      </c>
      <c r="D178" s="204"/>
      <c r="E178" s="205" t="s">
        <v>5</v>
      </c>
      <c r="F178" s="206"/>
      <c r="G178" s="206"/>
      <c r="H178" s="206"/>
      <c r="I178" s="206"/>
      <c r="J178" s="207"/>
      <c r="K178" s="203" t="s">
        <v>6</v>
      </c>
      <c r="L178" s="22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4">
      <c r="A179" s="9" t="s">
        <v>7</v>
      </c>
      <c r="B179" s="10" t="s">
        <v>8</v>
      </c>
      <c r="C179" s="210">
        <v>2024</v>
      </c>
      <c r="D179" s="211"/>
      <c r="E179" s="251" t="s">
        <v>9</v>
      </c>
      <c r="F179" s="226"/>
      <c r="G179" s="251" t="s">
        <v>10</v>
      </c>
      <c r="H179" s="226"/>
      <c r="I179" s="252" t="s">
        <v>11</v>
      </c>
      <c r="J179" s="228"/>
      <c r="K179" s="210">
        <v>2026</v>
      </c>
      <c r="L179" s="229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4" customHeight="1" ht="15">
      <c r="A180" s="13"/>
      <c r="B180" s="14"/>
      <c r="C180" s="220" t="s">
        <v>12</v>
      </c>
      <c r="D180" s="221"/>
      <c r="E180" s="220" t="s">
        <v>12</v>
      </c>
      <c r="F180" s="221"/>
      <c r="G180" s="220" t="s">
        <v>13</v>
      </c>
      <c r="H180" s="221"/>
      <c r="I180" s="216"/>
      <c r="J180" s="217"/>
      <c r="K180" s="220" t="s">
        <v>14</v>
      </c>
      <c r="L180" s="230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4">
      <c r="A181" s="15" t="s">
        <v>15</v>
      </c>
      <c r="B181" s="16"/>
      <c r="C181" s="17"/>
      <c r="D181" s="18"/>
      <c r="E181" s="17"/>
      <c r="F181" s="18"/>
      <c r="G181" s="17"/>
      <c r="H181" s="18"/>
      <c r="I181" s="17"/>
      <c r="J181" s="18"/>
      <c r="K181" s="17"/>
      <c r="L181" s="19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spans="1:24">
      <c r="A182" s="21" t="s">
        <v>16</v>
      </c>
      <c r="B182" s="16" t="s">
        <v>17</v>
      </c>
      <c r="C182" s="17" t="s">
        <v>18</v>
      </c>
      <c r="D182" s="22">
        <v>2501078.48</v>
      </c>
      <c r="E182" s="17" t="s">
        <v>18</v>
      </c>
      <c r="F182" s="22">
        <v>1182399.5</v>
      </c>
      <c r="G182" s="17" t="s">
        <v>18</v>
      </c>
      <c r="H182" s="22">
        <f>J182-F182</f>
        <v>1427845.5</v>
      </c>
      <c r="I182" s="17" t="s">
        <v>18</v>
      </c>
      <c r="J182" s="22">
        <v>2610245</v>
      </c>
      <c r="K182" s="17" t="s">
        <v>18</v>
      </c>
      <c r="L182" s="25">
        <v>2965672</v>
      </c>
      <c r="M182" s="26"/>
      <c r="N182" s="26"/>
      <c r="O182" s="26"/>
      <c r="P182" s="26"/>
      <c r="Q182" s="26"/>
      <c r="R182" s="26"/>
      <c r="S182" s="26"/>
      <c r="T182" s="26"/>
      <c r="U182" s="26"/>
      <c r="V182" s="26"/>
    </row>
    <row r="183" spans="1:24">
      <c r="A183" s="27" t="s">
        <v>19</v>
      </c>
      <c r="B183" s="16"/>
      <c r="C183" s="17"/>
      <c r="D183" s="28"/>
      <c r="E183" s="17"/>
      <c r="F183" s="28"/>
      <c r="G183" s="17"/>
      <c r="H183" s="28"/>
      <c r="I183" s="17"/>
      <c r="J183" s="28"/>
      <c r="K183" s="17"/>
      <c r="L183" s="30"/>
      <c r="M183" s="26"/>
      <c r="N183" s="26"/>
      <c r="O183" s="26"/>
      <c r="P183" s="26"/>
      <c r="Q183" s="26"/>
      <c r="R183" s="26"/>
      <c r="S183" s="26"/>
      <c r="T183" s="26"/>
      <c r="U183" s="26"/>
      <c r="V183" s="26"/>
    </row>
    <row r="184" spans="1:24">
      <c r="A184" s="21" t="s">
        <v>20</v>
      </c>
      <c r="B184" s="16" t="s">
        <v>21</v>
      </c>
      <c r="C184" s="17"/>
      <c r="D184" s="22">
        <v>120000</v>
      </c>
      <c r="E184" s="17"/>
      <c r="F184" s="28">
        <v>50000</v>
      </c>
      <c r="G184" s="17"/>
      <c r="H184" s="22">
        <f>J184-F184</f>
        <v>70000</v>
      </c>
      <c r="I184" s="17"/>
      <c r="J184" s="28">
        <v>120000</v>
      </c>
      <c r="K184" s="17"/>
      <c r="L184" s="30">
        <v>120000</v>
      </c>
      <c r="M184" s="26"/>
      <c r="N184" s="26"/>
      <c r="O184" s="26"/>
      <c r="P184" s="26"/>
      <c r="Q184" s="26"/>
      <c r="R184" s="26"/>
      <c r="S184" s="26"/>
      <c r="T184" s="26"/>
      <c r="U184" s="26"/>
      <c r="V184" s="26"/>
    </row>
    <row r="185" spans="1:24">
      <c r="A185" s="21" t="s">
        <v>22</v>
      </c>
      <c r="B185" s="16" t="s">
        <v>23</v>
      </c>
      <c r="C185" s="17"/>
      <c r="D185" s="37">
        <v>163200</v>
      </c>
      <c r="E185" s="17"/>
      <c r="F185" s="37">
        <v>72000</v>
      </c>
      <c r="G185" s="17"/>
      <c r="H185" s="22">
        <f>J185-F185</f>
        <v>100800</v>
      </c>
      <c r="I185" s="17"/>
      <c r="J185" s="37">
        <v>172800</v>
      </c>
      <c r="K185" s="17"/>
      <c r="L185" s="33">
        <v>172800</v>
      </c>
      <c r="M185" s="26"/>
      <c r="N185" s="26"/>
      <c r="O185" s="26"/>
      <c r="P185" s="26"/>
      <c r="Q185" s="26"/>
      <c r="R185" s="26"/>
      <c r="S185" s="26"/>
      <c r="T185" s="26"/>
      <c r="U185" s="26"/>
      <c r="V185" s="26"/>
    </row>
    <row r="186" spans="1:24">
      <c r="A186" s="21" t="s">
        <v>24</v>
      </c>
      <c r="B186" s="16" t="s">
        <v>25</v>
      </c>
      <c r="C186" s="17"/>
      <c r="D186" s="37">
        <v>163200</v>
      </c>
      <c r="E186" s="17"/>
      <c r="F186" s="37">
        <v>57600</v>
      </c>
      <c r="G186" s="17"/>
      <c r="H186" s="22">
        <f>J186-F186</f>
        <v>115200</v>
      </c>
      <c r="I186" s="17"/>
      <c r="J186" s="37">
        <v>172800</v>
      </c>
      <c r="K186" s="17"/>
      <c r="L186" s="33">
        <v>172800</v>
      </c>
      <c r="M186" s="26"/>
      <c r="N186" s="26"/>
      <c r="O186" s="26"/>
      <c r="P186" s="26"/>
      <c r="Q186" s="26"/>
      <c r="R186" s="26"/>
      <c r="S186" s="26"/>
      <c r="T186" s="26"/>
      <c r="U186" s="26"/>
      <c r="V186" s="26"/>
    </row>
    <row r="187" spans="1:24">
      <c r="A187" s="21" t="s">
        <v>26</v>
      </c>
      <c r="B187" s="16" t="s">
        <v>27</v>
      </c>
      <c r="C187" s="17"/>
      <c r="D187" s="37">
        <v>35000</v>
      </c>
      <c r="E187" s="17"/>
      <c r="F187" s="37">
        <v>35000</v>
      </c>
      <c r="G187" s="17"/>
      <c r="H187" s="22">
        <f>J187-F187</f>
        <v>0</v>
      </c>
      <c r="I187" s="17"/>
      <c r="J187" s="37">
        <v>35000</v>
      </c>
      <c r="K187" s="17"/>
      <c r="L187" s="33">
        <v>35000</v>
      </c>
      <c r="M187" s="26"/>
      <c r="N187" s="26"/>
      <c r="O187" s="26"/>
      <c r="P187" s="26"/>
      <c r="Q187" s="26"/>
      <c r="R187" s="26"/>
      <c r="S187" s="26"/>
      <c r="T187" s="26"/>
      <c r="U187" s="26"/>
      <c r="V187" s="26"/>
    </row>
    <row r="188" spans="1:24">
      <c r="A188" s="21" t="s">
        <v>28</v>
      </c>
      <c r="B188" s="16" t="s">
        <v>29</v>
      </c>
      <c r="C188" s="17"/>
      <c r="D188" s="37">
        <v>25000</v>
      </c>
      <c r="E188" s="17"/>
      <c r="F188" s="37">
        <v>0</v>
      </c>
      <c r="G188" s="17"/>
      <c r="H188" s="22">
        <f>J188-F188</f>
        <v>25000</v>
      </c>
      <c r="I188" s="17"/>
      <c r="J188" s="85">
        <v>25000</v>
      </c>
      <c r="K188" s="17"/>
      <c r="L188" s="86">
        <v>0</v>
      </c>
      <c r="M188" s="87"/>
      <c r="N188" s="87"/>
      <c r="O188" s="87"/>
      <c r="P188" s="87"/>
      <c r="Q188" s="87"/>
      <c r="R188" s="87"/>
      <c r="S188" s="87"/>
      <c r="T188" s="87"/>
      <c r="U188" s="87"/>
      <c r="V188" s="87"/>
    </row>
    <row r="189" spans="1:24" customHeight="1" ht="14.25">
      <c r="A189" s="21" t="s">
        <v>30</v>
      </c>
      <c r="B189" s="16" t="s">
        <v>31</v>
      </c>
      <c r="C189" s="17"/>
      <c r="D189" s="37">
        <v>100000</v>
      </c>
      <c r="E189" s="17"/>
      <c r="F189" s="37">
        <v>0</v>
      </c>
      <c r="G189" s="17"/>
      <c r="H189" s="22">
        <f>J189-F189</f>
        <v>100000</v>
      </c>
      <c r="I189" s="17"/>
      <c r="J189" s="85">
        <v>100000</v>
      </c>
      <c r="K189" s="17"/>
      <c r="L189" s="86">
        <v>0</v>
      </c>
      <c r="M189" s="87"/>
      <c r="N189" s="87"/>
      <c r="O189" s="87"/>
      <c r="P189" s="87"/>
      <c r="Q189" s="87"/>
      <c r="R189" s="87"/>
      <c r="S189" s="87"/>
      <c r="T189" s="87"/>
      <c r="U189" s="87"/>
      <c r="V189" s="87"/>
    </row>
    <row r="190" spans="1:24" customHeight="1" ht="14.25">
      <c r="A190" s="21" t="s">
        <v>32</v>
      </c>
      <c r="B190" s="16" t="s">
        <v>33</v>
      </c>
      <c r="C190" s="17"/>
      <c r="D190" s="37">
        <v>214905</v>
      </c>
      <c r="E190" s="17"/>
      <c r="F190" s="37">
        <v>1293</v>
      </c>
      <c r="G190" s="17"/>
      <c r="H190" s="22">
        <f>J190-F190</f>
        <v>283152</v>
      </c>
      <c r="I190" s="17"/>
      <c r="J190" s="37">
        <v>284445</v>
      </c>
      <c r="K190" s="17"/>
      <c r="L190" s="33">
        <v>292820</v>
      </c>
      <c r="M190" s="26"/>
      <c r="N190" s="26"/>
      <c r="O190" s="26"/>
      <c r="P190" s="26"/>
      <c r="Q190" s="26"/>
      <c r="R190" s="26"/>
      <c r="S190" s="26"/>
      <c r="T190" s="26"/>
      <c r="U190" s="26"/>
      <c r="V190" s="26"/>
    </row>
    <row r="191" spans="1:24" customHeight="1" ht="14.25">
      <c r="A191" s="21" t="s">
        <v>34</v>
      </c>
      <c r="B191" s="16" t="s">
        <v>35</v>
      </c>
      <c r="C191" s="17"/>
      <c r="D191" s="37">
        <v>25000</v>
      </c>
      <c r="E191" s="17"/>
      <c r="F191" s="37">
        <v>0</v>
      </c>
      <c r="G191" s="17"/>
      <c r="H191" s="22">
        <f>J191-F191</f>
        <v>25000</v>
      </c>
      <c r="I191" s="17"/>
      <c r="J191" s="37">
        <v>25000</v>
      </c>
      <c r="K191" s="17"/>
      <c r="L191" s="33">
        <v>25000</v>
      </c>
      <c r="M191" s="26"/>
      <c r="N191" s="26"/>
      <c r="O191" s="26"/>
      <c r="P191" s="26"/>
      <c r="Q191" s="26"/>
      <c r="R191" s="26"/>
      <c r="S191" s="26"/>
      <c r="T191" s="26"/>
      <c r="U191" s="26"/>
      <c r="V191" s="26"/>
    </row>
    <row r="192" spans="1:24">
      <c r="A192" s="21" t="s">
        <v>36</v>
      </c>
      <c r="B192" s="16" t="s">
        <v>37</v>
      </c>
      <c r="C192" s="17"/>
      <c r="D192" s="37">
        <v>205665</v>
      </c>
      <c r="E192" s="17"/>
      <c r="F192" s="37">
        <v>213630</v>
      </c>
      <c r="G192" s="17"/>
      <c r="H192" s="22">
        <f>J192-F192</f>
        <v>0</v>
      </c>
      <c r="I192" s="17"/>
      <c r="J192" s="37">
        <v>213630</v>
      </c>
      <c r="K192" s="17"/>
      <c r="L192" s="33">
        <v>224299</v>
      </c>
      <c r="M192" s="26"/>
      <c r="N192" s="26"/>
      <c r="O192" s="26"/>
      <c r="P192" s="26"/>
      <c r="Q192" s="26"/>
      <c r="R192" s="26"/>
      <c r="S192" s="26"/>
      <c r="T192" s="26"/>
      <c r="U192" s="26"/>
      <c r="V192" s="26"/>
    </row>
    <row r="193" spans="1:24">
      <c r="A193" s="27" t="s">
        <v>38</v>
      </c>
      <c r="B193" s="16"/>
      <c r="C193" s="17"/>
      <c r="D193" s="28"/>
      <c r="E193" s="17"/>
      <c r="F193" s="28"/>
      <c r="G193" s="17"/>
      <c r="H193" s="28"/>
      <c r="I193" s="17"/>
      <c r="J193" s="28"/>
      <c r="K193" s="17"/>
      <c r="L193" s="30"/>
      <c r="M193" s="26"/>
      <c r="N193" s="26"/>
      <c r="O193" s="26"/>
      <c r="P193" s="26"/>
      <c r="Q193" s="26"/>
      <c r="R193" s="26"/>
      <c r="S193" s="26"/>
      <c r="T193" s="26"/>
      <c r="U193" s="26"/>
      <c r="V193" s="26"/>
    </row>
    <row r="194" spans="1:24">
      <c r="A194" s="21" t="s">
        <v>39</v>
      </c>
      <c r="B194" s="16" t="s">
        <v>40</v>
      </c>
      <c r="C194" s="17"/>
      <c r="D194" s="28">
        <v>300127.26</v>
      </c>
      <c r="E194" s="17"/>
      <c r="F194" s="28">
        <v>128992.56</v>
      </c>
      <c r="G194" s="17"/>
      <c r="H194" s="22">
        <f>J194-F194</f>
        <v>184237.44</v>
      </c>
      <c r="I194" s="17"/>
      <c r="J194" s="28">
        <v>313230</v>
      </c>
      <c r="K194" s="17"/>
      <c r="L194" s="30">
        <v>355930</v>
      </c>
      <c r="M194" s="26"/>
      <c r="N194" s="26"/>
      <c r="O194" s="26"/>
      <c r="P194" s="26"/>
      <c r="Q194" s="26"/>
      <c r="R194" s="26"/>
      <c r="S194" s="26"/>
      <c r="T194" s="26"/>
      <c r="U194" s="26"/>
      <c r="V194" s="26"/>
    </row>
    <row r="195" spans="1:24">
      <c r="A195" s="21" t="s">
        <v>41</v>
      </c>
      <c r="B195" s="16" t="s">
        <v>42</v>
      </c>
      <c r="C195" s="17"/>
      <c r="D195" s="37">
        <v>11500</v>
      </c>
      <c r="E195" s="17"/>
      <c r="F195" s="37">
        <v>5000</v>
      </c>
      <c r="G195" s="17"/>
      <c r="H195" s="22">
        <f>J195-F195</f>
        <v>7000</v>
      </c>
      <c r="I195" s="17"/>
      <c r="J195" s="37">
        <v>12000</v>
      </c>
      <c r="K195" s="17"/>
      <c r="L195" s="33">
        <v>12000</v>
      </c>
      <c r="M195" s="26"/>
      <c r="N195" s="26"/>
      <c r="O195" s="26"/>
      <c r="P195" s="26"/>
      <c r="Q195" s="26"/>
      <c r="R195" s="26"/>
      <c r="S195" s="26"/>
      <c r="T195" s="26"/>
      <c r="U195" s="26"/>
      <c r="V195" s="26"/>
    </row>
    <row r="196" spans="1:24">
      <c r="A196" s="21" t="s">
        <v>43</v>
      </c>
      <c r="B196" s="16" t="s">
        <v>44</v>
      </c>
      <c r="C196" s="17"/>
      <c r="D196" s="37">
        <v>62526.59</v>
      </c>
      <c r="E196" s="17"/>
      <c r="F196" s="37">
        <v>41273.48</v>
      </c>
      <c r="G196" s="17"/>
      <c r="H196" s="22">
        <f>J196-F196</f>
        <v>23983.52</v>
      </c>
      <c r="I196" s="17"/>
      <c r="J196" s="37">
        <v>65257</v>
      </c>
      <c r="K196" s="17"/>
      <c r="L196" s="33">
        <v>74190</v>
      </c>
      <c r="M196" s="26"/>
      <c r="N196" s="26"/>
      <c r="O196" s="26"/>
      <c r="P196" s="26"/>
      <c r="Q196" s="26"/>
      <c r="R196" s="26"/>
      <c r="S196" s="26"/>
      <c r="T196" s="26"/>
      <c r="U196" s="26"/>
      <c r="V196" s="26"/>
    </row>
    <row r="197" spans="1:24">
      <c r="A197" s="21" t="s">
        <v>45</v>
      </c>
      <c r="B197" s="16" t="s">
        <v>46</v>
      </c>
      <c r="C197" s="17"/>
      <c r="D197" s="37">
        <v>6000</v>
      </c>
      <c r="E197" s="17"/>
      <c r="F197" s="37">
        <v>2500</v>
      </c>
      <c r="G197" s="17"/>
      <c r="H197" s="22">
        <f>J197-F197</f>
        <v>3500</v>
      </c>
      <c r="I197" s="17"/>
      <c r="J197" s="37">
        <v>6000</v>
      </c>
      <c r="K197" s="17"/>
      <c r="L197" s="33">
        <v>6000</v>
      </c>
      <c r="M197" s="26"/>
      <c r="N197" s="26"/>
      <c r="O197" s="26"/>
      <c r="P197" s="26"/>
      <c r="Q197" s="26"/>
      <c r="R197" s="26"/>
      <c r="S197" s="26"/>
      <c r="T197" s="26"/>
      <c r="U197" s="26"/>
      <c r="V197" s="26"/>
    </row>
    <row r="198" spans="1:24">
      <c r="A198" s="27" t="s">
        <v>47</v>
      </c>
      <c r="B198" s="16"/>
      <c r="C198" s="23"/>
      <c r="D198" s="28"/>
      <c r="E198" s="17"/>
      <c r="F198" s="28"/>
      <c r="G198" s="17"/>
      <c r="H198" s="88"/>
      <c r="I198" s="17"/>
      <c r="J198" s="28"/>
      <c r="K198" s="17"/>
      <c r="L198" s="30"/>
      <c r="M198" s="26"/>
      <c r="N198" s="26"/>
      <c r="O198" s="26"/>
      <c r="P198" s="26"/>
      <c r="Q198" s="26"/>
      <c r="R198" s="26"/>
      <c r="S198" s="26"/>
      <c r="T198" s="26"/>
      <c r="U198" s="26"/>
      <c r="V198" s="26"/>
    </row>
    <row r="199" spans="1:24">
      <c r="A199" s="40" t="s">
        <v>48</v>
      </c>
      <c r="B199" s="16" t="s">
        <v>49</v>
      </c>
      <c r="C199" s="17"/>
      <c r="D199" s="22">
        <v>0</v>
      </c>
      <c r="E199" s="17"/>
      <c r="F199" s="22">
        <v>0</v>
      </c>
      <c r="G199" s="17"/>
      <c r="H199" s="22">
        <v>0</v>
      </c>
      <c r="I199" s="17"/>
      <c r="J199" s="22">
        <v>371997</v>
      </c>
      <c r="K199" s="17"/>
      <c r="L199" s="25">
        <v>0</v>
      </c>
      <c r="M199" s="26"/>
      <c r="N199" s="26"/>
      <c r="O199" s="26"/>
      <c r="P199" s="26"/>
      <c r="Q199" s="26"/>
      <c r="R199" s="26"/>
      <c r="S199" s="26"/>
      <c r="T199" s="26"/>
      <c r="U199" s="26"/>
      <c r="V199" s="26"/>
    </row>
    <row r="200" spans="1:24" customHeight="1" ht="15">
      <c r="A200" s="40" t="s">
        <v>50</v>
      </c>
      <c r="B200" s="16" t="s">
        <v>51</v>
      </c>
      <c r="C200" s="17"/>
      <c r="D200" s="41">
        <v>0</v>
      </c>
      <c r="E200" s="17"/>
      <c r="F200" s="41">
        <v>35000</v>
      </c>
      <c r="G200" s="17"/>
      <c r="H200" s="41">
        <v>0</v>
      </c>
      <c r="I200" s="17"/>
      <c r="J200" s="41">
        <v>35000</v>
      </c>
      <c r="K200" s="17"/>
      <c r="L200" s="55">
        <v>60000</v>
      </c>
      <c r="M200" s="26"/>
      <c r="N200" s="26"/>
      <c r="O200" s="26"/>
      <c r="P200" s="26"/>
      <c r="Q200" s="26"/>
      <c r="R200" s="26"/>
      <c r="S200" s="26"/>
      <c r="T200" s="26"/>
      <c r="U200" s="26"/>
      <c r="V200" s="26"/>
    </row>
    <row r="201" spans="1:24" customHeight="1" ht="15">
      <c r="A201" s="44" t="s">
        <v>52</v>
      </c>
      <c r="B201" s="45"/>
      <c r="C201" s="46" t="s">
        <v>18</v>
      </c>
      <c r="D201" s="47">
        <f>SUM(D182:D200)</f>
        <v>3933202.33</v>
      </c>
      <c r="E201" s="48" t="s">
        <v>18</v>
      </c>
      <c r="F201" s="47">
        <f>SUM(F182:F200)</f>
        <v>1824688.54</v>
      </c>
      <c r="G201" s="48" t="s">
        <v>18</v>
      </c>
      <c r="H201" s="47">
        <f>SUM(H182:H200)</f>
        <v>2365718.46</v>
      </c>
      <c r="I201" s="48" t="s">
        <v>18</v>
      </c>
      <c r="J201" s="47">
        <f>SUM(J182:J200)</f>
        <v>4562404</v>
      </c>
      <c r="K201" s="48" t="s">
        <v>18</v>
      </c>
      <c r="L201" s="49">
        <f>SUM(L182:L200)</f>
        <v>4516511</v>
      </c>
      <c r="M201" s="50"/>
      <c r="N201" s="50"/>
      <c r="O201" s="50"/>
      <c r="P201" s="50"/>
      <c r="Q201" s="50"/>
      <c r="R201" s="50"/>
      <c r="S201" s="50"/>
      <c r="T201" s="50"/>
      <c r="U201" s="50"/>
      <c r="V201" s="50"/>
    </row>
    <row r="205" spans="1:24">
      <c r="A205" s="235" t="s">
        <v>0</v>
      </c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69"/>
      <c r="N205" s="69"/>
      <c r="O205" s="69"/>
      <c r="P205" s="69"/>
      <c r="Q205" s="69"/>
      <c r="R205" s="69"/>
      <c r="S205" s="69"/>
      <c r="T205" s="69"/>
      <c r="U205" s="69"/>
      <c r="V205" s="69"/>
    </row>
    <row r="207" spans="1:24" customHeight="1" ht="15.6">
      <c r="A207" s="236" t="s">
        <v>1</v>
      </c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4">
      <c r="A208" s="231" t="s">
        <v>2</v>
      </c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10" spans="1:24" customHeight="1" ht="15">
      <c r="A210" s="5" t="s">
        <v>116</v>
      </c>
    </row>
    <row r="211" spans="1:24">
      <c r="A211" s="7"/>
      <c r="B211" s="8"/>
      <c r="C211" s="203" t="s">
        <v>4</v>
      </c>
      <c r="D211" s="204"/>
      <c r="E211" s="205" t="s">
        <v>5</v>
      </c>
      <c r="F211" s="206"/>
      <c r="G211" s="206"/>
      <c r="H211" s="206"/>
      <c r="I211" s="206"/>
      <c r="J211" s="207"/>
      <c r="K211" s="203" t="s">
        <v>6</v>
      </c>
      <c r="L211" s="22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4">
      <c r="A212" s="9" t="s">
        <v>7</v>
      </c>
      <c r="B212" s="10" t="s">
        <v>8</v>
      </c>
      <c r="C212" s="210">
        <v>2024</v>
      </c>
      <c r="D212" s="211"/>
      <c r="E212" s="253" t="s">
        <v>9</v>
      </c>
      <c r="F212" s="226"/>
      <c r="G212" s="253" t="s">
        <v>10</v>
      </c>
      <c r="H212" s="226"/>
      <c r="I212" s="254" t="s">
        <v>11</v>
      </c>
      <c r="J212" s="228"/>
      <c r="K212" s="210">
        <v>2026</v>
      </c>
      <c r="L212" s="229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4" customHeight="1" ht="15">
      <c r="A213" s="13"/>
      <c r="B213" s="14"/>
      <c r="C213" s="220" t="s">
        <v>12</v>
      </c>
      <c r="D213" s="221"/>
      <c r="E213" s="220" t="s">
        <v>12</v>
      </c>
      <c r="F213" s="221"/>
      <c r="G213" s="220" t="s">
        <v>13</v>
      </c>
      <c r="H213" s="221"/>
      <c r="I213" s="216"/>
      <c r="J213" s="217"/>
      <c r="K213" s="220" t="s">
        <v>14</v>
      </c>
      <c r="L213" s="230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4">
      <c r="A214" s="27" t="s">
        <v>53</v>
      </c>
      <c r="B214" s="52"/>
      <c r="C214" s="17"/>
      <c r="D214" s="18"/>
      <c r="E214" s="17"/>
      <c r="F214" s="18"/>
      <c r="G214" s="17"/>
      <c r="H214" s="18"/>
      <c r="I214" s="17"/>
      <c r="J214" s="18"/>
      <c r="K214" s="17"/>
      <c r="L214" s="19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spans="1:24">
      <c r="A215" s="21" t="s">
        <v>54</v>
      </c>
      <c r="B215" s="16" t="s">
        <v>55</v>
      </c>
      <c r="C215" s="17" t="s">
        <v>18</v>
      </c>
      <c r="D215" s="28">
        <v>286653.05</v>
      </c>
      <c r="E215" s="17" t="s">
        <v>18</v>
      </c>
      <c r="F215" s="28">
        <v>118582</v>
      </c>
      <c r="G215" s="17" t="s">
        <v>18</v>
      </c>
      <c r="H215" s="22">
        <f>J215-F215</f>
        <v>131418</v>
      </c>
      <c r="I215" s="17" t="s">
        <v>18</v>
      </c>
      <c r="J215" s="29">
        <v>250000</v>
      </c>
      <c r="K215" s="17" t="s">
        <v>18</v>
      </c>
      <c r="L215" s="30">
        <v>500000</v>
      </c>
      <c r="M215" s="26"/>
      <c r="N215" s="26"/>
      <c r="O215" s="26"/>
      <c r="P215" s="26"/>
      <c r="Q215" s="26"/>
      <c r="R215" s="26"/>
      <c r="S215" s="26"/>
      <c r="T215" s="26"/>
      <c r="U215" s="26"/>
      <c r="V215" s="26"/>
    </row>
    <row r="216" spans="1:24">
      <c r="A216" s="21" t="s">
        <v>56</v>
      </c>
      <c r="B216" s="16" t="s">
        <v>57</v>
      </c>
      <c r="C216" s="17"/>
      <c r="D216" s="147">
        <v>22000</v>
      </c>
      <c r="E216" s="17"/>
      <c r="F216" s="147">
        <v>0</v>
      </c>
      <c r="G216" s="17"/>
      <c r="H216" s="22">
        <f>J216-F216</f>
        <v>50000</v>
      </c>
      <c r="I216" s="17"/>
      <c r="J216" s="148">
        <v>50000</v>
      </c>
      <c r="K216" s="17"/>
      <c r="L216" s="151">
        <v>50000</v>
      </c>
      <c r="M216" s="26"/>
      <c r="N216" s="26"/>
      <c r="O216" s="26"/>
      <c r="P216" s="26"/>
      <c r="Q216" s="26"/>
      <c r="R216" s="26"/>
      <c r="S216" s="26"/>
      <c r="T216" s="26"/>
      <c r="U216" s="26"/>
      <c r="V216" s="26"/>
    </row>
    <row r="217" spans="1:24">
      <c r="A217" s="21" t="s">
        <v>58</v>
      </c>
      <c r="B217" s="16" t="s">
        <v>59</v>
      </c>
      <c r="C217" s="17"/>
      <c r="D217" s="147">
        <v>200000</v>
      </c>
      <c r="E217" s="17"/>
      <c r="F217" s="147">
        <v>201330.91</v>
      </c>
      <c r="G217" s="17"/>
      <c r="H217" s="22">
        <f>J217-F217</f>
        <v>138669.09</v>
      </c>
      <c r="I217" s="17"/>
      <c r="J217" s="148">
        <v>340000</v>
      </c>
      <c r="K217" s="17"/>
      <c r="L217" s="151">
        <v>540000</v>
      </c>
      <c r="M217" s="26"/>
      <c r="N217" s="26"/>
      <c r="O217" s="26"/>
      <c r="P217" s="26"/>
      <c r="Q217" s="26"/>
      <c r="R217" s="26"/>
      <c r="S217" s="26"/>
      <c r="T217" s="26"/>
      <c r="U217" s="26"/>
      <c r="V217" s="26"/>
    </row>
    <row r="218" spans="1:24">
      <c r="A218" s="21" t="s">
        <v>62</v>
      </c>
      <c r="B218" s="16" t="s">
        <v>63</v>
      </c>
      <c r="C218" s="17"/>
      <c r="D218" s="147">
        <v>30000</v>
      </c>
      <c r="E218" s="17"/>
      <c r="F218" s="147">
        <v>111929</v>
      </c>
      <c r="G218" s="17"/>
      <c r="H218" s="22">
        <f>J218-F218</f>
        <v>188071</v>
      </c>
      <c r="I218" s="17"/>
      <c r="J218" s="148">
        <v>300000</v>
      </c>
      <c r="K218" s="17"/>
      <c r="L218" s="151">
        <v>300000</v>
      </c>
      <c r="M218" s="26"/>
      <c r="N218" s="26"/>
      <c r="O218" s="26"/>
      <c r="P218" s="26"/>
      <c r="Q218" s="26"/>
      <c r="R218" s="26"/>
      <c r="S218" s="26"/>
      <c r="T218" s="26"/>
      <c r="U218" s="26"/>
      <c r="V218" s="26"/>
    </row>
    <row r="219" spans="1:24">
      <c r="A219" s="21" t="s">
        <v>68</v>
      </c>
      <c r="B219" s="16" t="s">
        <v>69</v>
      </c>
      <c r="C219" s="17"/>
      <c r="D219" s="147">
        <v>0</v>
      </c>
      <c r="E219" s="17"/>
      <c r="F219" s="147">
        <v>0</v>
      </c>
      <c r="G219" s="17"/>
      <c r="H219" s="22">
        <f>J219-F219</f>
        <v>10000</v>
      </c>
      <c r="I219" s="17"/>
      <c r="J219" s="148">
        <v>10000</v>
      </c>
      <c r="K219" s="17"/>
      <c r="L219" s="151">
        <v>10000</v>
      </c>
      <c r="M219" s="26"/>
      <c r="N219" s="26"/>
      <c r="O219" s="26"/>
      <c r="P219" s="26"/>
      <c r="Q219" s="26"/>
      <c r="R219" s="26"/>
      <c r="S219" s="26"/>
      <c r="T219" s="26"/>
      <c r="U219" s="26"/>
      <c r="V219" s="26"/>
    </row>
    <row r="220" spans="1:24">
      <c r="A220" s="21" t="s">
        <v>70</v>
      </c>
      <c r="B220" s="16" t="s">
        <v>71</v>
      </c>
      <c r="C220" s="17"/>
      <c r="D220" s="147">
        <v>132000</v>
      </c>
      <c r="E220" s="17"/>
      <c r="F220" s="147">
        <v>66000</v>
      </c>
      <c r="G220" s="17"/>
      <c r="H220" s="22">
        <f>J220-F220</f>
        <v>142000</v>
      </c>
      <c r="I220" s="17"/>
      <c r="J220" s="148">
        <v>208000</v>
      </c>
      <c r="K220" s="17"/>
      <c r="L220" s="151">
        <v>144000</v>
      </c>
      <c r="M220" s="26"/>
      <c r="N220" s="89"/>
      <c r="O220" s="89"/>
      <c r="P220" s="89"/>
      <c r="Q220" s="89"/>
      <c r="R220" s="89"/>
      <c r="S220" s="89"/>
      <c r="T220" s="26"/>
      <c r="U220" s="26"/>
      <c r="V220" s="26"/>
    </row>
    <row r="221" spans="1:24">
      <c r="A221" s="21" t="s">
        <v>72</v>
      </c>
      <c r="B221" s="16" t="s">
        <v>73</v>
      </c>
      <c r="C221" s="17"/>
      <c r="D221" s="147">
        <v>27085.19</v>
      </c>
      <c r="E221" s="17"/>
      <c r="F221" s="147">
        <v>12153.18</v>
      </c>
      <c r="G221" s="17"/>
      <c r="H221" s="22">
        <f>J221-F221</f>
        <v>37846.82</v>
      </c>
      <c r="I221" s="17"/>
      <c r="J221" s="148">
        <v>50000</v>
      </c>
      <c r="K221" s="17"/>
      <c r="L221" s="151">
        <v>50000</v>
      </c>
      <c r="M221" s="26"/>
      <c r="N221" s="26"/>
      <c r="O221" s="26"/>
      <c r="P221" s="26"/>
      <c r="Q221" s="26"/>
      <c r="R221" s="26"/>
      <c r="S221" s="26"/>
      <c r="T221" s="26"/>
      <c r="U221" s="26"/>
      <c r="V221" s="26"/>
    </row>
    <row r="222" spans="1:24">
      <c r="A222" s="21" t="s">
        <v>76</v>
      </c>
      <c r="B222" s="16" t="s">
        <v>77</v>
      </c>
      <c r="C222" s="17"/>
      <c r="D222" s="147">
        <v>32000</v>
      </c>
      <c r="E222" s="17"/>
      <c r="F222" s="147">
        <v>0</v>
      </c>
      <c r="G222" s="17"/>
      <c r="H222" s="22">
        <f>J222-F222</f>
        <v>100000</v>
      </c>
      <c r="I222" s="17"/>
      <c r="J222" s="148">
        <v>100000</v>
      </c>
      <c r="K222" s="17"/>
      <c r="L222" s="151">
        <v>0</v>
      </c>
      <c r="M222" s="26"/>
      <c r="N222" s="26"/>
      <c r="O222" s="26"/>
      <c r="P222" s="26"/>
      <c r="Q222" s="26"/>
      <c r="R222" s="26"/>
      <c r="S222" s="26"/>
      <c r="T222" s="26"/>
      <c r="U222" s="26"/>
      <c r="V222" s="26"/>
    </row>
    <row r="223" spans="1:24">
      <c r="A223" s="21" t="s">
        <v>78</v>
      </c>
      <c r="B223" s="16" t="s">
        <v>79</v>
      </c>
      <c r="C223" s="17"/>
      <c r="D223" s="147">
        <v>546525</v>
      </c>
      <c r="E223" s="17"/>
      <c r="F223" s="147">
        <v>224000</v>
      </c>
      <c r="G223" s="17"/>
      <c r="H223" s="22">
        <f>J223-F223</f>
        <v>476000</v>
      </c>
      <c r="I223" s="17"/>
      <c r="J223" s="148">
        <v>700000</v>
      </c>
      <c r="K223" s="17"/>
      <c r="L223" s="151">
        <v>1300000</v>
      </c>
      <c r="M223" s="26"/>
      <c r="N223" s="26"/>
      <c r="O223" s="26"/>
      <c r="P223" s="26"/>
      <c r="Q223" s="26"/>
      <c r="R223" s="26"/>
      <c r="S223" s="26"/>
      <c r="T223" s="26"/>
      <c r="U223" s="26"/>
      <c r="V223" s="26"/>
    </row>
    <row r="224" spans="1:24">
      <c r="A224" s="21" t="s">
        <v>80</v>
      </c>
      <c r="B224" s="16" t="s">
        <v>81</v>
      </c>
      <c r="C224" s="17"/>
      <c r="D224" s="147">
        <v>13500</v>
      </c>
      <c r="E224" s="17"/>
      <c r="F224" s="147">
        <v>8000</v>
      </c>
      <c r="G224" s="17"/>
      <c r="H224" s="22">
        <f>J224-F224</f>
        <v>92000</v>
      </c>
      <c r="I224" s="17"/>
      <c r="J224" s="148">
        <v>100000</v>
      </c>
      <c r="K224" s="17"/>
      <c r="L224" s="151">
        <v>100000</v>
      </c>
      <c r="M224" s="26"/>
      <c r="N224" s="26"/>
      <c r="O224" s="26"/>
      <c r="P224" s="26"/>
      <c r="Q224" s="26"/>
      <c r="R224" s="26"/>
      <c r="S224" s="26"/>
      <c r="T224" s="26"/>
      <c r="U224" s="26"/>
      <c r="V224" s="26"/>
    </row>
    <row r="225" spans="1:24">
      <c r="A225" s="21" t="s">
        <v>82</v>
      </c>
      <c r="B225" s="16" t="s">
        <v>83</v>
      </c>
      <c r="C225" s="17"/>
      <c r="D225" s="147">
        <v>4669</v>
      </c>
      <c r="E225" s="17"/>
      <c r="F225" s="147">
        <v>2000</v>
      </c>
      <c r="G225" s="17"/>
      <c r="H225" s="22">
        <f>J225-F225</f>
        <v>48000</v>
      </c>
      <c r="I225" s="17"/>
      <c r="J225" s="148">
        <v>50000</v>
      </c>
      <c r="K225" s="17"/>
      <c r="L225" s="151">
        <v>50000</v>
      </c>
      <c r="M225" s="26"/>
      <c r="N225" s="26"/>
      <c r="O225" s="26"/>
      <c r="P225" s="26"/>
      <c r="Q225" s="26"/>
      <c r="R225" s="26"/>
      <c r="S225" s="26"/>
      <c r="T225" s="26"/>
      <c r="U225" s="26"/>
      <c r="V225" s="26"/>
    </row>
    <row r="226" spans="1:24">
      <c r="A226" s="21" t="s">
        <v>84</v>
      </c>
      <c r="B226" s="16" t="s">
        <v>85</v>
      </c>
      <c r="C226" s="17"/>
      <c r="D226" s="147">
        <v>52500</v>
      </c>
      <c r="E226" s="17"/>
      <c r="F226" s="147">
        <v>0</v>
      </c>
      <c r="G226" s="17"/>
      <c r="H226" s="22">
        <f>J226-F226</f>
        <v>50000</v>
      </c>
      <c r="I226" s="17"/>
      <c r="J226" s="148">
        <v>50000</v>
      </c>
      <c r="K226" s="17"/>
      <c r="L226" s="151">
        <v>50000</v>
      </c>
      <c r="M226" s="26"/>
      <c r="N226" s="26"/>
      <c r="O226" s="26"/>
      <c r="P226" s="26"/>
      <c r="Q226" s="26"/>
      <c r="R226" s="26"/>
      <c r="S226" s="26"/>
      <c r="T226" s="26"/>
      <c r="U226" s="26"/>
      <c r="V226" s="26"/>
    </row>
    <row r="227" spans="1:24">
      <c r="A227" s="21" t="s">
        <v>86</v>
      </c>
      <c r="B227" s="16" t="s">
        <v>87</v>
      </c>
      <c r="C227" s="17"/>
      <c r="D227" s="147"/>
      <c r="E227" s="23"/>
      <c r="F227" s="147">
        <v>8346</v>
      </c>
      <c r="G227" s="23"/>
      <c r="H227" s="22">
        <f>J227-F227</f>
        <v>21654</v>
      </c>
      <c r="I227" s="23"/>
      <c r="J227" s="148">
        <v>30000</v>
      </c>
      <c r="K227" s="17"/>
      <c r="L227" s="151">
        <v>30000</v>
      </c>
      <c r="M227" s="26"/>
      <c r="N227" s="26"/>
      <c r="O227" s="26"/>
      <c r="P227" s="26"/>
      <c r="Q227" s="26"/>
      <c r="R227" s="26"/>
      <c r="S227" s="26"/>
      <c r="T227" s="26"/>
      <c r="U227" s="26"/>
      <c r="V227" s="26"/>
    </row>
    <row r="228" spans="1:24">
      <c r="A228" s="21" t="s">
        <v>90</v>
      </c>
      <c r="B228" s="16" t="s">
        <v>91</v>
      </c>
      <c r="C228" s="17"/>
      <c r="D228" s="147">
        <v>0</v>
      </c>
      <c r="E228" s="17"/>
      <c r="F228" s="147">
        <v>168000</v>
      </c>
      <c r="G228" s="17"/>
      <c r="H228" s="22">
        <f>J228-F228</f>
        <v>32000</v>
      </c>
      <c r="I228" s="17"/>
      <c r="J228" s="148">
        <v>200000</v>
      </c>
      <c r="K228" s="17"/>
      <c r="L228" s="151">
        <v>200000</v>
      </c>
      <c r="M228" s="26"/>
      <c r="N228" s="26"/>
      <c r="O228" s="26"/>
      <c r="P228" s="26"/>
      <c r="Q228" s="26"/>
      <c r="R228" s="26"/>
      <c r="S228" s="26"/>
      <c r="T228" s="26"/>
      <c r="U228" s="26"/>
      <c r="V228" s="26"/>
    </row>
    <row r="229" spans="1:24" customHeight="1" ht="15">
      <c r="A229" s="21" t="s">
        <v>92</v>
      </c>
      <c r="B229" s="16" t="s">
        <v>93</v>
      </c>
      <c r="C229" s="17"/>
      <c r="D229" s="41">
        <v>300872.52</v>
      </c>
      <c r="E229" s="17"/>
      <c r="F229" s="41">
        <v>112675</v>
      </c>
      <c r="G229" s="17"/>
      <c r="H229" s="157">
        <f>J229-F229</f>
        <v>174965</v>
      </c>
      <c r="I229" s="17"/>
      <c r="J229" s="54">
        <v>287640</v>
      </c>
      <c r="K229" s="17"/>
      <c r="L229" s="55">
        <v>101640</v>
      </c>
      <c r="M229" s="26"/>
      <c r="N229" s="26"/>
      <c r="O229" s="26"/>
      <c r="P229" s="26"/>
      <c r="Q229" s="26"/>
      <c r="R229" s="26"/>
      <c r="S229" s="26"/>
      <c r="T229" s="26"/>
      <c r="U229" s="26"/>
      <c r="V229" s="26"/>
    </row>
    <row r="230" spans="1:24" customHeight="1" ht="15">
      <c r="A230" s="44" t="s">
        <v>94</v>
      </c>
      <c r="B230" s="45"/>
      <c r="C230" s="48" t="s">
        <v>18</v>
      </c>
      <c r="D230" s="47">
        <f>SUM(D215:D229)</f>
        <v>1647804.76</v>
      </c>
      <c r="E230" s="48" t="s">
        <v>18</v>
      </c>
      <c r="F230" s="47">
        <f>SUM(F215:F229)</f>
        <v>1033016.09</v>
      </c>
      <c r="G230" s="48" t="s">
        <v>18</v>
      </c>
      <c r="H230" s="47">
        <f>SUM(H215:H229)</f>
        <v>1692623.91</v>
      </c>
      <c r="I230" s="48" t="s">
        <v>18</v>
      </c>
      <c r="J230" s="47">
        <f>SUM(J215:J229)</f>
        <v>2725640</v>
      </c>
      <c r="K230" s="48" t="s">
        <v>18</v>
      </c>
      <c r="L230" s="49">
        <f>SUM(L215:L229)</f>
        <v>3425640</v>
      </c>
      <c r="M230" s="50"/>
      <c r="N230" s="50"/>
      <c r="O230" s="50"/>
      <c r="P230" s="50"/>
      <c r="Q230" s="50"/>
      <c r="R230" s="50"/>
      <c r="S230" s="50"/>
      <c r="T230" s="50"/>
      <c r="U230" s="50"/>
      <c r="V230" s="50"/>
    </row>
    <row r="231" spans="1:24">
      <c r="B231" s="144"/>
      <c r="C231" s="20"/>
      <c r="D231" s="56"/>
      <c r="E231" s="59"/>
      <c r="F231" s="56"/>
      <c r="G231" s="59"/>
      <c r="H231" s="56"/>
      <c r="I231" s="59"/>
      <c r="J231" s="56"/>
      <c r="K231" s="59"/>
      <c r="L231" s="56"/>
      <c r="M231" s="56"/>
      <c r="N231" s="50"/>
      <c r="O231" s="50"/>
      <c r="P231" s="50"/>
      <c r="Q231" s="50"/>
      <c r="R231" s="50"/>
      <c r="S231" s="50"/>
      <c r="T231" s="50"/>
      <c r="U231" s="50"/>
      <c r="V231" s="50"/>
    </row>
    <row r="232" spans="1:24">
      <c r="B232" s="144"/>
      <c r="C232" s="20"/>
      <c r="D232" s="56"/>
      <c r="E232" s="59"/>
      <c r="F232" s="56"/>
      <c r="G232" s="59"/>
      <c r="H232" s="56"/>
      <c r="I232" s="59"/>
      <c r="J232" s="56"/>
      <c r="K232" s="59"/>
      <c r="L232" s="56"/>
      <c r="M232" s="56"/>
      <c r="N232" s="50"/>
      <c r="O232" s="50"/>
      <c r="P232" s="50"/>
      <c r="Q232" s="50"/>
      <c r="R232" s="50"/>
      <c r="S232" s="50"/>
      <c r="T232" s="50"/>
      <c r="U232" s="50"/>
      <c r="V232" s="50"/>
    </row>
    <row r="233" spans="1:24">
      <c r="B233" s="144"/>
      <c r="C233" s="20"/>
      <c r="D233" s="56"/>
      <c r="E233" s="59"/>
      <c r="F233" s="56"/>
      <c r="G233" s="59"/>
      <c r="H233" s="56"/>
      <c r="I233" s="59"/>
      <c r="J233" s="56"/>
      <c r="K233" s="59"/>
      <c r="L233" s="56"/>
      <c r="M233" s="56"/>
      <c r="N233" s="50"/>
      <c r="O233" s="50"/>
      <c r="P233" s="50"/>
      <c r="Q233" s="50"/>
      <c r="R233" s="50"/>
      <c r="S233" s="50"/>
      <c r="T233" s="50"/>
      <c r="U233" s="50"/>
      <c r="V233" s="50"/>
    </row>
    <row r="234" spans="1:24">
      <c r="B234" s="144"/>
      <c r="C234" s="20"/>
      <c r="D234" s="56"/>
      <c r="E234" s="59"/>
      <c r="F234" s="56"/>
      <c r="G234" s="59"/>
      <c r="H234" s="56"/>
      <c r="I234" s="59"/>
      <c r="J234" s="56"/>
      <c r="K234" s="59"/>
      <c r="L234" s="56"/>
      <c r="M234" s="56"/>
      <c r="N234" s="50"/>
      <c r="O234" s="50"/>
      <c r="P234" s="50"/>
      <c r="Q234" s="50"/>
      <c r="R234" s="50"/>
      <c r="S234" s="50"/>
      <c r="T234" s="50"/>
      <c r="U234" s="50"/>
      <c r="V234" s="50"/>
    </row>
    <row r="235" spans="1:24">
      <c r="B235" s="144"/>
      <c r="C235" s="20"/>
      <c r="D235" s="56"/>
      <c r="E235" s="59"/>
      <c r="F235" s="56"/>
      <c r="G235" s="59"/>
      <c r="H235" s="56"/>
      <c r="I235" s="59"/>
      <c r="J235" s="56"/>
      <c r="K235" s="59"/>
      <c r="L235" s="56"/>
      <c r="M235" s="56"/>
      <c r="N235" s="50"/>
      <c r="O235" s="50"/>
      <c r="P235" s="50"/>
      <c r="Q235" s="50"/>
      <c r="R235" s="50"/>
      <c r="S235" s="50"/>
      <c r="T235" s="50"/>
      <c r="U235" s="50"/>
      <c r="V235" s="50"/>
    </row>
    <row r="236" spans="1:24">
      <c r="B236" s="144"/>
      <c r="C236" s="20"/>
      <c r="D236" s="56"/>
      <c r="E236" s="59"/>
      <c r="F236" s="56"/>
      <c r="G236" s="59"/>
      <c r="H236" s="56"/>
      <c r="I236" s="59"/>
      <c r="J236" s="56"/>
      <c r="K236" s="59"/>
      <c r="L236" s="56"/>
      <c r="M236" s="56"/>
      <c r="N236" s="50"/>
      <c r="O236" s="50"/>
      <c r="P236" s="50"/>
      <c r="Q236" s="50"/>
      <c r="R236" s="50"/>
      <c r="S236" s="50"/>
      <c r="T236" s="50"/>
      <c r="U236" s="50"/>
      <c r="V236" s="50"/>
    </row>
    <row r="237" spans="1:24">
      <c r="B237" s="144"/>
      <c r="C237" s="20"/>
      <c r="D237" s="56"/>
      <c r="E237" s="59"/>
      <c r="F237" s="56"/>
      <c r="G237" s="59"/>
      <c r="H237" s="56"/>
      <c r="I237" s="59"/>
      <c r="J237" s="56"/>
      <c r="K237" s="59"/>
      <c r="L237" s="56"/>
      <c r="M237" s="56"/>
      <c r="N237" s="50"/>
      <c r="O237" s="50"/>
      <c r="P237" s="50"/>
      <c r="Q237" s="50"/>
      <c r="R237" s="50"/>
      <c r="S237" s="50"/>
      <c r="T237" s="50"/>
      <c r="U237" s="50"/>
      <c r="V237" s="50"/>
    </row>
    <row r="238" spans="1:24">
      <c r="B238" s="144"/>
      <c r="C238" s="20"/>
      <c r="D238" s="56"/>
      <c r="E238" s="59"/>
      <c r="F238" s="56"/>
      <c r="G238" s="59"/>
      <c r="H238" s="56"/>
      <c r="I238" s="59"/>
      <c r="J238" s="56"/>
      <c r="K238" s="59"/>
      <c r="L238" s="56"/>
      <c r="M238" s="56"/>
      <c r="N238" s="50"/>
      <c r="O238" s="50"/>
      <c r="P238" s="50"/>
      <c r="Q238" s="50"/>
      <c r="R238" s="50"/>
      <c r="S238" s="50"/>
      <c r="T238" s="50"/>
      <c r="U238" s="50"/>
      <c r="V238" s="50"/>
    </row>
    <row r="239" spans="1:24">
      <c r="A239" s="235" t="s">
        <v>0</v>
      </c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69"/>
      <c r="N239" s="69"/>
      <c r="O239" s="69"/>
      <c r="P239" s="69"/>
      <c r="Q239" s="69"/>
      <c r="R239" s="69"/>
      <c r="S239" s="69"/>
      <c r="T239" s="69"/>
      <c r="U239" s="69"/>
      <c r="V239" s="69"/>
    </row>
    <row r="241" spans="1:24" customHeight="1" ht="15.6">
      <c r="A241" s="236" t="s">
        <v>1</v>
      </c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4">
      <c r="A242" s="231" t="s">
        <v>2</v>
      </c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4" spans="1:24" customHeight="1" ht="15">
      <c r="A244" s="5" t="s">
        <v>116</v>
      </c>
    </row>
    <row r="245" spans="1:24">
      <c r="A245" s="7"/>
      <c r="B245" s="8"/>
      <c r="C245" s="203" t="s">
        <v>4</v>
      </c>
      <c r="D245" s="204"/>
      <c r="E245" s="205" t="s">
        <v>5</v>
      </c>
      <c r="F245" s="206"/>
      <c r="G245" s="206"/>
      <c r="H245" s="206"/>
      <c r="I245" s="206"/>
      <c r="J245" s="207"/>
      <c r="K245" s="203" t="s">
        <v>6</v>
      </c>
      <c r="L245" s="22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4">
      <c r="A246" s="9" t="s">
        <v>7</v>
      </c>
      <c r="B246" s="10" t="s">
        <v>8</v>
      </c>
      <c r="C246" s="210">
        <v>2024</v>
      </c>
      <c r="D246" s="211"/>
      <c r="E246" s="253" t="s">
        <v>9</v>
      </c>
      <c r="F246" s="226"/>
      <c r="G246" s="253" t="s">
        <v>10</v>
      </c>
      <c r="H246" s="226"/>
      <c r="I246" s="254" t="s">
        <v>11</v>
      </c>
      <c r="J246" s="228"/>
      <c r="K246" s="210">
        <v>2026</v>
      </c>
      <c r="L246" s="229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4" customHeight="1" ht="15">
      <c r="A247" s="13"/>
      <c r="B247" s="14"/>
      <c r="C247" s="220" t="s">
        <v>12</v>
      </c>
      <c r="D247" s="221"/>
      <c r="E247" s="220" t="s">
        <v>12</v>
      </c>
      <c r="F247" s="221"/>
      <c r="G247" s="220" t="s">
        <v>13</v>
      </c>
      <c r="H247" s="221"/>
      <c r="I247" s="216"/>
      <c r="J247" s="217"/>
      <c r="K247" s="220" t="s">
        <v>14</v>
      </c>
      <c r="L247" s="230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4">
      <c r="A248" s="27" t="s">
        <v>95</v>
      </c>
      <c r="B248" s="52"/>
      <c r="C248" s="17"/>
      <c r="D248" s="28"/>
      <c r="E248" s="17"/>
      <c r="F248" s="28"/>
      <c r="G248" s="17"/>
      <c r="H248" s="28"/>
      <c r="I248" s="17"/>
      <c r="J248" s="28"/>
      <c r="K248" s="17"/>
      <c r="L248" s="30"/>
      <c r="M248" s="26"/>
      <c r="N248" s="26"/>
      <c r="O248" s="26"/>
      <c r="P248" s="26"/>
      <c r="Q248" s="26"/>
      <c r="R248" s="26"/>
      <c r="S248" s="26"/>
      <c r="T248" s="26"/>
      <c r="U248" s="26"/>
      <c r="V248" s="26"/>
    </row>
    <row r="249" spans="1:24">
      <c r="A249" s="21" t="s">
        <v>96</v>
      </c>
      <c r="B249" s="16" t="s">
        <v>97</v>
      </c>
      <c r="C249" s="17" t="s">
        <v>18</v>
      </c>
      <c r="D249" s="22">
        <v>0</v>
      </c>
      <c r="E249" s="17" t="s">
        <v>18</v>
      </c>
      <c r="F249" s="22">
        <v>198000</v>
      </c>
      <c r="G249" s="17" t="s">
        <v>18</v>
      </c>
      <c r="H249" s="22">
        <f>J249-F249</f>
        <v>2000</v>
      </c>
      <c r="I249" s="17" t="s">
        <v>18</v>
      </c>
      <c r="J249" s="22">
        <v>200000</v>
      </c>
      <c r="K249" s="17" t="s">
        <v>18</v>
      </c>
      <c r="L249" s="25">
        <v>400000</v>
      </c>
      <c r="M249" s="26"/>
      <c r="N249" s="26"/>
      <c r="O249" s="26"/>
      <c r="P249" s="26"/>
      <c r="Q249" s="26"/>
      <c r="R249" s="26"/>
      <c r="S249" s="26"/>
      <c r="T249" s="26"/>
      <c r="U249" s="26"/>
      <c r="V249" s="26"/>
    </row>
    <row r="250" spans="1:24">
      <c r="A250" s="21" t="s">
        <v>117</v>
      </c>
      <c r="B250" s="16" t="s">
        <v>118</v>
      </c>
      <c r="C250" s="17"/>
      <c r="D250" s="37">
        <v>0</v>
      </c>
      <c r="E250" s="17"/>
      <c r="F250" s="37">
        <v>190000</v>
      </c>
      <c r="G250" s="17"/>
      <c r="H250" s="22">
        <f>J250-F250</f>
        <v>210000</v>
      </c>
      <c r="I250" s="17"/>
      <c r="J250" s="37">
        <v>400000</v>
      </c>
      <c r="K250" s="17"/>
      <c r="L250" s="33">
        <v>0</v>
      </c>
      <c r="M250" s="26"/>
      <c r="N250" s="26"/>
      <c r="O250" s="26"/>
      <c r="P250" s="26"/>
      <c r="Q250" s="26"/>
      <c r="R250" s="26"/>
      <c r="S250" s="26"/>
      <c r="T250" s="26"/>
      <c r="U250" s="26"/>
      <c r="V250" s="26"/>
    </row>
    <row r="251" spans="1:24" customHeight="1" ht="15">
      <c r="A251" s="21" t="s">
        <v>119</v>
      </c>
      <c r="B251" s="16" t="s">
        <v>120</v>
      </c>
      <c r="C251" s="17"/>
      <c r="D251" s="28">
        <v>1669200</v>
      </c>
      <c r="E251" s="17"/>
      <c r="F251" s="28">
        <v>0</v>
      </c>
      <c r="G251" s="17"/>
      <c r="H251" s="22">
        <f>J251-F251</f>
        <v>0</v>
      </c>
      <c r="I251" s="17"/>
      <c r="J251" s="28">
        <v>0</v>
      </c>
      <c r="K251" s="17"/>
      <c r="L251" s="30"/>
      <c r="M251" s="26"/>
      <c r="N251" s="26"/>
      <c r="O251" s="26"/>
      <c r="P251" s="26"/>
      <c r="Q251" s="26"/>
      <c r="R251" s="26"/>
      <c r="S251" s="26"/>
      <c r="T251" s="26"/>
      <c r="U251" s="26"/>
      <c r="V251" s="26"/>
    </row>
    <row r="252" spans="1:24" customHeight="1" ht="15">
      <c r="A252" s="27" t="s">
        <v>98</v>
      </c>
      <c r="B252" s="16"/>
      <c r="C252" s="56" t="s">
        <v>18</v>
      </c>
      <c r="D252" s="77">
        <f>SUM(D249:D251)</f>
        <v>1669200</v>
      </c>
      <c r="E252" s="56" t="s">
        <v>18</v>
      </c>
      <c r="F252" s="77">
        <f>SUM(F249:F251)</f>
        <v>388000</v>
      </c>
      <c r="G252" s="56" t="s">
        <v>18</v>
      </c>
      <c r="H252" s="77">
        <f>SUM(H249:H251)</f>
        <v>212000</v>
      </c>
      <c r="I252" s="56" t="s">
        <v>18</v>
      </c>
      <c r="J252" s="77">
        <f>SUM(J249:J251)</f>
        <v>600000</v>
      </c>
      <c r="K252" s="56" t="s">
        <v>18</v>
      </c>
      <c r="L252" s="111">
        <f>SUM(L249:L251)</f>
        <v>400000</v>
      </c>
      <c r="M252" s="59"/>
      <c r="N252" s="59"/>
      <c r="O252" s="59"/>
      <c r="P252" s="59"/>
      <c r="Q252" s="59"/>
      <c r="R252" s="59"/>
      <c r="S252" s="59"/>
      <c r="T252" s="59"/>
      <c r="U252" s="59"/>
      <c r="V252" s="59"/>
    </row>
    <row r="253" spans="1:24" customHeight="1" ht="15">
      <c r="A253" s="79" t="s">
        <v>99</v>
      </c>
      <c r="B253" s="80"/>
      <c r="C253" s="81" t="s">
        <v>18</v>
      </c>
      <c r="D253" s="82">
        <f>D201+D230+D252</f>
        <v>7250207.09</v>
      </c>
      <c r="E253" s="83" t="s">
        <v>18</v>
      </c>
      <c r="F253" s="82">
        <f>F201+F230+F252</f>
        <v>3245704.63</v>
      </c>
      <c r="G253" s="83" t="s">
        <v>18</v>
      </c>
      <c r="H253" s="82">
        <f>H201+H230+H252</f>
        <v>4270342.37</v>
      </c>
      <c r="I253" s="83" t="s">
        <v>18</v>
      </c>
      <c r="J253" s="82">
        <f>J201+J230+J252</f>
        <v>7888044</v>
      </c>
      <c r="K253" s="83" t="s">
        <v>18</v>
      </c>
      <c r="L253" s="84">
        <f>L201+L230+L252</f>
        <v>8342151</v>
      </c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X253" s="51"/>
    </row>
    <row r="254" spans="1:24" customHeight="1" ht="15">
      <c r="A254" s="5"/>
      <c r="C254" s="56"/>
      <c r="D254" s="59"/>
      <c r="E254" s="56"/>
      <c r="F254" s="59"/>
      <c r="G254" s="56"/>
      <c r="H254" s="59"/>
      <c r="I254" s="56"/>
      <c r="J254" s="59"/>
      <c r="K254" s="56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X254" s="51"/>
    </row>
    <row r="255" spans="1:24">
      <c r="A255" s="5"/>
      <c r="C255" s="56"/>
      <c r="D255" s="59"/>
      <c r="E255" s="56"/>
      <c r="F255" s="59"/>
      <c r="G255" s="56"/>
      <c r="H255" s="59"/>
      <c r="I255" s="56"/>
      <c r="J255" s="59"/>
      <c r="K255" s="56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X255" s="51"/>
    </row>
    <row r="256" spans="1:24">
      <c r="A256" s="5"/>
      <c r="C256" s="56"/>
      <c r="D256" s="59"/>
      <c r="E256" s="56"/>
      <c r="F256" s="59"/>
      <c r="G256" s="56"/>
      <c r="H256" s="59"/>
      <c r="I256" s="56"/>
      <c r="J256" s="59"/>
      <c r="K256" s="56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X256" s="51"/>
    </row>
    <row r="257" spans="1:24">
      <c r="A257" s="5"/>
      <c r="C257" s="56"/>
      <c r="D257" s="59"/>
      <c r="E257" s="56"/>
      <c r="F257" s="59"/>
      <c r="G257" s="56"/>
      <c r="H257" s="59"/>
      <c r="I257" s="56"/>
      <c r="J257" s="59"/>
      <c r="K257" s="56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X257" s="51"/>
    </row>
    <row r="258" spans="1:24">
      <c r="A258" s="5"/>
      <c r="C258" s="56"/>
      <c r="D258" s="59"/>
      <c r="E258" s="56"/>
      <c r="F258" s="59"/>
      <c r="G258" s="56"/>
      <c r="H258" s="59"/>
      <c r="I258" s="56"/>
      <c r="J258" s="59"/>
      <c r="K258" s="56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X258" s="51"/>
    </row>
    <row r="259" spans="1:24">
      <c r="A259" s="5"/>
      <c r="C259" s="56"/>
      <c r="D259" s="59"/>
      <c r="E259" s="56"/>
      <c r="F259" s="59"/>
      <c r="G259" s="56"/>
      <c r="H259" s="59"/>
      <c r="I259" s="56"/>
      <c r="J259" s="59"/>
      <c r="K259" s="56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X259" s="51"/>
    </row>
    <row r="260" spans="1:24">
      <c r="A260" t="s">
        <v>100</v>
      </c>
      <c r="B260" t="s">
        <v>101</v>
      </c>
      <c r="G260" t="s">
        <v>102</v>
      </c>
    </row>
    <row r="261" spans="1:24">
      <c r="A261" t="s">
        <v>121</v>
      </c>
      <c r="D261" s="200" t="s">
        <v>113</v>
      </c>
      <c r="J261" s="200" t="s">
        <v>112</v>
      </c>
    </row>
    <row r="262" spans="1:24">
      <c r="A262" s="4" t="s">
        <v>122</v>
      </c>
      <c r="B262" s="231" t="s">
        <v>107</v>
      </c>
      <c r="C262" s="231"/>
      <c r="D262" s="231"/>
      <c r="E262" s="231"/>
      <c r="F262" s="231"/>
      <c r="H262" s="231" t="s">
        <v>106</v>
      </c>
      <c r="I262" s="231"/>
      <c r="J262" s="231"/>
      <c r="K262" s="231"/>
      <c r="L262" s="231"/>
      <c r="M262" s="4"/>
      <c r="N262" s="66"/>
      <c r="O262" s="66"/>
      <c r="P262" s="66"/>
      <c r="Q262" s="66"/>
      <c r="R262" s="66"/>
      <c r="S262" s="66"/>
      <c r="T262" s="66"/>
      <c r="U262" s="66"/>
      <c r="V262" s="66"/>
    </row>
    <row r="263" spans="1:24">
      <c r="A263" s="158" t="s">
        <v>123</v>
      </c>
      <c r="B263" s="232" t="s">
        <v>109</v>
      </c>
      <c r="C263" s="232"/>
      <c r="D263" s="232"/>
      <c r="E263" s="232"/>
      <c r="F263" s="232"/>
      <c r="H263" s="232" t="s">
        <v>108</v>
      </c>
      <c r="I263" s="232"/>
      <c r="J263" s="232"/>
      <c r="K263" s="232"/>
      <c r="L263" s="232"/>
      <c r="M263" s="158"/>
      <c r="N263" s="68"/>
      <c r="O263" s="68"/>
      <c r="P263" s="68"/>
      <c r="Q263" s="68"/>
      <c r="R263" s="68"/>
      <c r="S263" s="68"/>
      <c r="T263" s="68"/>
      <c r="U263" s="68"/>
      <c r="V263" s="68"/>
    </row>
    <row r="273" spans="1:24">
      <c r="A273" s="235" t="s">
        <v>0</v>
      </c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69"/>
      <c r="N273" s="69"/>
      <c r="O273" s="69"/>
      <c r="P273" s="69"/>
      <c r="Q273" s="69"/>
      <c r="R273" s="69"/>
      <c r="S273" s="69"/>
      <c r="T273" s="69"/>
      <c r="U273" s="69"/>
      <c r="V273" s="69"/>
    </row>
    <row r="275" spans="1:24" customHeight="1" ht="15.6">
      <c r="A275" s="236" t="s">
        <v>1</v>
      </c>
      <c r="B275" s="236"/>
      <c r="C275" s="236"/>
      <c r="D275" s="236"/>
      <c r="E275" s="236"/>
      <c r="F275" s="236"/>
      <c r="G275" s="236"/>
      <c r="H275" s="236"/>
      <c r="I275" s="236"/>
      <c r="J275" s="236"/>
      <c r="K275" s="236"/>
      <c r="L275" s="236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4">
      <c r="A276" s="231" t="s">
        <v>2</v>
      </c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8" spans="1:24">
      <c r="A278" s="5" t="s">
        <v>124</v>
      </c>
    </row>
    <row r="279" spans="1:24" customHeight="1" ht="15"/>
    <row r="280" spans="1:24">
      <c r="A280" s="7"/>
      <c r="B280" s="8"/>
      <c r="C280" s="203" t="s">
        <v>4</v>
      </c>
      <c r="D280" s="204"/>
      <c r="E280" s="205" t="s">
        <v>5</v>
      </c>
      <c r="F280" s="206"/>
      <c r="G280" s="206"/>
      <c r="H280" s="206"/>
      <c r="I280" s="206"/>
      <c r="J280" s="207"/>
      <c r="K280" s="203" t="s">
        <v>6</v>
      </c>
      <c r="L280" s="22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4">
      <c r="A281" s="9" t="s">
        <v>7</v>
      </c>
      <c r="B281" s="10" t="s">
        <v>8</v>
      </c>
      <c r="C281" s="210">
        <v>2024</v>
      </c>
      <c r="D281" s="211"/>
      <c r="E281" s="251" t="s">
        <v>9</v>
      </c>
      <c r="F281" s="226"/>
      <c r="G281" s="251" t="s">
        <v>10</v>
      </c>
      <c r="H281" s="226"/>
      <c r="I281" s="252" t="s">
        <v>11</v>
      </c>
      <c r="J281" s="228"/>
      <c r="K281" s="210">
        <v>2026</v>
      </c>
      <c r="L281" s="229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4" customHeight="1" ht="15">
      <c r="A282" s="13"/>
      <c r="B282" s="14"/>
      <c r="C282" s="220" t="s">
        <v>12</v>
      </c>
      <c r="D282" s="221"/>
      <c r="E282" s="220" t="s">
        <v>12</v>
      </c>
      <c r="F282" s="221"/>
      <c r="G282" s="220" t="s">
        <v>13</v>
      </c>
      <c r="H282" s="221"/>
      <c r="I282" s="216"/>
      <c r="J282" s="217"/>
      <c r="K282" s="220" t="s">
        <v>14</v>
      </c>
      <c r="L282" s="230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4">
      <c r="A283" s="15" t="s">
        <v>15</v>
      </c>
      <c r="B283" s="16"/>
      <c r="C283" s="17"/>
      <c r="D283" s="18"/>
      <c r="E283" s="17"/>
      <c r="F283" s="18"/>
      <c r="G283" s="17"/>
      <c r="H283" s="18"/>
      <c r="I283" s="17"/>
      <c r="J283" s="18"/>
      <c r="K283" s="17"/>
      <c r="L283" s="19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spans="1:24">
      <c r="A284" s="21" t="s">
        <v>16</v>
      </c>
      <c r="B284" s="16" t="s">
        <v>17</v>
      </c>
      <c r="C284" s="17" t="s">
        <v>18</v>
      </c>
      <c r="D284" s="22">
        <v>8801811.35</v>
      </c>
      <c r="E284" s="17" t="s">
        <v>18</v>
      </c>
      <c r="F284" s="22">
        <v>4162213</v>
      </c>
      <c r="G284" s="17" t="s">
        <v>18</v>
      </c>
      <c r="H284" s="22">
        <f>J284-F284</f>
        <v>5108015</v>
      </c>
      <c r="I284" s="17" t="s">
        <v>18</v>
      </c>
      <c r="J284" s="22">
        <v>9270228</v>
      </c>
      <c r="K284" s="17" t="s">
        <v>18</v>
      </c>
      <c r="L284" s="25">
        <v>10519084</v>
      </c>
      <c r="M284" s="26"/>
      <c r="N284" s="26"/>
      <c r="O284" s="26"/>
      <c r="P284" s="26"/>
      <c r="Q284" s="26"/>
      <c r="R284" s="26"/>
      <c r="S284" s="26"/>
      <c r="T284" s="26"/>
      <c r="U284" s="26"/>
      <c r="V284" s="26"/>
    </row>
    <row r="285" spans="1:24">
      <c r="A285" s="27" t="s">
        <v>19</v>
      </c>
      <c r="B285" s="16"/>
      <c r="C285" s="17"/>
      <c r="D285" s="28"/>
      <c r="E285" s="17"/>
      <c r="F285" s="28"/>
      <c r="G285" s="17"/>
      <c r="H285" s="28"/>
      <c r="I285" s="17"/>
      <c r="J285" s="28"/>
      <c r="K285" s="17"/>
      <c r="L285" s="30"/>
      <c r="M285" s="26"/>
      <c r="N285" s="26"/>
      <c r="O285" s="26"/>
      <c r="P285" s="26"/>
      <c r="Q285" s="26"/>
      <c r="R285" s="26"/>
      <c r="S285" s="26"/>
      <c r="T285" s="26"/>
      <c r="U285" s="26"/>
      <c r="V285" s="26"/>
    </row>
    <row r="286" spans="1:24">
      <c r="A286" s="21" t="s">
        <v>20</v>
      </c>
      <c r="B286" s="16" t="s">
        <v>21</v>
      </c>
      <c r="C286" s="17"/>
      <c r="D286" s="28">
        <v>240000</v>
      </c>
      <c r="E286" s="17"/>
      <c r="F286" s="28">
        <v>100000</v>
      </c>
      <c r="G286" s="17"/>
      <c r="H286" s="22">
        <f>J286-F286</f>
        <v>140000</v>
      </c>
      <c r="I286" s="17"/>
      <c r="J286" s="28">
        <v>240000</v>
      </c>
      <c r="K286" s="17"/>
      <c r="L286" s="30">
        <v>240000</v>
      </c>
      <c r="M286" s="26"/>
      <c r="N286" s="26"/>
      <c r="O286" s="26"/>
      <c r="P286" s="26"/>
      <c r="Q286" s="26"/>
      <c r="R286" s="26"/>
      <c r="S286" s="26"/>
      <c r="T286" s="26"/>
      <c r="U286" s="26"/>
      <c r="V286" s="26"/>
    </row>
    <row r="287" spans="1:24">
      <c r="A287" s="21" t="s">
        <v>22</v>
      </c>
      <c r="B287" s="16" t="s">
        <v>23</v>
      </c>
      <c r="C287" s="17"/>
      <c r="D287" s="37">
        <v>816000</v>
      </c>
      <c r="E287" s="17"/>
      <c r="F287" s="37">
        <v>340000</v>
      </c>
      <c r="G287" s="17"/>
      <c r="H287" s="22">
        <f>J287-F287</f>
        <v>476000</v>
      </c>
      <c r="I287" s="17"/>
      <c r="J287" s="37">
        <v>816000</v>
      </c>
      <c r="K287" s="17"/>
      <c r="L287" s="33">
        <v>816000</v>
      </c>
      <c r="M287" s="26"/>
      <c r="N287" s="26"/>
      <c r="O287" s="26"/>
      <c r="P287" s="26"/>
      <c r="Q287" s="26"/>
      <c r="R287" s="26"/>
      <c r="S287" s="26"/>
      <c r="T287" s="26"/>
      <c r="U287" s="26"/>
      <c r="V287" s="26"/>
    </row>
    <row r="288" spans="1:24">
      <c r="A288" s="21" t="s">
        <v>24</v>
      </c>
      <c r="B288" s="16" t="s">
        <v>25</v>
      </c>
      <c r="C288" s="17"/>
      <c r="D288" s="37">
        <v>816000</v>
      </c>
      <c r="E288" s="17"/>
      <c r="F288" s="37">
        <v>340000</v>
      </c>
      <c r="G288" s="17"/>
      <c r="H288" s="22">
        <f>J288-F288</f>
        <v>476000</v>
      </c>
      <c r="I288" s="17"/>
      <c r="J288" s="37">
        <v>816000</v>
      </c>
      <c r="K288" s="17"/>
      <c r="L288" s="33">
        <v>816000</v>
      </c>
      <c r="M288" s="26"/>
      <c r="N288" s="26"/>
      <c r="O288" s="26"/>
      <c r="P288" s="26"/>
      <c r="Q288" s="26"/>
      <c r="R288" s="26"/>
      <c r="S288" s="26"/>
      <c r="T288" s="26"/>
      <c r="U288" s="26"/>
      <c r="V288" s="26"/>
    </row>
    <row r="289" spans="1:24">
      <c r="A289" s="21" t="s">
        <v>26</v>
      </c>
      <c r="B289" s="16" t="s">
        <v>27</v>
      </c>
      <c r="C289" s="17"/>
      <c r="D289" s="37">
        <v>70000</v>
      </c>
      <c r="E289" s="17"/>
      <c r="F289" s="37">
        <v>70000</v>
      </c>
      <c r="G289" s="17"/>
      <c r="H289" s="22">
        <f>J289-F289</f>
        <v>0</v>
      </c>
      <c r="I289" s="17"/>
      <c r="J289" s="37">
        <v>70000</v>
      </c>
      <c r="K289" s="17"/>
      <c r="L289" s="33">
        <v>70000</v>
      </c>
      <c r="M289" s="26"/>
      <c r="N289" s="26"/>
      <c r="O289" s="26"/>
      <c r="P289" s="26"/>
      <c r="Q289" s="26"/>
      <c r="R289" s="26"/>
      <c r="S289" s="26"/>
      <c r="T289" s="26"/>
      <c r="U289" s="26"/>
      <c r="V289" s="26"/>
    </row>
    <row r="290" spans="1:24">
      <c r="A290" s="21" t="s">
        <v>28</v>
      </c>
      <c r="B290" s="16" t="s">
        <v>29</v>
      </c>
      <c r="C290" s="17"/>
      <c r="D290" s="37">
        <v>50000</v>
      </c>
      <c r="E290" s="17"/>
      <c r="F290" s="37">
        <v>0</v>
      </c>
      <c r="G290" s="17"/>
      <c r="H290" s="22">
        <f>J290-F290</f>
        <v>50000</v>
      </c>
      <c r="I290" s="17"/>
      <c r="J290" s="37">
        <v>50000</v>
      </c>
      <c r="K290" s="17"/>
      <c r="L290" s="33">
        <v>0</v>
      </c>
      <c r="M290" s="26"/>
      <c r="N290" s="26"/>
      <c r="O290" s="26"/>
      <c r="P290" s="26"/>
      <c r="Q290" s="26"/>
      <c r="R290" s="26"/>
      <c r="S290" s="26"/>
      <c r="T290" s="26"/>
      <c r="U290" s="26"/>
      <c r="V290" s="26"/>
    </row>
    <row r="291" spans="1:24">
      <c r="A291" s="21" t="s">
        <v>30</v>
      </c>
      <c r="B291" s="16" t="s">
        <v>31</v>
      </c>
      <c r="C291" s="17"/>
      <c r="D291" s="37">
        <v>200000</v>
      </c>
      <c r="E291" s="17"/>
      <c r="F291" s="37">
        <v>0</v>
      </c>
      <c r="G291" s="17"/>
      <c r="H291" s="22">
        <f>J291-F291</f>
        <v>200000</v>
      </c>
      <c r="I291" s="17"/>
      <c r="J291" s="37">
        <v>200000</v>
      </c>
      <c r="K291" s="17"/>
      <c r="L291" s="33">
        <v>0</v>
      </c>
      <c r="M291" s="26"/>
      <c r="N291" s="26"/>
      <c r="O291" s="26"/>
      <c r="P291" s="26"/>
      <c r="Q291" s="26"/>
      <c r="R291" s="26"/>
      <c r="S291" s="26"/>
      <c r="T291" s="26"/>
      <c r="U291" s="26"/>
      <c r="V291" s="26"/>
    </row>
    <row r="292" spans="1:24">
      <c r="A292" s="21" t="s">
        <v>32</v>
      </c>
      <c r="B292" s="16" t="s">
        <v>33</v>
      </c>
      <c r="C292" s="17"/>
      <c r="D292" s="37">
        <v>756766</v>
      </c>
      <c r="E292" s="17"/>
      <c r="F292" s="37">
        <v>0</v>
      </c>
      <c r="G292" s="17"/>
      <c r="H292" s="22">
        <f>J292-F292</f>
        <v>957236</v>
      </c>
      <c r="I292" s="17"/>
      <c r="J292" s="37">
        <v>957236</v>
      </c>
      <c r="K292" s="17"/>
      <c r="L292" s="33">
        <v>1038983</v>
      </c>
      <c r="M292" s="26"/>
      <c r="N292" s="26"/>
      <c r="O292" s="26"/>
      <c r="P292" s="26"/>
      <c r="Q292" s="26"/>
      <c r="R292" s="26"/>
      <c r="S292" s="26"/>
      <c r="T292" s="26"/>
      <c r="U292" s="26"/>
      <c r="V292" s="26"/>
    </row>
    <row r="293" spans="1:24">
      <c r="A293" s="21" t="s">
        <v>34</v>
      </c>
      <c r="B293" s="16" t="s">
        <v>35</v>
      </c>
      <c r="C293" s="17"/>
      <c r="D293" s="37">
        <v>50000</v>
      </c>
      <c r="E293" s="17"/>
      <c r="F293" s="37">
        <v>0</v>
      </c>
      <c r="G293" s="17"/>
      <c r="H293" s="22">
        <f>J293-F293</f>
        <v>50000</v>
      </c>
      <c r="I293" s="17"/>
      <c r="J293" s="37">
        <v>50000</v>
      </c>
      <c r="K293" s="17"/>
      <c r="L293" s="33">
        <v>50000</v>
      </c>
      <c r="M293" s="26"/>
      <c r="N293" s="26"/>
      <c r="O293" s="26"/>
      <c r="P293" s="26"/>
      <c r="Q293" s="26"/>
      <c r="R293" s="26"/>
      <c r="S293" s="26"/>
      <c r="T293" s="26"/>
      <c r="U293" s="26"/>
      <c r="V293" s="26"/>
    </row>
    <row r="294" spans="1:24">
      <c r="A294" s="21" t="s">
        <v>36</v>
      </c>
      <c r="B294" s="16" t="s">
        <v>37</v>
      </c>
      <c r="C294" s="17"/>
      <c r="D294" s="37">
        <v>724168</v>
      </c>
      <c r="E294" s="17"/>
      <c r="F294" s="37">
        <v>756766</v>
      </c>
      <c r="G294" s="17"/>
      <c r="H294" s="22">
        <f>J294-F294</f>
        <v>0</v>
      </c>
      <c r="I294" s="17"/>
      <c r="J294" s="37">
        <v>756766</v>
      </c>
      <c r="K294" s="17"/>
      <c r="L294" s="33">
        <v>795394</v>
      </c>
      <c r="M294" s="26"/>
      <c r="N294" s="26"/>
      <c r="O294" s="26"/>
      <c r="P294" s="26"/>
      <c r="Q294" s="26"/>
      <c r="R294" s="26"/>
      <c r="S294" s="26"/>
      <c r="T294" s="26"/>
      <c r="U294" s="26"/>
      <c r="V294" s="26"/>
    </row>
    <row r="295" spans="1:24">
      <c r="A295" s="27" t="s">
        <v>38</v>
      </c>
      <c r="B295" s="16"/>
      <c r="C295" s="17"/>
      <c r="D295" s="28"/>
      <c r="E295" s="17"/>
      <c r="F295" s="28"/>
      <c r="G295" s="17"/>
      <c r="H295" s="28"/>
      <c r="I295" s="17"/>
      <c r="J295" s="28"/>
      <c r="K295" s="17"/>
      <c r="L295" s="30"/>
      <c r="M295" s="26"/>
      <c r="N295" s="26"/>
      <c r="O295" s="26"/>
      <c r="P295" s="26"/>
      <c r="Q295" s="26"/>
      <c r="R295" s="26"/>
      <c r="S295" s="26"/>
      <c r="T295" s="26"/>
      <c r="U295" s="26"/>
      <c r="V295" s="26"/>
    </row>
    <row r="296" spans="1:24">
      <c r="A296" s="21" t="s">
        <v>39</v>
      </c>
      <c r="B296" s="16" t="s">
        <v>40</v>
      </c>
      <c r="C296" s="17"/>
      <c r="D296" s="28">
        <v>1058448.96</v>
      </c>
      <c r="E296" s="17"/>
      <c r="F296" s="28">
        <v>454059.6</v>
      </c>
      <c r="G296" s="17"/>
      <c r="H296" s="22">
        <f>J296-F296</f>
        <v>658364.4</v>
      </c>
      <c r="I296" s="17"/>
      <c r="J296" s="28">
        <v>1112424</v>
      </c>
      <c r="K296" s="17"/>
      <c r="L296" s="30">
        <v>1262370</v>
      </c>
      <c r="M296" s="26"/>
      <c r="N296" s="26"/>
      <c r="O296" s="26"/>
      <c r="P296" s="26"/>
      <c r="Q296" s="26"/>
      <c r="R296" s="26"/>
      <c r="S296" s="26"/>
      <c r="T296" s="26"/>
      <c r="U296" s="26"/>
      <c r="V296" s="26"/>
    </row>
    <row r="297" spans="1:24">
      <c r="A297" s="21" t="s">
        <v>41</v>
      </c>
      <c r="B297" s="16" t="s">
        <v>42</v>
      </c>
      <c r="C297" s="17"/>
      <c r="D297" s="37">
        <v>23000</v>
      </c>
      <c r="E297" s="17"/>
      <c r="F297" s="37">
        <v>10000</v>
      </c>
      <c r="G297" s="17"/>
      <c r="H297" s="22">
        <f>J297-F297</f>
        <v>14000</v>
      </c>
      <c r="I297" s="17"/>
      <c r="J297" s="37">
        <v>24000</v>
      </c>
      <c r="K297" s="17"/>
      <c r="L297" s="33">
        <v>24000</v>
      </c>
      <c r="M297" s="26"/>
      <c r="N297" s="26"/>
      <c r="O297" s="26"/>
      <c r="P297" s="26"/>
      <c r="Q297" s="26"/>
      <c r="R297" s="26"/>
      <c r="S297" s="26"/>
      <c r="T297" s="26"/>
      <c r="U297" s="26"/>
      <c r="V297" s="26"/>
    </row>
    <row r="298" spans="1:24">
      <c r="A298" s="21" t="s">
        <v>43</v>
      </c>
      <c r="B298" s="16" t="s">
        <v>44</v>
      </c>
      <c r="C298" s="17"/>
      <c r="D298" s="37">
        <v>220510.2</v>
      </c>
      <c r="E298" s="17"/>
      <c r="F298" s="37">
        <v>94595.75</v>
      </c>
      <c r="G298" s="17"/>
      <c r="H298" s="22">
        <f>J298-F298</f>
        <v>137165.25</v>
      </c>
      <c r="I298" s="17"/>
      <c r="J298" s="37">
        <v>231761</v>
      </c>
      <c r="K298" s="17"/>
      <c r="L298" s="33">
        <v>263080</v>
      </c>
      <c r="M298" s="26"/>
      <c r="N298" s="26"/>
      <c r="O298" s="26"/>
      <c r="P298" s="26"/>
      <c r="Q298" s="26"/>
      <c r="R298" s="26"/>
      <c r="S298" s="26"/>
      <c r="T298" s="26"/>
      <c r="U298" s="26"/>
      <c r="V298" s="26"/>
    </row>
    <row r="299" spans="1:24">
      <c r="A299" s="21" t="s">
        <v>45</v>
      </c>
      <c r="B299" s="16" t="s">
        <v>46</v>
      </c>
      <c r="C299" s="17"/>
      <c r="D299" s="37">
        <v>12000</v>
      </c>
      <c r="E299" s="17"/>
      <c r="F299" s="37">
        <v>5000</v>
      </c>
      <c r="G299" s="17"/>
      <c r="H299" s="22">
        <f>J299-F299</f>
        <v>7000</v>
      </c>
      <c r="I299" s="17"/>
      <c r="J299" s="37">
        <v>12000</v>
      </c>
      <c r="K299" s="17"/>
      <c r="L299" s="33">
        <v>12000</v>
      </c>
      <c r="M299" s="26"/>
      <c r="N299" s="26"/>
      <c r="O299" s="26"/>
      <c r="P299" s="26"/>
      <c r="Q299" s="26"/>
      <c r="R299" s="26"/>
      <c r="S299" s="26"/>
      <c r="T299" s="26"/>
      <c r="U299" s="26"/>
      <c r="V299" s="26"/>
    </row>
    <row r="300" spans="1:24">
      <c r="A300" s="27" t="s">
        <v>47</v>
      </c>
      <c r="B300" s="16"/>
      <c r="C300" s="23"/>
      <c r="D300" s="28"/>
      <c r="E300" s="17"/>
      <c r="F300" s="28"/>
      <c r="G300" s="17"/>
      <c r="H300" s="28"/>
      <c r="I300" s="17"/>
      <c r="J300" s="28"/>
      <c r="K300" s="17"/>
      <c r="L300" s="30"/>
      <c r="M300" s="26"/>
      <c r="N300" s="26"/>
      <c r="O300" s="26"/>
      <c r="P300" s="26"/>
      <c r="Q300" s="26"/>
      <c r="R300" s="26"/>
      <c r="S300" s="26"/>
      <c r="T300" s="26"/>
      <c r="U300" s="26"/>
      <c r="V300" s="26"/>
    </row>
    <row r="301" spans="1:24">
      <c r="A301" s="40" t="s">
        <v>48</v>
      </c>
      <c r="B301" s="16" t="s">
        <v>49</v>
      </c>
      <c r="C301" s="17"/>
      <c r="D301" s="22">
        <v>419089.47</v>
      </c>
      <c r="E301" s="17"/>
      <c r="F301" s="22">
        <v>0</v>
      </c>
      <c r="G301" s="17"/>
      <c r="H301" s="22">
        <f>J301-F301</f>
        <v>1357321</v>
      </c>
      <c r="I301" s="17"/>
      <c r="J301" s="22">
        <v>1357321</v>
      </c>
      <c r="K301" s="17"/>
      <c r="L301" s="25">
        <v>0</v>
      </c>
      <c r="M301" s="26"/>
      <c r="N301" s="26"/>
      <c r="O301" s="26"/>
      <c r="P301" s="26"/>
      <c r="Q301" s="26"/>
      <c r="R301" s="26"/>
      <c r="S301" s="26"/>
      <c r="T301" s="26"/>
      <c r="U301" s="26"/>
      <c r="V301" s="26"/>
    </row>
    <row r="302" spans="1:24" customHeight="1" ht="15">
      <c r="A302" s="40" t="s">
        <v>50</v>
      </c>
      <c r="B302" s="16" t="s">
        <v>51</v>
      </c>
      <c r="C302" s="17"/>
      <c r="D302" s="41">
        <v>0</v>
      </c>
      <c r="E302" s="17"/>
      <c r="F302" s="41">
        <v>70000</v>
      </c>
      <c r="G302" s="17"/>
      <c r="H302" s="41">
        <v>0</v>
      </c>
      <c r="I302" s="17"/>
      <c r="J302" s="41">
        <v>70000</v>
      </c>
      <c r="K302" s="17"/>
      <c r="L302" s="55">
        <v>70000</v>
      </c>
      <c r="M302" s="26"/>
      <c r="N302" s="26"/>
      <c r="O302" s="26"/>
      <c r="P302" s="26"/>
      <c r="Q302" s="26"/>
      <c r="R302" s="26"/>
      <c r="S302" s="26"/>
      <c r="T302" s="26"/>
      <c r="U302" s="26"/>
      <c r="V302" s="26"/>
    </row>
    <row r="303" spans="1:24" customHeight="1" ht="15">
      <c r="A303" s="44" t="s">
        <v>52</v>
      </c>
      <c r="B303" s="45"/>
      <c r="C303" s="46" t="s">
        <v>18</v>
      </c>
      <c r="D303" s="47">
        <f>SUM(D284:D302)</f>
        <v>14257793.98</v>
      </c>
      <c r="E303" s="48" t="s">
        <v>18</v>
      </c>
      <c r="F303" s="47">
        <f>SUM(F284:F302)</f>
        <v>6402634.35</v>
      </c>
      <c r="G303" s="48" t="s">
        <v>18</v>
      </c>
      <c r="H303" s="47">
        <f>SUM(H284:H302)</f>
        <v>9631101.65</v>
      </c>
      <c r="I303" s="48" t="s">
        <v>18</v>
      </c>
      <c r="J303" s="47">
        <f>SUM(J284:J302)</f>
        <v>16033736</v>
      </c>
      <c r="K303" s="48" t="s">
        <v>18</v>
      </c>
      <c r="L303" s="49">
        <f>SUM(L284:L302)</f>
        <v>15976911</v>
      </c>
      <c r="M303" s="50"/>
      <c r="N303" s="50"/>
      <c r="O303" s="50"/>
      <c r="P303" s="50"/>
      <c r="Q303" s="50"/>
      <c r="R303" s="50"/>
      <c r="S303" s="50"/>
      <c r="T303" s="50"/>
      <c r="U303" s="50"/>
      <c r="V303" s="50"/>
    </row>
    <row r="307" spans="1:24">
      <c r="A307" s="235" t="s">
        <v>0</v>
      </c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69"/>
      <c r="N307" s="69"/>
      <c r="O307" s="69"/>
      <c r="P307" s="69"/>
      <c r="Q307" s="69"/>
      <c r="R307" s="69"/>
      <c r="S307" s="69"/>
      <c r="T307" s="69"/>
      <c r="U307" s="69"/>
      <c r="V307" s="69"/>
    </row>
    <row r="309" spans="1:24" customHeight="1" ht="15.6">
      <c r="A309" s="236" t="s">
        <v>1</v>
      </c>
      <c r="B309" s="236"/>
      <c r="C309" s="236"/>
      <c r="D309" s="236"/>
      <c r="E309" s="236"/>
      <c r="F309" s="236"/>
      <c r="G309" s="236"/>
      <c r="H309" s="236"/>
      <c r="I309" s="236"/>
      <c r="J309" s="236"/>
      <c r="K309" s="236"/>
      <c r="L309" s="236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4">
      <c r="A310" s="231" t="s">
        <v>2</v>
      </c>
      <c r="B310" s="231"/>
      <c r="C310" s="231"/>
      <c r="D310" s="231"/>
      <c r="E310" s="231"/>
      <c r="F310" s="231"/>
      <c r="G310" s="231"/>
      <c r="H310" s="231"/>
      <c r="I310" s="231"/>
      <c r="J310" s="231"/>
      <c r="K310" s="231"/>
      <c r="L310" s="231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2" spans="1:24">
      <c r="A312" s="5" t="s">
        <v>124</v>
      </c>
    </row>
    <row r="313" spans="1:24" customHeight="1" ht="15"/>
    <row r="314" spans="1:24">
      <c r="A314" s="7"/>
      <c r="B314" s="8"/>
      <c r="C314" s="203" t="s">
        <v>4</v>
      </c>
      <c r="D314" s="204"/>
      <c r="E314" s="205" t="s">
        <v>5</v>
      </c>
      <c r="F314" s="206"/>
      <c r="G314" s="206"/>
      <c r="H314" s="206"/>
      <c r="I314" s="206"/>
      <c r="J314" s="207"/>
      <c r="K314" s="203" t="s">
        <v>6</v>
      </c>
      <c r="L314" s="22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4">
      <c r="A315" s="9" t="s">
        <v>7</v>
      </c>
      <c r="B315" s="10" t="s">
        <v>8</v>
      </c>
      <c r="C315" s="210">
        <v>2024</v>
      </c>
      <c r="D315" s="211"/>
      <c r="E315" s="251" t="s">
        <v>9</v>
      </c>
      <c r="F315" s="226"/>
      <c r="G315" s="251" t="s">
        <v>10</v>
      </c>
      <c r="H315" s="226"/>
      <c r="I315" s="252" t="s">
        <v>11</v>
      </c>
      <c r="J315" s="228"/>
      <c r="K315" s="210">
        <v>2026</v>
      </c>
      <c r="L315" s="229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4" customHeight="1" ht="15">
      <c r="A316" s="13"/>
      <c r="B316" s="14"/>
      <c r="C316" s="220" t="s">
        <v>12</v>
      </c>
      <c r="D316" s="221"/>
      <c r="E316" s="220" t="s">
        <v>12</v>
      </c>
      <c r="F316" s="221"/>
      <c r="G316" s="220" t="s">
        <v>13</v>
      </c>
      <c r="H316" s="221"/>
      <c r="I316" s="216"/>
      <c r="J316" s="217"/>
      <c r="K316" s="220" t="s">
        <v>14</v>
      </c>
      <c r="L316" s="230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4">
      <c r="A317" s="27" t="s">
        <v>53</v>
      </c>
      <c r="B317" s="52"/>
      <c r="C317" s="17"/>
      <c r="D317" s="18"/>
      <c r="E317" s="17"/>
      <c r="F317" s="18"/>
      <c r="G317" s="17"/>
      <c r="H317" s="18"/>
      <c r="I317" s="17"/>
      <c r="J317" s="18"/>
      <c r="K317" s="17"/>
      <c r="L317" s="19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spans="1:24">
      <c r="A318" s="21" t="s">
        <v>54</v>
      </c>
      <c r="B318" s="16" t="s">
        <v>55</v>
      </c>
      <c r="C318" s="17" t="s">
        <v>18</v>
      </c>
      <c r="D318" s="28">
        <v>1300000</v>
      </c>
      <c r="E318" s="17" t="s">
        <v>18</v>
      </c>
      <c r="F318" s="28">
        <v>308670</v>
      </c>
      <c r="G318" s="17" t="s">
        <v>18</v>
      </c>
      <c r="H318" s="22">
        <f>J318-F318</f>
        <v>500330</v>
      </c>
      <c r="I318" s="17" t="s">
        <v>18</v>
      </c>
      <c r="J318" s="29">
        <v>809000</v>
      </c>
      <c r="K318" s="17" t="s">
        <v>18</v>
      </c>
      <c r="L318" s="30">
        <v>1500000</v>
      </c>
      <c r="M318" s="26"/>
      <c r="N318" s="26"/>
      <c r="O318" s="26"/>
      <c r="P318" s="26"/>
      <c r="Q318" s="26"/>
      <c r="R318" s="26"/>
      <c r="S318" s="26"/>
      <c r="T318" s="26"/>
      <c r="U318" s="26"/>
      <c r="V318" s="26"/>
    </row>
    <row r="319" spans="1:24">
      <c r="A319" s="21" t="s">
        <v>58</v>
      </c>
      <c r="B319" s="16" t="s">
        <v>59</v>
      </c>
      <c r="C319" s="17"/>
      <c r="D319" s="37">
        <v>51523.05</v>
      </c>
      <c r="E319" s="17"/>
      <c r="F319" s="37">
        <v>0</v>
      </c>
      <c r="G319" s="17"/>
      <c r="H319" s="22">
        <f>J319-F319</f>
        <v>272000</v>
      </c>
      <c r="I319" s="17"/>
      <c r="J319" s="38">
        <v>272000</v>
      </c>
      <c r="K319" s="17"/>
      <c r="L319" s="33">
        <v>550000</v>
      </c>
      <c r="M319" s="26"/>
      <c r="N319" s="26"/>
      <c r="O319" s="26"/>
      <c r="P319" s="26"/>
      <c r="Q319" s="26"/>
      <c r="R319" s="26"/>
      <c r="S319" s="26"/>
      <c r="T319" s="26"/>
      <c r="U319" s="26"/>
      <c r="V319" s="26"/>
    </row>
    <row r="320" spans="1:24">
      <c r="A320" s="21" t="s">
        <v>70</v>
      </c>
      <c r="B320" s="16" t="s">
        <v>71</v>
      </c>
      <c r="C320" s="17"/>
      <c r="D320" s="37">
        <v>600000</v>
      </c>
      <c r="E320" s="17"/>
      <c r="F320" s="37">
        <v>300000</v>
      </c>
      <c r="G320" s="17"/>
      <c r="H320" s="22">
        <f>J320-F320</f>
        <v>300000</v>
      </c>
      <c r="I320" s="17"/>
      <c r="J320" s="38">
        <v>600000</v>
      </c>
      <c r="K320" s="17"/>
      <c r="L320" s="33">
        <v>600000</v>
      </c>
      <c r="M320" s="26"/>
      <c r="N320" s="26"/>
      <c r="O320" s="26"/>
      <c r="P320" s="26"/>
      <c r="Q320" s="26"/>
      <c r="R320" s="26"/>
      <c r="S320" s="26"/>
      <c r="T320" s="26"/>
      <c r="U320" s="26"/>
      <c r="V320" s="26"/>
    </row>
    <row r="321" spans="1:24">
      <c r="A321" s="21" t="s">
        <v>125</v>
      </c>
      <c r="B321" s="16" t="s">
        <v>81</v>
      </c>
      <c r="C321" s="17"/>
      <c r="D321" s="37">
        <v>0</v>
      </c>
      <c r="E321" s="17"/>
      <c r="F321" s="37">
        <v>8000</v>
      </c>
      <c r="G321" s="17"/>
      <c r="H321" s="22">
        <f>J321-F321</f>
        <v>16500</v>
      </c>
      <c r="I321" s="17"/>
      <c r="J321" s="38">
        <v>24500</v>
      </c>
      <c r="K321" s="17"/>
      <c r="L321" s="33">
        <v>44500</v>
      </c>
      <c r="M321" s="26"/>
      <c r="N321" s="26"/>
      <c r="O321" s="26"/>
      <c r="P321" s="26"/>
      <c r="Q321" s="26"/>
      <c r="R321" s="26"/>
      <c r="S321" s="26"/>
      <c r="T321" s="26"/>
      <c r="U321" s="26"/>
      <c r="V321" s="26"/>
    </row>
    <row r="322" spans="1:24" customHeight="1" ht="15">
      <c r="A322" s="21" t="s">
        <v>92</v>
      </c>
      <c r="B322" s="16" t="s">
        <v>93</v>
      </c>
      <c r="C322" s="17"/>
      <c r="D322" s="41">
        <v>343336.79</v>
      </c>
      <c r="E322" s="17"/>
      <c r="F322" s="41">
        <v>88225</v>
      </c>
      <c r="G322" s="17"/>
      <c r="H322" s="171">
        <f>J322-F322</f>
        <v>200775</v>
      </c>
      <c r="I322" s="17"/>
      <c r="J322" s="54">
        <v>289000</v>
      </c>
      <c r="K322" s="17"/>
      <c r="L322" s="55">
        <v>500000</v>
      </c>
      <c r="M322" s="26"/>
      <c r="N322" s="26"/>
      <c r="O322" s="26"/>
      <c r="P322" s="26"/>
      <c r="Q322" s="26"/>
      <c r="R322" s="26"/>
      <c r="S322" s="26"/>
      <c r="T322" s="26"/>
      <c r="U322" s="26"/>
      <c r="V322" s="26"/>
    </row>
    <row r="323" spans="1:24" customHeight="1" ht="15">
      <c r="A323" s="27" t="s">
        <v>94</v>
      </c>
      <c r="B323" s="52"/>
      <c r="C323" s="56" t="s">
        <v>18</v>
      </c>
      <c r="D323" s="47">
        <f>SUM(D318:D322)</f>
        <v>2294859.84</v>
      </c>
      <c r="E323" s="56" t="s">
        <v>18</v>
      </c>
      <c r="F323" s="47">
        <f>SUM(F318:F322)</f>
        <v>704895</v>
      </c>
      <c r="G323" s="56" t="s">
        <v>18</v>
      </c>
      <c r="H323" s="47">
        <f>SUM(H318:H322)</f>
        <v>1289605</v>
      </c>
      <c r="I323" s="56" t="s">
        <v>18</v>
      </c>
      <c r="J323" s="47">
        <f>SUM(J318:J322)</f>
        <v>1994500</v>
      </c>
      <c r="K323" s="56" t="s">
        <v>18</v>
      </c>
      <c r="L323" s="49">
        <f>SUM(L318:L322)</f>
        <v>3194500</v>
      </c>
      <c r="M323" s="50"/>
      <c r="N323" s="50"/>
      <c r="O323" s="50"/>
      <c r="P323" s="50"/>
      <c r="Q323" s="50"/>
      <c r="R323" s="50"/>
      <c r="S323" s="50"/>
      <c r="T323" s="50"/>
      <c r="U323" s="50"/>
      <c r="V323" s="50"/>
    </row>
    <row r="324" spans="1:24">
      <c r="A324" s="27" t="s">
        <v>95</v>
      </c>
      <c r="B324" s="52"/>
      <c r="C324" s="17"/>
      <c r="D324" s="75"/>
      <c r="E324" s="17"/>
      <c r="F324" s="75"/>
      <c r="G324" s="17"/>
      <c r="H324" s="75"/>
      <c r="I324" s="17"/>
      <c r="J324" s="75"/>
      <c r="K324" s="17"/>
      <c r="L324" s="76"/>
      <c r="M324" s="26"/>
      <c r="N324" s="26"/>
      <c r="O324" s="26"/>
      <c r="P324" s="26"/>
      <c r="Q324" s="26"/>
      <c r="R324" s="26"/>
      <c r="S324" s="26"/>
      <c r="T324" s="26"/>
      <c r="U324" s="26"/>
      <c r="V324" s="26"/>
    </row>
    <row r="325" spans="1:24" customHeight="1" ht="15">
      <c r="A325" s="21" t="s">
        <v>96</v>
      </c>
      <c r="B325" s="16" t="s">
        <v>97</v>
      </c>
      <c r="C325" s="17" t="s">
        <v>18</v>
      </c>
      <c r="D325" s="28">
        <v>0</v>
      </c>
      <c r="E325" s="17" t="s">
        <v>18</v>
      </c>
      <c r="F325" s="28">
        <v>0</v>
      </c>
      <c r="G325" s="17" t="s">
        <v>18</v>
      </c>
      <c r="H325" s="28">
        <v>0</v>
      </c>
      <c r="I325" s="17" t="s">
        <v>18</v>
      </c>
      <c r="J325" s="28">
        <v>0</v>
      </c>
      <c r="K325" s="17" t="s">
        <v>18</v>
      </c>
      <c r="L325" s="30">
        <v>150000</v>
      </c>
      <c r="M325" s="26"/>
      <c r="N325" s="26"/>
      <c r="O325" s="26"/>
      <c r="P325" s="26"/>
      <c r="Q325" s="26"/>
      <c r="R325" s="26"/>
      <c r="S325" s="26"/>
      <c r="T325" s="26"/>
      <c r="U325" s="26"/>
      <c r="V325" s="26"/>
    </row>
    <row r="326" spans="1:24" customHeight="1" ht="15">
      <c r="A326" s="27" t="s">
        <v>98</v>
      </c>
      <c r="B326" s="16"/>
      <c r="C326" s="56" t="s">
        <v>18</v>
      </c>
      <c r="D326" s="77">
        <f>SUM(D325)</f>
        <v>0</v>
      </c>
      <c r="E326" s="56" t="s">
        <v>18</v>
      </c>
      <c r="F326" s="77">
        <f>SUM(F325)</f>
        <v>0</v>
      </c>
      <c r="G326" s="56" t="s">
        <v>18</v>
      </c>
      <c r="H326" s="77">
        <f>SUM(H325)</f>
        <v>0</v>
      </c>
      <c r="I326" s="56" t="s">
        <v>18</v>
      </c>
      <c r="J326" s="77">
        <f>SUM(J325)</f>
        <v>0</v>
      </c>
      <c r="K326" s="56" t="s">
        <v>18</v>
      </c>
      <c r="L326" s="78">
        <f>SUM(L325)</f>
        <v>150000</v>
      </c>
      <c r="M326" s="50"/>
      <c r="N326" s="50"/>
      <c r="O326" s="50"/>
      <c r="P326" s="50"/>
      <c r="Q326" s="50"/>
      <c r="R326" s="50"/>
      <c r="S326" s="50"/>
      <c r="T326" s="50"/>
      <c r="U326" s="50"/>
      <c r="V326" s="50"/>
    </row>
    <row r="327" spans="1:24" customHeight="1" ht="15">
      <c r="A327" s="79" t="s">
        <v>99</v>
      </c>
      <c r="B327" s="90"/>
      <c r="C327" s="81" t="s">
        <v>18</v>
      </c>
      <c r="D327" s="82">
        <f>D303+D323+D326</f>
        <v>16552653.82</v>
      </c>
      <c r="E327" s="83" t="s">
        <v>18</v>
      </c>
      <c r="F327" s="82">
        <f>F303+F323+F326</f>
        <v>7107529.35</v>
      </c>
      <c r="G327" s="83" t="s">
        <v>18</v>
      </c>
      <c r="H327" s="82">
        <f>H303+H323+H326</f>
        <v>10920706.65</v>
      </c>
      <c r="I327" s="83" t="s">
        <v>18</v>
      </c>
      <c r="J327" s="82">
        <f>J303+J323+J326</f>
        <v>18028236</v>
      </c>
      <c r="K327" s="83" t="s">
        <v>18</v>
      </c>
      <c r="L327" s="84">
        <f>L303+L323+L326</f>
        <v>19321411</v>
      </c>
      <c r="M327" s="50"/>
      <c r="N327" s="50"/>
      <c r="O327" s="50"/>
      <c r="P327" s="50"/>
      <c r="Q327" s="50"/>
      <c r="R327" s="50"/>
      <c r="S327" s="50"/>
      <c r="T327" s="50"/>
      <c r="U327" s="50"/>
      <c r="V327" s="50"/>
    </row>
    <row r="328" spans="1:24" customHeight="1" ht="15">
      <c r="A328" s="5"/>
      <c r="B328" s="17"/>
      <c r="C328" s="56"/>
      <c r="D328" s="59"/>
      <c r="E328" s="56"/>
      <c r="F328" s="59"/>
      <c r="G328" s="56"/>
      <c r="H328" s="59"/>
      <c r="I328" s="56"/>
      <c r="J328" s="59"/>
      <c r="K328" s="56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</row>
    <row r="329" spans="1:24">
      <c r="A329" t="s">
        <v>100</v>
      </c>
      <c r="B329" t="s">
        <v>101</v>
      </c>
      <c r="G329" t="s">
        <v>102</v>
      </c>
    </row>
    <row r="331" spans="1:24">
      <c r="A331" t="s">
        <v>126</v>
      </c>
      <c r="D331" s="200" t="s">
        <v>112</v>
      </c>
      <c r="J331" s="200" t="s">
        <v>112</v>
      </c>
    </row>
    <row r="332" spans="1:24">
      <c r="A332" s="4" t="s">
        <v>122</v>
      </c>
      <c r="B332" s="231" t="s">
        <v>107</v>
      </c>
      <c r="C332" s="231"/>
      <c r="D332" s="231"/>
      <c r="E332" s="231"/>
      <c r="F332" s="231"/>
      <c r="H332" s="231" t="s">
        <v>106</v>
      </c>
      <c r="I332" s="231"/>
      <c r="J332" s="231"/>
      <c r="K332" s="231"/>
      <c r="L332" s="231"/>
      <c r="M332" s="4"/>
      <c r="N332" s="4"/>
      <c r="O332" s="4"/>
      <c r="P332" s="66"/>
      <c r="Q332" s="66"/>
      <c r="R332" s="66"/>
      <c r="S332" s="66"/>
      <c r="T332" s="66"/>
      <c r="U332" s="66"/>
      <c r="V332" s="66"/>
    </row>
    <row r="333" spans="1:24">
      <c r="A333" s="158" t="s">
        <v>123</v>
      </c>
      <c r="B333" s="232" t="s">
        <v>109</v>
      </c>
      <c r="C333" s="232"/>
      <c r="D333" s="232"/>
      <c r="E333" s="232"/>
      <c r="F333" s="232"/>
      <c r="H333" s="232" t="s">
        <v>108</v>
      </c>
      <c r="I333" s="232"/>
      <c r="J333" s="232"/>
      <c r="K333" s="232"/>
      <c r="L333" s="232"/>
      <c r="M333" s="158"/>
      <c r="N333" s="158"/>
      <c r="O333" s="158"/>
      <c r="P333" s="68"/>
      <c r="Q333" s="68"/>
      <c r="R333" s="68"/>
      <c r="S333" s="68"/>
      <c r="T333" s="68"/>
      <c r="U333" s="68"/>
      <c r="V333" s="68"/>
    </row>
    <row r="338" spans="1:24">
      <c r="J338" s="17"/>
    </row>
    <row r="341" spans="1:24">
      <c r="A341" s="235" t="s">
        <v>0</v>
      </c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69"/>
      <c r="N341" s="69"/>
      <c r="O341" s="69"/>
      <c r="P341" s="69"/>
      <c r="Q341" s="69"/>
      <c r="R341" s="69"/>
      <c r="S341" s="69"/>
      <c r="T341" s="69"/>
      <c r="U341" s="69"/>
      <c r="V341" s="69"/>
    </row>
    <row r="343" spans="1:24" customHeight="1" ht="15.6">
      <c r="A343" s="236" t="s">
        <v>1</v>
      </c>
      <c r="B343" s="236"/>
      <c r="C343" s="236"/>
      <c r="D343" s="236"/>
      <c r="E343" s="236"/>
      <c r="F343" s="236"/>
      <c r="G343" s="236"/>
      <c r="H343" s="236"/>
      <c r="I343" s="236"/>
      <c r="J343" s="236"/>
      <c r="K343" s="236"/>
      <c r="L343" s="236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4">
      <c r="A344" s="231" t="s">
        <v>2</v>
      </c>
      <c r="B344" s="231"/>
      <c r="C344" s="231"/>
      <c r="D344" s="231"/>
      <c r="E344" s="231"/>
      <c r="F344" s="231"/>
      <c r="G344" s="231"/>
      <c r="H344" s="231"/>
      <c r="I344" s="231"/>
      <c r="J344" s="231"/>
      <c r="K344" s="231"/>
      <c r="L344" s="231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6" spans="1:24">
      <c r="A346" s="5" t="s">
        <v>127</v>
      </c>
    </row>
    <row r="347" spans="1:24" customHeight="1" ht="15"/>
    <row r="348" spans="1:24">
      <c r="A348" s="7"/>
      <c r="B348" s="8"/>
      <c r="C348" s="203" t="s">
        <v>4</v>
      </c>
      <c r="D348" s="204"/>
      <c r="E348" s="205" t="s">
        <v>5</v>
      </c>
      <c r="F348" s="206"/>
      <c r="G348" s="206"/>
      <c r="H348" s="206"/>
      <c r="I348" s="206"/>
      <c r="J348" s="207"/>
      <c r="K348" s="203" t="s">
        <v>6</v>
      </c>
      <c r="L348" s="22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4">
      <c r="A349" s="9" t="s">
        <v>7</v>
      </c>
      <c r="B349" s="10" t="s">
        <v>8</v>
      </c>
      <c r="C349" s="210">
        <v>2024</v>
      </c>
      <c r="D349" s="211"/>
      <c r="E349" s="251" t="s">
        <v>9</v>
      </c>
      <c r="F349" s="226"/>
      <c r="G349" s="251" t="s">
        <v>10</v>
      </c>
      <c r="H349" s="226"/>
      <c r="I349" s="252" t="s">
        <v>11</v>
      </c>
      <c r="J349" s="228"/>
      <c r="K349" s="210">
        <v>2026</v>
      </c>
      <c r="L349" s="229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4" customHeight="1" ht="15">
      <c r="A350" s="13"/>
      <c r="B350" s="14"/>
      <c r="C350" s="220" t="s">
        <v>12</v>
      </c>
      <c r="D350" s="221"/>
      <c r="E350" s="220" t="s">
        <v>12</v>
      </c>
      <c r="F350" s="221"/>
      <c r="G350" s="220" t="s">
        <v>13</v>
      </c>
      <c r="H350" s="221"/>
      <c r="I350" s="216"/>
      <c r="J350" s="217"/>
      <c r="K350" s="220" t="s">
        <v>14</v>
      </c>
      <c r="L350" s="230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4">
      <c r="A351" s="15" t="s">
        <v>15</v>
      </c>
      <c r="B351" s="16"/>
      <c r="C351" s="17"/>
      <c r="D351" s="18"/>
      <c r="E351" s="17"/>
      <c r="F351" s="18"/>
      <c r="G351" s="17"/>
      <c r="H351" s="18"/>
      <c r="I351" s="17"/>
      <c r="J351" s="18"/>
      <c r="K351" s="17"/>
      <c r="L351" s="19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spans="1:24">
      <c r="A352" s="21" t="s">
        <v>16</v>
      </c>
      <c r="B352" s="16" t="s">
        <v>17</v>
      </c>
      <c r="C352" s="17" t="s">
        <v>18</v>
      </c>
      <c r="D352" s="22">
        <v>1200488</v>
      </c>
      <c r="E352" s="17" t="s">
        <v>18</v>
      </c>
      <c r="F352" s="22">
        <v>619151</v>
      </c>
      <c r="G352" s="17" t="s">
        <v>18</v>
      </c>
      <c r="H352" s="22">
        <f>J352-F352</f>
        <v>638090</v>
      </c>
      <c r="I352" s="17" t="s">
        <v>18</v>
      </c>
      <c r="J352" s="22">
        <v>1257241</v>
      </c>
      <c r="K352" s="17" t="s">
        <v>18</v>
      </c>
      <c r="L352" s="25">
        <v>1444024</v>
      </c>
      <c r="M352" s="26"/>
      <c r="N352" s="26"/>
      <c r="O352" s="26"/>
      <c r="P352" s="26"/>
      <c r="Q352" s="26"/>
      <c r="R352" s="26"/>
      <c r="S352" s="26"/>
      <c r="T352" s="26"/>
      <c r="U352" s="26"/>
      <c r="V352" s="26"/>
    </row>
    <row r="353" spans="1:24">
      <c r="A353" s="27" t="s">
        <v>19</v>
      </c>
      <c r="B353" s="16"/>
      <c r="C353" s="17"/>
      <c r="D353" s="28"/>
      <c r="E353" s="17"/>
      <c r="F353" s="28"/>
      <c r="G353" s="17"/>
      <c r="H353" s="28"/>
      <c r="I353" s="17"/>
      <c r="J353" s="28"/>
      <c r="K353" s="17"/>
      <c r="L353" s="30"/>
      <c r="M353" s="26"/>
      <c r="N353" s="26"/>
      <c r="O353" s="26"/>
      <c r="P353" s="26"/>
      <c r="Q353" s="26"/>
      <c r="R353" s="26"/>
      <c r="S353" s="26"/>
      <c r="T353" s="26"/>
      <c r="U353" s="26"/>
      <c r="V353" s="26"/>
    </row>
    <row r="354" spans="1:24">
      <c r="A354" s="21" t="s">
        <v>20</v>
      </c>
      <c r="B354" s="16" t="s">
        <v>21</v>
      </c>
      <c r="C354" s="17"/>
      <c r="D354" s="28">
        <v>48000</v>
      </c>
      <c r="E354" s="17"/>
      <c r="F354" s="28">
        <v>24000</v>
      </c>
      <c r="G354" s="17"/>
      <c r="H354" s="22">
        <f>J354-F354</f>
        <v>24000</v>
      </c>
      <c r="I354" s="17"/>
      <c r="J354" s="28">
        <v>48000</v>
      </c>
      <c r="K354" s="17"/>
      <c r="L354" s="30">
        <v>48000</v>
      </c>
      <c r="M354" s="26"/>
      <c r="N354" s="26"/>
      <c r="O354" s="26"/>
      <c r="P354" s="26"/>
      <c r="Q354" s="26"/>
      <c r="R354" s="26"/>
      <c r="S354" s="26"/>
      <c r="T354" s="26"/>
      <c r="U354" s="26"/>
      <c r="V354" s="26"/>
    </row>
    <row r="355" spans="1:24">
      <c r="A355" s="21" t="s">
        <v>22</v>
      </c>
      <c r="B355" s="16" t="s">
        <v>23</v>
      </c>
      <c r="C355" s="17"/>
      <c r="D355" s="37">
        <v>81600</v>
      </c>
      <c r="E355" s="17"/>
      <c r="F355" s="37">
        <v>40800</v>
      </c>
      <c r="G355" s="17"/>
      <c r="H355" s="22">
        <f>J355-F355</f>
        <v>40800</v>
      </c>
      <c r="I355" s="17"/>
      <c r="J355" s="37">
        <v>81600</v>
      </c>
      <c r="K355" s="17"/>
      <c r="L355" s="33">
        <v>81600</v>
      </c>
      <c r="M355" s="26"/>
      <c r="N355" s="26"/>
      <c r="O355" s="26"/>
      <c r="P355" s="26"/>
      <c r="Q355" s="26"/>
      <c r="R355" s="26"/>
      <c r="S355" s="26"/>
      <c r="T355" s="26"/>
      <c r="U355" s="26"/>
      <c r="V355" s="26"/>
    </row>
    <row r="356" spans="1:24">
      <c r="A356" s="21" t="s">
        <v>24</v>
      </c>
      <c r="B356" s="16" t="s">
        <v>25</v>
      </c>
      <c r="C356" s="17"/>
      <c r="D356" s="37">
        <v>81600</v>
      </c>
      <c r="E356" s="17"/>
      <c r="F356" s="37">
        <v>40800</v>
      </c>
      <c r="G356" s="17"/>
      <c r="H356" s="22">
        <f>J356-F356</f>
        <v>40800</v>
      </c>
      <c r="I356" s="17"/>
      <c r="J356" s="37">
        <v>81600</v>
      </c>
      <c r="K356" s="17"/>
      <c r="L356" s="33">
        <v>81600</v>
      </c>
      <c r="M356" s="26"/>
      <c r="N356" s="26"/>
      <c r="O356" s="26"/>
      <c r="P356" s="26"/>
      <c r="Q356" s="26"/>
      <c r="R356" s="26"/>
      <c r="S356" s="26"/>
      <c r="T356" s="26"/>
      <c r="U356" s="26"/>
      <c r="V356" s="26"/>
    </row>
    <row r="357" spans="1:24">
      <c r="A357" s="21" t="s">
        <v>26</v>
      </c>
      <c r="B357" s="16" t="s">
        <v>27</v>
      </c>
      <c r="C357" s="17"/>
      <c r="D357" s="37">
        <v>14000</v>
      </c>
      <c r="E357" s="17"/>
      <c r="F357" s="37">
        <v>14000</v>
      </c>
      <c r="G357" s="17"/>
      <c r="H357" s="22">
        <f>J357-F357</f>
        <v>0</v>
      </c>
      <c r="I357" s="17"/>
      <c r="J357" s="37">
        <v>14000</v>
      </c>
      <c r="K357" s="17"/>
      <c r="L357" s="33">
        <v>14000</v>
      </c>
      <c r="M357" s="26"/>
      <c r="N357" s="26"/>
      <c r="O357" s="26"/>
      <c r="P357" s="26"/>
      <c r="Q357" s="26"/>
      <c r="R357" s="26"/>
      <c r="S357" s="26"/>
      <c r="T357" s="26"/>
      <c r="U357" s="26"/>
      <c r="V357" s="26"/>
    </row>
    <row r="358" spans="1:24">
      <c r="A358" s="21" t="s">
        <v>28</v>
      </c>
      <c r="B358" s="16" t="s">
        <v>29</v>
      </c>
      <c r="C358" s="17"/>
      <c r="D358" s="37">
        <v>10000</v>
      </c>
      <c r="E358" s="17"/>
      <c r="F358" s="37">
        <v>0</v>
      </c>
      <c r="G358" s="17"/>
      <c r="H358" s="22">
        <f>J358-F358</f>
        <v>10000</v>
      </c>
      <c r="I358" s="17"/>
      <c r="J358" s="37">
        <v>10000</v>
      </c>
      <c r="K358" s="17"/>
      <c r="L358" s="33">
        <v>0</v>
      </c>
      <c r="M358" s="26"/>
      <c r="N358" s="26"/>
      <c r="O358" s="26"/>
      <c r="P358" s="26"/>
      <c r="Q358" s="26"/>
      <c r="R358" s="26"/>
      <c r="S358" s="26"/>
      <c r="T358" s="26"/>
      <c r="U358" s="26"/>
      <c r="V358" s="26"/>
    </row>
    <row r="359" spans="1:24">
      <c r="A359" s="21" t="s">
        <v>30</v>
      </c>
      <c r="B359" s="16" t="s">
        <v>31</v>
      </c>
      <c r="C359" s="17"/>
      <c r="D359" s="37">
        <v>40000</v>
      </c>
      <c r="E359" s="17"/>
      <c r="F359" s="37">
        <v>0</v>
      </c>
      <c r="G359" s="17"/>
      <c r="H359" s="22">
        <f>J359-F359</f>
        <v>40000</v>
      </c>
      <c r="I359" s="17"/>
      <c r="J359" s="37">
        <v>40000</v>
      </c>
      <c r="K359" s="17"/>
      <c r="L359" s="33">
        <v>0</v>
      </c>
      <c r="M359" s="26"/>
      <c r="N359" s="26"/>
      <c r="O359" s="26"/>
      <c r="P359" s="26"/>
      <c r="Q359" s="26"/>
      <c r="R359" s="26"/>
      <c r="S359" s="26"/>
      <c r="T359" s="26"/>
      <c r="U359" s="26"/>
      <c r="V359" s="26"/>
    </row>
    <row r="360" spans="1:24">
      <c r="A360" s="21" t="s">
        <v>32</v>
      </c>
      <c r="B360" s="16" t="s">
        <v>33</v>
      </c>
      <c r="C360" s="17"/>
      <c r="D360" s="37">
        <v>103154</v>
      </c>
      <c r="E360" s="17"/>
      <c r="F360" s="37">
        <v>0</v>
      </c>
      <c r="G360" s="17"/>
      <c r="H360" s="22">
        <f>J360-F360</f>
        <v>107832</v>
      </c>
      <c r="I360" s="17"/>
      <c r="J360" s="37">
        <v>107832</v>
      </c>
      <c r="K360" s="17"/>
      <c r="L360" s="33">
        <v>142718</v>
      </c>
      <c r="M360" s="26"/>
      <c r="N360" s="26"/>
      <c r="O360" s="26"/>
      <c r="P360" s="26"/>
      <c r="Q360" s="26"/>
      <c r="R360" s="26"/>
      <c r="S360" s="26"/>
      <c r="T360" s="26"/>
      <c r="U360" s="26"/>
      <c r="V360" s="26"/>
    </row>
    <row r="361" spans="1:24">
      <c r="A361" s="21" t="s">
        <v>34</v>
      </c>
      <c r="B361" s="16" t="s">
        <v>35</v>
      </c>
      <c r="C361" s="17"/>
      <c r="D361" s="37">
        <v>10000</v>
      </c>
      <c r="E361" s="17"/>
      <c r="F361" s="37">
        <v>0</v>
      </c>
      <c r="G361" s="17"/>
      <c r="H361" s="22">
        <f>J361-F361</f>
        <v>10000</v>
      </c>
      <c r="I361" s="17"/>
      <c r="J361" s="37">
        <v>10000</v>
      </c>
      <c r="K361" s="17"/>
      <c r="L361" s="33">
        <v>10000</v>
      </c>
      <c r="M361" s="26"/>
      <c r="N361" s="26"/>
      <c r="O361" s="26"/>
      <c r="P361" s="26"/>
      <c r="Q361" s="26"/>
      <c r="R361" s="26"/>
      <c r="S361" s="26"/>
      <c r="T361" s="26"/>
      <c r="U361" s="26"/>
      <c r="V361" s="26"/>
    </row>
    <row r="362" spans="1:24">
      <c r="A362" s="21" t="s">
        <v>36</v>
      </c>
      <c r="B362" s="16" t="s">
        <v>37</v>
      </c>
      <c r="C362" s="17"/>
      <c r="D362" s="37">
        <v>98484</v>
      </c>
      <c r="E362" s="17"/>
      <c r="F362" s="37">
        <v>103154</v>
      </c>
      <c r="G362" s="17"/>
      <c r="H362" s="22">
        <f>J362-F362</f>
        <v>0</v>
      </c>
      <c r="I362" s="17"/>
      <c r="J362" s="37">
        <v>103154</v>
      </c>
      <c r="K362" s="17"/>
      <c r="L362" s="33">
        <v>109144</v>
      </c>
      <c r="M362" s="26"/>
      <c r="N362" s="26"/>
      <c r="O362" s="26"/>
      <c r="P362" s="26"/>
      <c r="Q362" s="26"/>
      <c r="R362" s="26"/>
      <c r="S362" s="26"/>
      <c r="T362" s="26"/>
      <c r="U362" s="26"/>
      <c r="V362" s="26"/>
    </row>
    <row r="363" spans="1:24">
      <c r="A363" s="27" t="s">
        <v>38</v>
      </c>
      <c r="B363" s="16"/>
      <c r="C363" s="17"/>
      <c r="D363" s="28"/>
      <c r="E363" s="17"/>
      <c r="F363" s="28"/>
      <c r="G363" s="17"/>
      <c r="H363" s="28"/>
      <c r="I363" s="17"/>
      <c r="J363" s="28"/>
      <c r="K363" s="17"/>
      <c r="L363" s="30"/>
      <c r="M363" s="26"/>
      <c r="N363" s="26"/>
      <c r="O363" s="26"/>
      <c r="P363" s="26"/>
      <c r="Q363" s="26"/>
      <c r="R363" s="26"/>
      <c r="S363" s="26"/>
      <c r="T363" s="26"/>
      <c r="U363" s="26"/>
      <c r="V363" s="26"/>
    </row>
    <row r="364" spans="1:24">
      <c r="A364" s="21" t="s">
        <v>39</v>
      </c>
      <c r="B364" s="16" t="s">
        <v>40</v>
      </c>
      <c r="C364" s="17"/>
      <c r="D364" s="28">
        <v>144058.56</v>
      </c>
      <c r="E364" s="17"/>
      <c r="F364" s="28">
        <v>74298.12</v>
      </c>
      <c r="G364" s="17"/>
      <c r="H364" s="22">
        <f>J364-F364</f>
        <v>76569.88</v>
      </c>
      <c r="I364" s="17"/>
      <c r="J364" s="28">
        <v>150868</v>
      </c>
      <c r="K364" s="17"/>
      <c r="L364" s="30">
        <v>173310</v>
      </c>
      <c r="M364" s="26"/>
      <c r="N364" s="26"/>
      <c r="O364" s="26"/>
      <c r="P364" s="26"/>
      <c r="Q364" s="26"/>
      <c r="R364" s="26"/>
      <c r="S364" s="26"/>
      <c r="T364" s="26"/>
      <c r="U364" s="26"/>
      <c r="V364" s="26"/>
    </row>
    <row r="365" spans="1:24">
      <c r="A365" s="21" t="s">
        <v>41</v>
      </c>
      <c r="B365" s="16" t="s">
        <v>42</v>
      </c>
      <c r="C365" s="17"/>
      <c r="D365" s="37">
        <v>4600</v>
      </c>
      <c r="E365" s="17"/>
      <c r="F365" s="37">
        <v>2400</v>
      </c>
      <c r="G365" s="17"/>
      <c r="H365" s="22">
        <f>J365-F365</f>
        <v>2400</v>
      </c>
      <c r="I365" s="17"/>
      <c r="J365" s="37">
        <v>4800</v>
      </c>
      <c r="K365" s="17"/>
      <c r="L365" s="33">
        <v>4800</v>
      </c>
      <c r="M365" s="26"/>
      <c r="N365" s="26"/>
      <c r="O365" s="26"/>
      <c r="P365" s="26"/>
      <c r="Q365" s="26"/>
      <c r="R365" s="26"/>
      <c r="S365" s="26"/>
      <c r="T365" s="26"/>
      <c r="U365" s="26"/>
      <c r="V365" s="26"/>
    </row>
    <row r="366" spans="1:24">
      <c r="A366" s="21" t="s">
        <v>43</v>
      </c>
      <c r="B366" s="16" t="s">
        <v>44</v>
      </c>
      <c r="C366" s="17"/>
      <c r="D366" s="37">
        <v>30012.2</v>
      </c>
      <c r="E366" s="17"/>
      <c r="F366" s="37">
        <v>15478.78</v>
      </c>
      <c r="G366" s="17"/>
      <c r="H366" s="22">
        <f>J366-F366</f>
        <v>15953.22</v>
      </c>
      <c r="I366" s="17"/>
      <c r="J366" s="37">
        <v>31432</v>
      </c>
      <c r="K366" s="17"/>
      <c r="L366" s="33">
        <v>36110</v>
      </c>
      <c r="M366" s="26"/>
      <c r="N366" s="26"/>
      <c r="O366" s="26"/>
      <c r="P366" s="26"/>
      <c r="Q366" s="26"/>
      <c r="R366" s="26"/>
      <c r="S366" s="26"/>
      <c r="T366" s="26"/>
      <c r="U366" s="26"/>
      <c r="V366" s="26"/>
    </row>
    <row r="367" spans="1:24">
      <c r="A367" s="21" t="s">
        <v>45</v>
      </c>
      <c r="B367" s="16" t="s">
        <v>46</v>
      </c>
      <c r="C367" s="17"/>
      <c r="D367" s="37">
        <v>2400</v>
      </c>
      <c r="E367" s="17"/>
      <c r="F367" s="37">
        <v>1200</v>
      </c>
      <c r="G367" s="17"/>
      <c r="H367" s="22">
        <f>J367-F367</f>
        <v>1200</v>
      </c>
      <c r="I367" s="17"/>
      <c r="J367" s="37">
        <v>2400</v>
      </c>
      <c r="K367" s="17"/>
      <c r="L367" s="33">
        <v>2400</v>
      </c>
      <c r="M367" s="26"/>
      <c r="N367" s="26"/>
      <c r="O367" s="26"/>
      <c r="P367" s="26"/>
      <c r="Q367" s="26"/>
      <c r="R367" s="26"/>
      <c r="S367" s="26"/>
      <c r="T367" s="26"/>
      <c r="U367" s="26"/>
      <c r="V367" s="26"/>
    </row>
    <row r="368" spans="1:24">
      <c r="A368" s="27" t="s">
        <v>47</v>
      </c>
      <c r="B368" s="16"/>
      <c r="C368" s="23"/>
      <c r="D368" s="28"/>
      <c r="E368" s="17"/>
      <c r="F368" s="28"/>
      <c r="G368" s="17"/>
      <c r="H368" s="28"/>
      <c r="I368" s="17"/>
      <c r="J368" s="28"/>
      <c r="K368" s="17"/>
      <c r="L368" s="30"/>
      <c r="M368" s="26"/>
      <c r="N368" s="26"/>
      <c r="O368" s="26"/>
      <c r="P368" s="26"/>
      <c r="Q368" s="26"/>
      <c r="R368" s="26"/>
      <c r="S368" s="26"/>
      <c r="T368" s="26"/>
      <c r="U368" s="26"/>
      <c r="V368" s="26"/>
    </row>
    <row r="369" spans="1:24" customHeight="1" ht="15">
      <c r="A369" s="21" t="s">
        <v>50</v>
      </c>
      <c r="B369" s="16" t="s">
        <v>51</v>
      </c>
      <c r="C369" s="17"/>
      <c r="D369" s="41">
        <v>0</v>
      </c>
      <c r="E369" s="17"/>
      <c r="F369" s="41">
        <v>14000</v>
      </c>
      <c r="G369" s="17"/>
      <c r="H369" s="41">
        <v>0</v>
      </c>
      <c r="I369" s="17"/>
      <c r="J369" s="41">
        <v>14000</v>
      </c>
      <c r="K369" s="17"/>
      <c r="L369" s="55">
        <v>14000</v>
      </c>
      <c r="M369" s="26"/>
      <c r="N369" s="26"/>
      <c r="O369" s="26"/>
      <c r="P369" s="26"/>
      <c r="Q369" s="26"/>
      <c r="R369" s="26"/>
      <c r="S369" s="26"/>
      <c r="T369" s="26"/>
      <c r="U369" s="26"/>
      <c r="V369" s="26"/>
    </row>
    <row r="370" spans="1:24" customHeight="1" ht="15">
      <c r="A370" s="44" t="s">
        <v>52</v>
      </c>
      <c r="B370" s="45"/>
      <c r="C370" s="46" t="s">
        <v>18</v>
      </c>
      <c r="D370" s="47">
        <f>SUM(D352:D369)</f>
        <v>1868396.76</v>
      </c>
      <c r="E370" s="48" t="s">
        <v>18</v>
      </c>
      <c r="F370" s="47">
        <f>SUM(F352:F369)</f>
        <v>949281.9</v>
      </c>
      <c r="G370" s="48" t="s">
        <v>18</v>
      </c>
      <c r="H370" s="47">
        <f>SUM(H352:H369)</f>
        <v>1007645.1</v>
      </c>
      <c r="I370" s="48" t="s">
        <v>18</v>
      </c>
      <c r="J370" s="47">
        <f>SUM(J352:J369)</f>
        <v>1956927</v>
      </c>
      <c r="K370" s="48" t="s">
        <v>18</v>
      </c>
      <c r="L370" s="49">
        <f>SUM(L352:L369)</f>
        <v>2161706</v>
      </c>
      <c r="M370" s="50"/>
      <c r="N370" s="50"/>
      <c r="O370" s="50"/>
      <c r="P370" s="50"/>
      <c r="Q370" s="50"/>
      <c r="R370" s="50"/>
      <c r="S370" s="50"/>
      <c r="T370" s="50"/>
      <c r="U370" s="50"/>
      <c r="V370" s="50"/>
    </row>
    <row r="374" spans="1:24">
      <c r="J374" s="17"/>
    </row>
    <row r="375" spans="1:24">
      <c r="A375" s="235" t="s">
        <v>0</v>
      </c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69"/>
      <c r="N375" s="69"/>
      <c r="O375" s="69"/>
      <c r="P375" s="69"/>
      <c r="Q375" s="69"/>
      <c r="R375" s="69"/>
      <c r="S375" s="69"/>
      <c r="T375" s="69"/>
      <c r="U375" s="69"/>
      <c r="V375" s="69"/>
    </row>
    <row r="377" spans="1:24" customHeight="1" ht="15.6">
      <c r="A377" s="236" t="s">
        <v>1</v>
      </c>
      <c r="B377" s="236"/>
      <c r="C377" s="236"/>
      <c r="D377" s="236"/>
      <c r="E377" s="236"/>
      <c r="F377" s="236"/>
      <c r="G377" s="236"/>
      <c r="H377" s="236"/>
      <c r="I377" s="236"/>
      <c r="J377" s="236"/>
      <c r="K377" s="236"/>
      <c r="L377" s="236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4">
      <c r="A378" s="231" t="s">
        <v>2</v>
      </c>
      <c r="B378" s="231"/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80" spans="1:24">
      <c r="A380" s="5" t="s">
        <v>127</v>
      </c>
    </row>
    <row r="381" spans="1:24" customHeight="1" ht="15"/>
    <row r="382" spans="1:24">
      <c r="A382" s="7"/>
      <c r="B382" s="8"/>
      <c r="C382" s="203" t="s">
        <v>4</v>
      </c>
      <c r="D382" s="204"/>
      <c r="E382" s="205" t="s">
        <v>5</v>
      </c>
      <c r="F382" s="206"/>
      <c r="G382" s="206"/>
      <c r="H382" s="206"/>
      <c r="I382" s="206"/>
      <c r="J382" s="207"/>
      <c r="K382" s="203" t="s">
        <v>6</v>
      </c>
      <c r="L382" s="22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4">
      <c r="A383" s="9" t="s">
        <v>7</v>
      </c>
      <c r="B383" s="10" t="s">
        <v>8</v>
      </c>
      <c r="C383" s="210">
        <v>2024</v>
      </c>
      <c r="D383" s="211"/>
      <c r="E383" s="251" t="s">
        <v>9</v>
      </c>
      <c r="F383" s="226"/>
      <c r="G383" s="251" t="s">
        <v>10</v>
      </c>
      <c r="H383" s="226"/>
      <c r="I383" s="252" t="s">
        <v>11</v>
      </c>
      <c r="J383" s="228"/>
      <c r="K383" s="210">
        <v>2026</v>
      </c>
      <c r="L383" s="229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4" customHeight="1" ht="15">
      <c r="A384" s="13"/>
      <c r="B384" s="14"/>
      <c r="C384" s="220" t="s">
        <v>12</v>
      </c>
      <c r="D384" s="221"/>
      <c r="E384" s="220" t="s">
        <v>12</v>
      </c>
      <c r="F384" s="221"/>
      <c r="G384" s="220" t="s">
        <v>13</v>
      </c>
      <c r="H384" s="221"/>
      <c r="I384" s="216"/>
      <c r="J384" s="217"/>
      <c r="K384" s="220" t="s">
        <v>14</v>
      </c>
      <c r="L384" s="230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4">
      <c r="A385" s="27" t="s">
        <v>53</v>
      </c>
      <c r="B385" s="52"/>
      <c r="C385" s="17"/>
      <c r="D385" s="18"/>
      <c r="E385" s="17"/>
      <c r="F385" s="18"/>
      <c r="G385" s="17"/>
      <c r="H385" s="18"/>
      <c r="I385" s="17"/>
      <c r="J385" s="18"/>
      <c r="K385" s="17"/>
      <c r="L385" s="19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spans="1:24">
      <c r="A386" s="21" t="s">
        <v>54</v>
      </c>
      <c r="B386" s="16" t="s">
        <v>55</v>
      </c>
      <c r="C386" s="17" t="s">
        <v>18</v>
      </c>
      <c r="D386" s="28">
        <v>75410</v>
      </c>
      <c r="E386" s="17" t="s">
        <v>18</v>
      </c>
      <c r="F386" s="28">
        <v>64890.85</v>
      </c>
      <c r="G386" s="17" t="s">
        <v>18</v>
      </c>
      <c r="H386" s="28">
        <f>J386-F386</f>
        <v>45109.15</v>
      </c>
      <c r="I386" s="17" t="s">
        <v>18</v>
      </c>
      <c r="J386" s="70">
        <v>110000</v>
      </c>
      <c r="K386" s="17" t="s">
        <v>18</v>
      </c>
      <c r="L386" s="30">
        <v>110000</v>
      </c>
      <c r="M386" s="26"/>
      <c r="N386" s="26"/>
      <c r="O386" s="26"/>
      <c r="P386" s="26"/>
      <c r="Q386" s="26"/>
      <c r="R386" s="26"/>
      <c r="S386" s="26"/>
      <c r="T386" s="26"/>
      <c r="U386" s="26"/>
      <c r="V386" s="26"/>
    </row>
    <row r="387" spans="1:24">
      <c r="A387" s="21" t="s">
        <v>58</v>
      </c>
      <c r="B387" s="16" t="s">
        <v>59</v>
      </c>
      <c r="C387" s="17"/>
      <c r="D387" s="37">
        <v>84356.96</v>
      </c>
      <c r="E387" s="17"/>
      <c r="F387" s="37">
        <v>44136.47</v>
      </c>
      <c r="G387" s="17"/>
      <c r="H387" s="37">
        <f>J387-F387</f>
        <v>45863.53</v>
      </c>
      <c r="I387" s="17"/>
      <c r="J387" s="71">
        <v>90000</v>
      </c>
      <c r="K387" s="17"/>
      <c r="L387" s="33">
        <v>91700</v>
      </c>
      <c r="M387" s="26"/>
      <c r="N387" s="26"/>
      <c r="O387" s="26"/>
      <c r="P387" s="26"/>
      <c r="Q387" s="26"/>
      <c r="R387" s="26"/>
      <c r="S387" s="26"/>
      <c r="T387" s="26"/>
      <c r="U387" s="26"/>
      <c r="V387" s="26"/>
    </row>
    <row r="388" spans="1:24">
      <c r="A388" s="21" t="s">
        <v>70</v>
      </c>
      <c r="B388" s="16" t="s">
        <v>71</v>
      </c>
      <c r="C388" s="17"/>
      <c r="D388" s="37">
        <v>60000</v>
      </c>
      <c r="E388" s="17"/>
      <c r="F388" s="37">
        <v>25000</v>
      </c>
      <c r="G388" s="17"/>
      <c r="H388" s="37">
        <f>J388-F388</f>
        <v>35000</v>
      </c>
      <c r="I388" s="17"/>
      <c r="J388" s="71">
        <v>60000</v>
      </c>
      <c r="K388" s="17"/>
      <c r="L388" s="33">
        <v>60000</v>
      </c>
      <c r="M388" s="26"/>
      <c r="N388" s="26"/>
      <c r="O388" s="26"/>
      <c r="P388" s="26"/>
      <c r="Q388" s="26"/>
      <c r="R388" s="26"/>
      <c r="S388" s="26"/>
      <c r="T388" s="26"/>
      <c r="U388" s="26"/>
      <c r="V388" s="26"/>
    </row>
    <row r="389" spans="1:24">
      <c r="A389" s="21" t="s">
        <v>72</v>
      </c>
      <c r="B389" s="16" t="s">
        <v>73</v>
      </c>
      <c r="C389" s="17"/>
      <c r="D389" s="37">
        <v>25000</v>
      </c>
      <c r="E389" s="17"/>
      <c r="F389" s="37">
        <v>10010.07</v>
      </c>
      <c r="G389" s="17"/>
      <c r="H389" s="37">
        <f>J389-F389</f>
        <v>14989.93</v>
      </c>
      <c r="I389" s="17"/>
      <c r="J389" s="71">
        <v>25000</v>
      </c>
      <c r="K389" s="17"/>
      <c r="L389" s="33">
        <v>25000</v>
      </c>
      <c r="M389" s="26"/>
      <c r="N389" s="26"/>
      <c r="O389" s="26"/>
      <c r="P389" s="26"/>
      <c r="Q389" s="26"/>
      <c r="R389" s="26"/>
      <c r="S389" s="26"/>
      <c r="T389" s="26"/>
      <c r="U389" s="26"/>
      <c r="V389" s="26"/>
    </row>
    <row r="390" spans="1:24">
      <c r="A390" s="21" t="s">
        <v>80</v>
      </c>
      <c r="B390" s="16" t="s">
        <v>81</v>
      </c>
      <c r="C390" s="17"/>
      <c r="D390" s="37">
        <v>2700</v>
      </c>
      <c r="E390" s="17"/>
      <c r="F390" s="37">
        <v>1200</v>
      </c>
      <c r="G390" s="17"/>
      <c r="H390" s="37">
        <f>J390-F390</f>
        <v>8800</v>
      </c>
      <c r="I390" s="17"/>
      <c r="J390" s="71">
        <v>10000</v>
      </c>
      <c r="K390" s="17"/>
      <c r="L390" s="33">
        <v>10000</v>
      </c>
      <c r="M390" s="26"/>
      <c r="N390" s="26"/>
      <c r="O390" s="26"/>
      <c r="P390" s="26"/>
      <c r="Q390" s="26"/>
      <c r="R390" s="26"/>
      <c r="S390" s="26"/>
      <c r="T390" s="26"/>
      <c r="U390" s="26"/>
      <c r="V390" s="26"/>
    </row>
    <row r="391" spans="1:24" customHeight="1" ht="15">
      <c r="A391" s="21" t="s">
        <v>92</v>
      </c>
      <c r="B391" s="16" t="s">
        <v>93</v>
      </c>
      <c r="C391" s="17"/>
      <c r="D391" s="41">
        <v>2934.09</v>
      </c>
      <c r="E391" s="17"/>
      <c r="F391" s="41">
        <v>0</v>
      </c>
      <c r="G391" s="17"/>
      <c r="H391" s="73">
        <f>J391-F391</f>
        <v>1700</v>
      </c>
      <c r="I391" s="17"/>
      <c r="J391" s="162">
        <v>1700</v>
      </c>
      <c r="K391" s="17"/>
      <c r="L391" s="55">
        <v>0</v>
      </c>
      <c r="M391" s="26"/>
      <c r="N391" s="26"/>
      <c r="O391" s="26"/>
      <c r="P391" s="26"/>
      <c r="Q391" s="26"/>
      <c r="R391" s="26"/>
      <c r="S391" s="26"/>
      <c r="T391" s="26"/>
      <c r="U391" s="26"/>
      <c r="V391" s="26"/>
    </row>
    <row r="392" spans="1:24" customHeight="1" ht="15">
      <c r="A392" s="27" t="s">
        <v>94</v>
      </c>
      <c r="B392" s="52"/>
      <c r="C392" s="56" t="s">
        <v>18</v>
      </c>
      <c r="D392" s="47">
        <f>SUM(D386:D391)</f>
        <v>250401.05</v>
      </c>
      <c r="E392" s="56" t="s">
        <v>18</v>
      </c>
      <c r="F392" s="47">
        <f>SUM(F386:F391)</f>
        <v>145237.39</v>
      </c>
      <c r="G392" s="56" t="s">
        <v>18</v>
      </c>
      <c r="H392" s="47">
        <f>SUM(H386:H391)</f>
        <v>151462.61</v>
      </c>
      <c r="I392" s="56" t="s">
        <v>18</v>
      </c>
      <c r="J392" s="47">
        <f>SUM(J386:J391)</f>
        <v>296700</v>
      </c>
      <c r="K392" s="56" t="s">
        <v>18</v>
      </c>
      <c r="L392" s="49">
        <f>SUM(L386:L391)</f>
        <v>296700</v>
      </c>
      <c r="M392" s="50"/>
      <c r="N392" s="50"/>
      <c r="O392" s="50"/>
      <c r="P392" s="50"/>
      <c r="Q392" s="50"/>
      <c r="R392" s="50"/>
      <c r="S392" s="50"/>
      <c r="T392" s="50"/>
      <c r="U392" s="50"/>
      <c r="V392" s="50"/>
    </row>
    <row r="393" spans="1:24">
      <c r="A393" s="27" t="s">
        <v>95</v>
      </c>
      <c r="B393" s="52"/>
      <c r="C393" s="17"/>
      <c r="D393" s="75"/>
      <c r="E393" s="17"/>
      <c r="F393" s="75"/>
      <c r="G393" s="17"/>
      <c r="H393" s="75"/>
      <c r="I393" s="17"/>
      <c r="J393" s="75"/>
      <c r="K393" s="17"/>
      <c r="L393" s="76"/>
      <c r="M393" s="26"/>
      <c r="N393" s="26"/>
      <c r="O393" s="26"/>
      <c r="P393" s="26"/>
      <c r="Q393" s="26"/>
      <c r="R393" s="26"/>
      <c r="S393" s="26"/>
      <c r="T393" s="26"/>
      <c r="U393" s="26"/>
      <c r="V393" s="26"/>
    </row>
    <row r="394" spans="1:24" customHeight="1" ht="15">
      <c r="A394" s="21" t="s">
        <v>96</v>
      </c>
      <c r="B394" s="16" t="s">
        <v>97</v>
      </c>
      <c r="C394" s="17" t="s">
        <v>18</v>
      </c>
      <c r="D394" s="28">
        <v>0</v>
      </c>
      <c r="E394" s="17" t="s">
        <v>18</v>
      </c>
      <c r="F394" s="28">
        <v>0</v>
      </c>
      <c r="G394" s="17" t="s">
        <v>18</v>
      </c>
      <c r="H394" s="28">
        <v>0</v>
      </c>
      <c r="I394" s="17" t="s">
        <v>18</v>
      </c>
      <c r="J394" s="28">
        <v>75000</v>
      </c>
      <c r="K394" s="17" t="s">
        <v>18</v>
      </c>
      <c r="L394" s="30">
        <v>75000</v>
      </c>
      <c r="M394" s="26"/>
      <c r="N394" s="26"/>
      <c r="O394" s="26"/>
      <c r="P394" s="26"/>
      <c r="Q394" s="26"/>
      <c r="R394" s="26"/>
      <c r="S394" s="26"/>
      <c r="T394" s="26"/>
      <c r="U394" s="26"/>
      <c r="V394" s="26"/>
    </row>
    <row r="395" spans="1:24" customHeight="1" ht="15">
      <c r="A395" s="27" t="s">
        <v>98</v>
      </c>
      <c r="B395" s="16"/>
      <c r="C395" s="56" t="s">
        <v>18</v>
      </c>
      <c r="D395" s="77">
        <f>SUM(D394)</f>
        <v>0</v>
      </c>
      <c r="E395" s="56" t="s">
        <v>18</v>
      </c>
      <c r="F395" s="77">
        <f>SUM(F394)</f>
        <v>0</v>
      </c>
      <c r="G395" s="56" t="s">
        <v>18</v>
      </c>
      <c r="H395" s="77">
        <f>SUM(H394)</f>
        <v>0</v>
      </c>
      <c r="I395" s="56" t="s">
        <v>18</v>
      </c>
      <c r="J395" s="77">
        <f>SUM(J394)</f>
        <v>75000</v>
      </c>
      <c r="K395" s="56" t="s">
        <v>18</v>
      </c>
      <c r="L395" s="78">
        <f>SUM(L394)</f>
        <v>75000</v>
      </c>
      <c r="M395" s="50"/>
      <c r="N395" s="50"/>
      <c r="O395" s="50"/>
      <c r="P395" s="50"/>
      <c r="Q395" s="50"/>
      <c r="R395" s="50"/>
      <c r="S395" s="50"/>
      <c r="T395" s="50"/>
      <c r="U395" s="50"/>
      <c r="V395" s="50"/>
    </row>
    <row r="396" spans="1:24" customHeight="1" ht="15">
      <c r="A396" s="79" t="s">
        <v>99</v>
      </c>
      <c r="B396" s="80"/>
      <c r="C396" s="81" t="s">
        <v>18</v>
      </c>
      <c r="D396" s="82">
        <f>D370+D392+D395</f>
        <v>2118797.81</v>
      </c>
      <c r="E396" s="83" t="s">
        <v>18</v>
      </c>
      <c r="F396" s="82">
        <f>F370+F392+F395</f>
        <v>1094519.29</v>
      </c>
      <c r="G396" s="83" t="s">
        <v>18</v>
      </c>
      <c r="H396" s="82">
        <f>H370+H392+H395</f>
        <v>1159107.71</v>
      </c>
      <c r="I396" s="83" t="s">
        <v>18</v>
      </c>
      <c r="J396" s="82">
        <f>J370+J392+J395</f>
        <v>2328627</v>
      </c>
      <c r="K396" s="83" t="s">
        <v>18</v>
      </c>
      <c r="L396" s="82">
        <f>L370+L392+L395</f>
        <v>2533406</v>
      </c>
      <c r="M396" s="59"/>
      <c r="N396" s="59"/>
      <c r="O396" s="59"/>
      <c r="P396" s="59"/>
      <c r="Q396" s="59"/>
      <c r="R396" s="59"/>
      <c r="S396" s="59"/>
      <c r="T396" s="50"/>
      <c r="U396" s="50"/>
      <c r="V396" s="50"/>
    </row>
    <row r="397" spans="1:24" customHeight="1" ht="15">
      <c r="A397" s="5"/>
      <c r="C397" s="56"/>
      <c r="D397" s="59"/>
      <c r="E397" s="56"/>
      <c r="F397" s="59"/>
      <c r="G397" s="56"/>
      <c r="H397" s="59"/>
      <c r="I397" s="56"/>
      <c r="J397" s="59"/>
      <c r="K397" s="56"/>
      <c r="L397" s="59"/>
      <c r="M397" s="59"/>
      <c r="N397" s="59"/>
      <c r="O397" s="59"/>
      <c r="P397" s="59"/>
      <c r="Q397" s="59"/>
      <c r="R397" s="59"/>
      <c r="S397" s="59"/>
      <c r="T397" s="50"/>
      <c r="U397" s="50"/>
      <c r="V397" s="50"/>
    </row>
    <row r="399" spans="1:24">
      <c r="A399" t="s">
        <v>100</v>
      </c>
      <c r="B399" t="s">
        <v>101</v>
      </c>
      <c r="G399" t="s">
        <v>102</v>
      </c>
    </row>
    <row r="401" spans="1:24">
      <c r="A401" t="s">
        <v>128</v>
      </c>
      <c r="D401" s="200" t="s">
        <v>112</v>
      </c>
      <c r="J401" s="200" t="s">
        <v>112</v>
      </c>
    </row>
    <row r="402" spans="1:24">
      <c r="A402" s="4" t="s">
        <v>129</v>
      </c>
      <c r="B402" s="231" t="s">
        <v>107</v>
      </c>
      <c r="C402" s="231"/>
      <c r="D402" s="231"/>
      <c r="E402" s="231"/>
      <c r="F402" s="231"/>
      <c r="H402" s="231" t="s">
        <v>106</v>
      </c>
      <c r="I402" s="231"/>
      <c r="J402" s="231"/>
      <c r="K402" s="231"/>
      <c r="L402" s="231"/>
      <c r="M402" s="4"/>
      <c r="N402" s="66"/>
      <c r="O402" s="66"/>
      <c r="P402" s="66"/>
      <c r="Q402" s="66"/>
      <c r="R402" s="66"/>
      <c r="S402" s="66"/>
      <c r="T402" s="66"/>
      <c r="U402" s="66"/>
      <c r="V402" s="66"/>
    </row>
    <row r="403" spans="1:24">
      <c r="A403" s="158" t="s">
        <v>130</v>
      </c>
      <c r="B403" s="232" t="s">
        <v>109</v>
      </c>
      <c r="C403" s="232"/>
      <c r="D403" s="232"/>
      <c r="E403" s="232"/>
      <c r="F403" s="232"/>
      <c r="H403" s="232" t="s">
        <v>108</v>
      </c>
      <c r="I403" s="232"/>
      <c r="J403" s="232"/>
      <c r="K403" s="232"/>
      <c r="L403" s="232"/>
      <c r="M403" s="158"/>
      <c r="N403" s="68"/>
      <c r="O403" s="68"/>
      <c r="P403" s="68"/>
      <c r="Q403" s="68"/>
      <c r="R403" s="68"/>
      <c r="S403" s="68"/>
      <c r="T403" s="68"/>
      <c r="U403" s="68"/>
      <c r="V403" s="68"/>
    </row>
    <row r="409" spans="1:24">
      <c r="A409" s="235" t="s">
        <v>0</v>
      </c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69"/>
      <c r="N409" s="69"/>
      <c r="O409" s="69"/>
      <c r="P409" s="69"/>
      <c r="Q409" s="69"/>
      <c r="R409" s="69"/>
      <c r="S409" s="69"/>
      <c r="T409" s="69"/>
      <c r="U409" s="69"/>
      <c r="V409" s="69"/>
    </row>
    <row r="411" spans="1:24" customHeight="1" ht="15.6">
      <c r="A411" s="236" t="s">
        <v>1</v>
      </c>
      <c r="B411" s="236"/>
      <c r="C411" s="236"/>
      <c r="D411" s="236"/>
      <c r="E411" s="236"/>
      <c r="F411" s="236"/>
      <c r="G411" s="236"/>
      <c r="H411" s="236"/>
      <c r="I411" s="236"/>
      <c r="J411" s="236"/>
      <c r="K411" s="236"/>
      <c r="L411" s="236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4">
      <c r="A412" s="231" t="s">
        <v>2</v>
      </c>
      <c r="B412" s="231"/>
      <c r="C412" s="231"/>
      <c r="D412" s="231"/>
      <c r="E412" s="231"/>
      <c r="F412" s="231"/>
      <c r="G412" s="231"/>
      <c r="H412" s="231"/>
      <c r="I412" s="231"/>
      <c r="J412" s="231"/>
      <c r="K412" s="231"/>
      <c r="L412" s="231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4" spans="1:24">
      <c r="A414" s="5" t="s">
        <v>131</v>
      </c>
    </row>
    <row r="415" spans="1:24" customHeight="1" ht="15"/>
    <row r="416" spans="1:24">
      <c r="A416" s="7"/>
      <c r="B416" s="8"/>
      <c r="C416" s="203" t="s">
        <v>4</v>
      </c>
      <c r="D416" s="204"/>
      <c r="E416" s="205" t="s">
        <v>5</v>
      </c>
      <c r="F416" s="206"/>
      <c r="G416" s="206"/>
      <c r="H416" s="206"/>
      <c r="I416" s="206"/>
      <c r="J416" s="207"/>
      <c r="K416" s="203" t="s">
        <v>6</v>
      </c>
      <c r="L416" s="22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4">
      <c r="A417" s="9" t="s">
        <v>7</v>
      </c>
      <c r="B417" s="10" t="s">
        <v>8</v>
      </c>
      <c r="C417" s="210">
        <v>2024</v>
      </c>
      <c r="D417" s="211"/>
      <c r="E417" s="212" t="s">
        <v>9</v>
      </c>
      <c r="F417" s="213"/>
      <c r="G417" s="212" t="s">
        <v>10</v>
      </c>
      <c r="H417" s="213"/>
      <c r="I417" s="214" t="s">
        <v>11</v>
      </c>
      <c r="J417" s="215"/>
      <c r="K417" s="210">
        <v>2026</v>
      </c>
      <c r="L417" s="229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4" customHeight="1" ht="15">
      <c r="A418" s="13"/>
      <c r="B418" s="14"/>
      <c r="C418" s="220" t="s">
        <v>12</v>
      </c>
      <c r="D418" s="221"/>
      <c r="E418" s="220" t="s">
        <v>12</v>
      </c>
      <c r="F418" s="221"/>
      <c r="G418" s="220" t="s">
        <v>13</v>
      </c>
      <c r="H418" s="221"/>
      <c r="I418" s="216"/>
      <c r="J418" s="217"/>
      <c r="K418" s="220" t="s">
        <v>14</v>
      </c>
      <c r="L418" s="230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4">
      <c r="A419" s="15" t="s">
        <v>15</v>
      </c>
      <c r="B419" s="16"/>
      <c r="C419" s="17"/>
      <c r="D419" s="18"/>
      <c r="E419" s="17"/>
      <c r="F419" s="18"/>
      <c r="G419" s="17"/>
      <c r="H419" s="18"/>
      <c r="I419" s="17"/>
      <c r="J419" s="18"/>
      <c r="K419" s="17"/>
      <c r="L419" s="19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spans="1:24">
      <c r="A420" s="21" t="s">
        <v>16</v>
      </c>
      <c r="B420" s="16" t="s">
        <v>17</v>
      </c>
      <c r="C420" s="17" t="s">
        <v>18</v>
      </c>
      <c r="D420" s="22">
        <v>1141760</v>
      </c>
      <c r="E420" s="17" t="s">
        <v>18</v>
      </c>
      <c r="F420" s="22">
        <v>588696</v>
      </c>
      <c r="G420" s="17" t="s">
        <v>18</v>
      </c>
      <c r="H420" s="22">
        <f>J420-F420</f>
        <v>610187</v>
      </c>
      <c r="I420" s="17" t="s">
        <v>18</v>
      </c>
      <c r="J420" s="22">
        <v>1198883</v>
      </c>
      <c r="K420" s="17" t="s">
        <v>18</v>
      </c>
      <c r="L420" s="25">
        <v>1375846</v>
      </c>
      <c r="M420" s="26"/>
      <c r="N420" s="26"/>
      <c r="O420" s="26"/>
      <c r="P420" s="26"/>
      <c r="Q420" s="26"/>
      <c r="R420" s="26"/>
      <c r="S420" s="26"/>
      <c r="T420" s="26"/>
      <c r="U420" s="26"/>
      <c r="V420" s="26"/>
    </row>
    <row r="421" spans="1:24">
      <c r="A421" s="27" t="s">
        <v>19</v>
      </c>
      <c r="B421" s="16"/>
      <c r="C421" s="17"/>
      <c r="D421" s="28"/>
      <c r="E421" s="17"/>
      <c r="F421" s="28"/>
      <c r="G421" s="17"/>
      <c r="H421" s="28"/>
      <c r="I421" s="17"/>
      <c r="J421" s="28"/>
      <c r="K421" s="17"/>
      <c r="L421" s="30"/>
      <c r="M421" s="26"/>
      <c r="N421" s="26"/>
      <c r="O421" s="26"/>
      <c r="P421" s="26"/>
      <c r="Q421" s="26"/>
      <c r="R421" s="26"/>
      <c r="S421" s="26"/>
      <c r="T421" s="26"/>
      <c r="U421" s="26"/>
      <c r="V421" s="26"/>
    </row>
    <row r="422" spans="1:24">
      <c r="A422" s="21" t="s">
        <v>20</v>
      </c>
      <c r="B422" s="16" t="s">
        <v>21</v>
      </c>
      <c r="C422" s="17"/>
      <c r="D422" s="28">
        <v>48000</v>
      </c>
      <c r="E422" s="17"/>
      <c r="F422" s="28">
        <v>24000</v>
      </c>
      <c r="G422" s="17"/>
      <c r="H422" s="22">
        <f>J422-F422</f>
        <v>24000</v>
      </c>
      <c r="I422" s="17"/>
      <c r="J422" s="28">
        <v>48000</v>
      </c>
      <c r="K422" s="17"/>
      <c r="L422" s="30">
        <v>48000</v>
      </c>
      <c r="M422" s="26"/>
      <c r="N422" s="26"/>
      <c r="O422" s="26"/>
      <c r="P422" s="26"/>
      <c r="Q422" s="26"/>
      <c r="R422" s="26"/>
      <c r="S422" s="26"/>
      <c r="T422" s="26"/>
      <c r="U422" s="26"/>
      <c r="V422" s="26"/>
    </row>
    <row r="423" spans="1:24">
      <c r="A423" s="21" t="s">
        <v>22</v>
      </c>
      <c r="B423" s="16" t="s">
        <v>23</v>
      </c>
      <c r="C423" s="17"/>
      <c r="D423" s="91">
        <v>81600</v>
      </c>
      <c r="E423" s="17"/>
      <c r="F423" s="91">
        <v>40800</v>
      </c>
      <c r="G423" s="17"/>
      <c r="H423" s="22">
        <f>J423-F423</f>
        <v>40800</v>
      </c>
      <c r="I423" s="17"/>
      <c r="J423" s="91">
        <v>81600</v>
      </c>
      <c r="K423" s="17"/>
      <c r="L423" s="92">
        <v>81600</v>
      </c>
      <c r="M423" s="26"/>
      <c r="N423" s="26"/>
      <c r="O423" s="26"/>
      <c r="P423" s="26"/>
      <c r="Q423" s="26"/>
      <c r="R423" s="26"/>
      <c r="S423" s="26"/>
      <c r="T423" s="26"/>
      <c r="U423" s="26"/>
      <c r="V423" s="26"/>
    </row>
    <row r="424" spans="1:24">
      <c r="A424" s="21" t="s">
        <v>24</v>
      </c>
      <c r="B424" s="16" t="s">
        <v>25</v>
      </c>
      <c r="C424" s="17"/>
      <c r="D424" s="91">
        <v>81600</v>
      </c>
      <c r="E424" s="17"/>
      <c r="F424" s="91">
        <v>40800</v>
      </c>
      <c r="G424" s="17"/>
      <c r="H424" s="22">
        <f>J424-F424</f>
        <v>40800</v>
      </c>
      <c r="I424" s="17"/>
      <c r="J424" s="91">
        <v>81600</v>
      </c>
      <c r="K424" s="17"/>
      <c r="L424" s="92">
        <v>81600</v>
      </c>
      <c r="M424" s="26"/>
      <c r="N424" s="26"/>
      <c r="O424" s="26"/>
      <c r="P424" s="26"/>
      <c r="Q424" s="26"/>
      <c r="R424" s="26"/>
      <c r="S424" s="26"/>
      <c r="T424" s="26"/>
      <c r="U424" s="26"/>
      <c r="V424" s="26"/>
    </row>
    <row r="425" spans="1:24">
      <c r="A425" s="21" t="s">
        <v>26</v>
      </c>
      <c r="B425" s="16" t="s">
        <v>27</v>
      </c>
      <c r="C425" s="17"/>
      <c r="D425" s="91">
        <v>14000</v>
      </c>
      <c r="E425" s="17"/>
      <c r="F425" s="91">
        <v>14000</v>
      </c>
      <c r="G425" s="17"/>
      <c r="H425" s="22">
        <f>J425-F425</f>
        <v>0</v>
      </c>
      <c r="I425" s="17"/>
      <c r="J425" s="91">
        <v>14000</v>
      </c>
      <c r="K425" s="17"/>
      <c r="L425" s="92">
        <v>14000</v>
      </c>
      <c r="M425" s="26"/>
      <c r="N425" s="26"/>
      <c r="O425" s="26"/>
      <c r="P425" s="26"/>
      <c r="Q425" s="26"/>
      <c r="R425" s="26"/>
      <c r="S425" s="26"/>
      <c r="T425" s="26"/>
      <c r="U425" s="26"/>
      <c r="V425" s="26"/>
    </row>
    <row r="426" spans="1:24">
      <c r="A426" s="21" t="s">
        <v>28</v>
      </c>
      <c r="B426" s="16" t="s">
        <v>29</v>
      </c>
      <c r="C426" s="17"/>
      <c r="D426" s="91">
        <v>10000</v>
      </c>
      <c r="E426" s="17"/>
      <c r="F426" s="91">
        <v>0</v>
      </c>
      <c r="G426" s="17"/>
      <c r="H426" s="22">
        <f>J426-F426</f>
        <v>10000</v>
      </c>
      <c r="I426" s="17"/>
      <c r="J426" s="91">
        <v>10000</v>
      </c>
      <c r="K426" s="17"/>
      <c r="L426" s="92">
        <v>0</v>
      </c>
      <c r="M426" s="26"/>
      <c r="N426" s="26"/>
      <c r="O426" s="26"/>
      <c r="P426" s="26"/>
      <c r="Q426" s="26"/>
      <c r="R426" s="26"/>
      <c r="S426" s="26"/>
      <c r="T426" s="26"/>
      <c r="U426" s="26"/>
      <c r="V426" s="26"/>
    </row>
    <row r="427" spans="1:24">
      <c r="A427" s="21" t="s">
        <v>30</v>
      </c>
      <c r="B427" s="16" t="s">
        <v>31</v>
      </c>
      <c r="C427" s="17"/>
      <c r="D427" s="91">
        <v>40000</v>
      </c>
      <c r="E427" s="17"/>
      <c r="F427" s="91">
        <v>0</v>
      </c>
      <c r="G427" s="17"/>
      <c r="H427" s="22">
        <f>J427-F427</f>
        <v>40000</v>
      </c>
      <c r="I427" s="17"/>
      <c r="J427" s="91">
        <v>40000</v>
      </c>
      <c r="K427" s="17"/>
      <c r="L427" s="92">
        <v>0</v>
      </c>
      <c r="M427" s="26"/>
      <c r="N427" s="26"/>
      <c r="O427" s="26"/>
      <c r="P427" s="26"/>
      <c r="Q427" s="26"/>
      <c r="R427" s="26"/>
      <c r="S427" s="26"/>
      <c r="T427" s="26"/>
      <c r="U427" s="26"/>
      <c r="V427" s="26"/>
    </row>
    <row r="428" spans="1:24">
      <c r="A428" s="21" t="s">
        <v>32</v>
      </c>
      <c r="B428" s="16" t="s">
        <v>33</v>
      </c>
      <c r="C428" s="17"/>
      <c r="D428" s="91">
        <v>98116</v>
      </c>
      <c r="E428" s="17"/>
      <c r="F428" s="91">
        <v>0</v>
      </c>
      <c r="G428" s="17"/>
      <c r="H428" s="22">
        <f>J428-F428</f>
        <v>103796</v>
      </c>
      <c r="I428" s="17"/>
      <c r="J428" s="91">
        <v>103796</v>
      </c>
      <c r="K428" s="17"/>
      <c r="L428" s="92">
        <v>136029</v>
      </c>
      <c r="M428" s="26"/>
      <c r="N428" s="26"/>
      <c r="O428" s="26"/>
      <c r="P428" s="26"/>
      <c r="Q428" s="26"/>
      <c r="R428" s="26"/>
      <c r="S428" s="26"/>
      <c r="T428" s="26"/>
      <c r="U428" s="26"/>
      <c r="V428" s="26"/>
    </row>
    <row r="429" spans="1:24">
      <c r="A429" s="21" t="s">
        <v>34</v>
      </c>
      <c r="B429" s="16" t="s">
        <v>35</v>
      </c>
      <c r="C429" s="17"/>
      <c r="D429" s="91">
        <v>10000</v>
      </c>
      <c r="E429" s="17"/>
      <c r="F429" s="91">
        <v>0</v>
      </c>
      <c r="G429" s="17"/>
      <c r="H429" s="22">
        <f>J429-F429</f>
        <v>10000</v>
      </c>
      <c r="I429" s="17"/>
      <c r="J429" s="91">
        <v>10000</v>
      </c>
      <c r="K429" s="17"/>
      <c r="L429" s="92">
        <v>10000</v>
      </c>
      <c r="M429" s="26"/>
      <c r="N429" s="26"/>
      <c r="O429" s="26"/>
      <c r="P429" s="26"/>
      <c r="Q429" s="26"/>
      <c r="R429" s="26"/>
      <c r="S429" s="26"/>
      <c r="T429" s="26"/>
      <c r="U429" s="26"/>
      <c r="V429" s="26"/>
    </row>
    <row r="430" spans="1:24">
      <c r="A430" s="21" t="s">
        <v>36</v>
      </c>
      <c r="B430" s="16" t="s">
        <v>37</v>
      </c>
      <c r="C430" s="17"/>
      <c r="D430" s="91">
        <v>93662</v>
      </c>
      <c r="E430" s="17"/>
      <c r="F430" s="91">
        <v>98116</v>
      </c>
      <c r="G430" s="17"/>
      <c r="H430" s="22">
        <f>J430-F430</f>
        <v>0</v>
      </c>
      <c r="I430" s="17"/>
      <c r="J430" s="91">
        <v>98116</v>
      </c>
      <c r="K430" s="17"/>
      <c r="L430" s="92">
        <v>104023</v>
      </c>
      <c r="M430" s="26"/>
      <c r="N430" s="26"/>
      <c r="O430" s="26"/>
      <c r="P430" s="26"/>
      <c r="Q430" s="26"/>
      <c r="R430" s="26"/>
      <c r="S430" s="26"/>
      <c r="T430" s="26"/>
      <c r="U430" s="26"/>
      <c r="V430" s="26"/>
    </row>
    <row r="431" spans="1:24">
      <c r="A431" s="27" t="s">
        <v>38</v>
      </c>
      <c r="B431" s="16"/>
      <c r="C431" s="17"/>
      <c r="D431" s="28"/>
      <c r="E431" s="17"/>
      <c r="F431" s="28"/>
      <c r="G431" s="17"/>
      <c r="H431" s="28"/>
      <c r="I431" s="17"/>
      <c r="J431" s="28"/>
      <c r="K431" s="17"/>
      <c r="L431" s="30"/>
      <c r="M431" s="26"/>
      <c r="N431" s="26"/>
      <c r="O431" s="26"/>
      <c r="P431" s="26"/>
      <c r="Q431" s="26"/>
      <c r="R431" s="26"/>
      <c r="S431" s="26"/>
      <c r="T431" s="26"/>
      <c r="U431" s="26"/>
      <c r="V431" s="26"/>
    </row>
    <row r="432" spans="1:24">
      <c r="A432" s="21" t="s">
        <v>39</v>
      </c>
      <c r="B432" s="16" t="s">
        <v>40</v>
      </c>
      <c r="C432" s="17"/>
      <c r="D432" s="28">
        <v>137011.2</v>
      </c>
      <c r="E432" s="17"/>
      <c r="F432" s="28">
        <v>70643.52</v>
      </c>
      <c r="G432" s="17"/>
      <c r="H432" s="22">
        <f>J432-F432</f>
        <v>73223.48</v>
      </c>
      <c r="I432" s="17"/>
      <c r="J432" s="28">
        <v>143867</v>
      </c>
      <c r="K432" s="17"/>
      <c r="L432" s="30">
        <v>165130</v>
      </c>
      <c r="M432" s="26"/>
      <c r="N432" s="26"/>
      <c r="O432" s="26"/>
      <c r="P432" s="26"/>
      <c r="Q432" s="26"/>
      <c r="R432" s="26"/>
      <c r="S432" s="26"/>
      <c r="T432" s="26"/>
      <c r="U432" s="26"/>
      <c r="V432" s="26"/>
    </row>
    <row r="433" spans="1:24">
      <c r="A433" s="21" t="s">
        <v>41</v>
      </c>
      <c r="B433" s="16" t="s">
        <v>42</v>
      </c>
      <c r="C433" s="17"/>
      <c r="D433" s="91">
        <v>4600</v>
      </c>
      <c r="E433" s="17"/>
      <c r="F433" s="91">
        <v>2400</v>
      </c>
      <c r="G433" s="17"/>
      <c r="H433" s="22">
        <f>J433-F433</f>
        <v>2400</v>
      </c>
      <c r="I433" s="17"/>
      <c r="J433" s="91">
        <v>4800</v>
      </c>
      <c r="K433" s="17"/>
      <c r="L433" s="92">
        <v>4800</v>
      </c>
      <c r="M433" s="26"/>
      <c r="N433" s="26"/>
      <c r="O433" s="26"/>
      <c r="P433" s="26"/>
      <c r="Q433" s="26"/>
      <c r="R433" s="26"/>
      <c r="S433" s="26"/>
      <c r="T433" s="26"/>
      <c r="U433" s="26"/>
      <c r="V433" s="26"/>
    </row>
    <row r="434" spans="1:24">
      <c r="A434" s="21" t="s">
        <v>43</v>
      </c>
      <c r="B434" s="16" t="s">
        <v>44</v>
      </c>
      <c r="C434" s="17"/>
      <c r="D434" s="91">
        <v>28544</v>
      </c>
      <c r="E434" s="17"/>
      <c r="F434" s="91">
        <v>14717.4</v>
      </c>
      <c r="G434" s="17"/>
      <c r="H434" s="22">
        <f>J434-F434</f>
        <v>15254.6</v>
      </c>
      <c r="I434" s="17"/>
      <c r="J434" s="91">
        <v>29972</v>
      </c>
      <c r="K434" s="17"/>
      <c r="L434" s="92">
        <v>34430</v>
      </c>
      <c r="M434" s="26"/>
      <c r="N434" s="26"/>
      <c r="O434" s="26"/>
      <c r="P434" s="26"/>
      <c r="Q434" s="26"/>
      <c r="R434" s="26"/>
      <c r="S434" s="26"/>
      <c r="T434" s="26"/>
      <c r="U434" s="26"/>
      <c r="V434" s="26"/>
    </row>
    <row r="435" spans="1:24">
      <c r="A435" s="21" t="s">
        <v>45</v>
      </c>
      <c r="B435" s="16" t="s">
        <v>46</v>
      </c>
      <c r="C435" s="17"/>
      <c r="D435" s="91">
        <v>2200</v>
      </c>
      <c r="E435" s="17"/>
      <c r="F435" s="91">
        <v>1200</v>
      </c>
      <c r="G435" s="17"/>
      <c r="H435" s="22">
        <f>J435-F435</f>
        <v>1200</v>
      </c>
      <c r="I435" s="17"/>
      <c r="J435" s="91">
        <v>2400</v>
      </c>
      <c r="K435" s="17"/>
      <c r="L435" s="92">
        <v>2400</v>
      </c>
      <c r="M435" s="26"/>
      <c r="N435" s="26"/>
      <c r="O435" s="26"/>
      <c r="P435" s="26"/>
      <c r="Q435" s="26"/>
      <c r="R435" s="26"/>
      <c r="S435" s="26"/>
      <c r="T435" s="26"/>
      <c r="U435" s="26"/>
      <c r="V435" s="26"/>
    </row>
    <row r="436" spans="1:24">
      <c r="A436" s="27" t="s">
        <v>47</v>
      </c>
      <c r="B436" s="16"/>
      <c r="C436" s="23"/>
      <c r="D436" s="28"/>
      <c r="E436" s="17"/>
      <c r="F436" s="28"/>
      <c r="G436" s="17"/>
      <c r="H436" s="28"/>
      <c r="I436" s="17"/>
      <c r="J436" s="28"/>
      <c r="K436" s="17"/>
      <c r="L436" s="30"/>
      <c r="M436" s="26"/>
      <c r="N436" s="26"/>
      <c r="O436" s="26"/>
      <c r="P436" s="26"/>
      <c r="Q436" s="26"/>
      <c r="R436" s="26"/>
      <c r="S436" s="26"/>
      <c r="T436" s="26"/>
      <c r="U436" s="26"/>
      <c r="V436" s="26"/>
    </row>
    <row r="437" spans="1:24">
      <c r="A437" s="40" t="s">
        <v>48</v>
      </c>
      <c r="B437" s="16" t="s">
        <v>49</v>
      </c>
      <c r="C437" s="17"/>
      <c r="D437" s="22">
        <v>0</v>
      </c>
      <c r="E437" s="17"/>
      <c r="F437" s="22">
        <v>0</v>
      </c>
      <c r="G437" s="17"/>
      <c r="H437" s="22">
        <v>0</v>
      </c>
      <c r="I437" s="17"/>
      <c r="J437" s="22">
        <v>1102968</v>
      </c>
      <c r="K437" s="17"/>
      <c r="L437" s="25">
        <v>0</v>
      </c>
      <c r="M437" s="26"/>
      <c r="N437" s="26"/>
      <c r="O437" s="26"/>
      <c r="P437" s="26"/>
      <c r="Q437" s="26"/>
      <c r="R437" s="26"/>
      <c r="S437" s="26"/>
      <c r="T437" s="26"/>
      <c r="U437" s="26"/>
      <c r="V437" s="26"/>
    </row>
    <row r="438" spans="1:24" customHeight="1" ht="15">
      <c r="A438" s="21" t="s">
        <v>50</v>
      </c>
      <c r="B438" s="16" t="s">
        <v>51</v>
      </c>
      <c r="C438" s="17"/>
      <c r="D438" s="41">
        <v>0</v>
      </c>
      <c r="E438" s="17"/>
      <c r="F438" s="41">
        <v>14000</v>
      </c>
      <c r="G438" s="17"/>
      <c r="H438" s="41">
        <v>0</v>
      </c>
      <c r="I438" s="17"/>
      <c r="J438" s="41">
        <v>14000</v>
      </c>
      <c r="K438" s="17"/>
      <c r="L438" s="55">
        <v>14000</v>
      </c>
      <c r="M438" s="26"/>
      <c r="N438" s="26"/>
      <c r="O438" s="26"/>
      <c r="P438" s="26"/>
      <c r="Q438" s="26"/>
      <c r="R438" s="26"/>
      <c r="S438" s="26"/>
      <c r="T438" s="26"/>
      <c r="U438" s="26"/>
      <c r="V438" s="26"/>
    </row>
    <row r="439" spans="1:24" customHeight="1" ht="15">
      <c r="A439" s="44" t="s">
        <v>52</v>
      </c>
      <c r="B439" s="45"/>
      <c r="C439" s="46" t="s">
        <v>18</v>
      </c>
      <c r="D439" s="47">
        <f>SUM(D420:D438)</f>
        <v>1791093.2</v>
      </c>
      <c r="E439" s="48" t="s">
        <v>18</v>
      </c>
      <c r="F439" s="47">
        <f>SUM(F420:F438)</f>
        <v>909372.92</v>
      </c>
      <c r="G439" s="48" t="s">
        <v>18</v>
      </c>
      <c r="H439" s="47">
        <f>SUM(H420:H438)</f>
        <v>971661.08</v>
      </c>
      <c r="I439" s="48" t="s">
        <v>18</v>
      </c>
      <c r="J439" s="47">
        <f>SUM(J420:J438)</f>
        <v>2984002</v>
      </c>
      <c r="K439" s="48" t="s">
        <v>18</v>
      </c>
      <c r="L439" s="49">
        <f>SUM(L420:L438)</f>
        <v>2071858</v>
      </c>
      <c r="M439" s="50"/>
      <c r="N439" s="50"/>
      <c r="O439" s="50"/>
      <c r="P439" s="50"/>
      <c r="Q439" s="50"/>
      <c r="R439" s="50"/>
      <c r="S439" s="50"/>
      <c r="T439" s="50"/>
      <c r="U439" s="50"/>
      <c r="V439" s="50"/>
    </row>
    <row r="443" spans="1:24">
      <c r="A443" s="235" t="s">
        <v>0</v>
      </c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69"/>
      <c r="N443" s="69"/>
      <c r="O443" s="69"/>
      <c r="P443" s="69"/>
      <c r="Q443" s="69"/>
      <c r="R443" s="69"/>
      <c r="S443" s="69"/>
      <c r="T443" s="69"/>
      <c r="U443" s="69"/>
      <c r="V443" s="69"/>
    </row>
    <row r="445" spans="1:24" customHeight="1" ht="15.6">
      <c r="A445" s="236" t="s">
        <v>1</v>
      </c>
      <c r="B445" s="236"/>
      <c r="C445" s="236"/>
      <c r="D445" s="236"/>
      <c r="E445" s="236"/>
      <c r="F445" s="236"/>
      <c r="G445" s="236"/>
      <c r="H445" s="236"/>
      <c r="I445" s="236"/>
      <c r="J445" s="236"/>
      <c r="K445" s="236"/>
      <c r="L445" s="236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4">
      <c r="A446" s="231" t="s">
        <v>2</v>
      </c>
      <c r="B446" s="231"/>
      <c r="C446" s="231"/>
      <c r="D446" s="231"/>
      <c r="E446" s="231"/>
      <c r="F446" s="231"/>
      <c r="G446" s="231"/>
      <c r="H446" s="231"/>
      <c r="I446" s="231"/>
      <c r="J446" s="231"/>
      <c r="K446" s="231"/>
      <c r="L446" s="231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8" spans="1:24">
      <c r="A448" s="5" t="s">
        <v>131</v>
      </c>
    </row>
    <row r="449" spans="1:24" customHeight="1" ht="15"/>
    <row r="450" spans="1:24">
      <c r="A450" s="7"/>
      <c r="B450" s="8"/>
      <c r="C450" s="203" t="s">
        <v>4</v>
      </c>
      <c r="D450" s="204"/>
      <c r="E450" s="205" t="s">
        <v>5</v>
      </c>
      <c r="F450" s="206"/>
      <c r="G450" s="206"/>
      <c r="H450" s="206"/>
      <c r="I450" s="206"/>
      <c r="J450" s="207"/>
      <c r="K450" s="203" t="s">
        <v>6</v>
      </c>
      <c r="L450" s="22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4">
      <c r="A451" s="9" t="s">
        <v>7</v>
      </c>
      <c r="B451" s="10" t="s">
        <v>8</v>
      </c>
      <c r="C451" s="210">
        <v>2024</v>
      </c>
      <c r="D451" s="211"/>
      <c r="E451" s="212" t="s">
        <v>9</v>
      </c>
      <c r="F451" s="213"/>
      <c r="G451" s="212" t="s">
        <v>10</v>
      </c>
      <c r="H451" s="213"/>
      <c r="I451" s="214" t="s">
        <v>11</v>
      </c>
      <c r="J451" s="215"/>
      <c r="K451" s="210">
        <v>2026</v>
      </c>
      <c r="L451" s="229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4" customHeight="1" ht="15">
      <c r="A452" s="13"/>
      <c r="B452" s="14"/>
      <c r="C452" s="220" t="s">
        <v>12</v>
      </c>
      <c r="D452" s="221"/>
      <c r="E452" s="220" t="s">
        <v>12</v>
      </c>
      <c r="F452" s="221"/>
      <c r="G452" s="220" t="s">
        <v>13</v>
      </c>
      <c r="H452" s="221"/>
      <c r="I452" s="216"/>
      <c r="J452" s="217"/>
      <c r="K452" s="220" t="s">
        <v>14</v>
      </c>
      <c r="L452" s="230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4">
      <c r="A453" s="27" t="s">
        <v>53</v>
      </c>
      <c r="B453" s="52"/>
      <c r="C453" s="17"/>
      <c r="D453" s="18"/>
      <c r="E453" s="17"/>
      <c r="F453" s="18"/>
      <c r="G453" s="17"/>
      <c r="H453" s="18"/>
      <c r="I453" s="17"/>
      <c r="J453" s="18"/>
      <c r="K453" s="17"/>
      <c r="L453" s="19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spans="1:24">
      <c r="A454" s="21" t="s">
        <v>54</v>
      </c>
      <c r="B454" s="16" t="s">
        <v>55</v>
      </c>
      <c r="C454" s="17" t="s">
        <v>18</v>
      </c>
      <c r="D454" s="28">
        <v>83217.18</v>
      </c>
      <c r="E454" s="17" t="s">
        <v>18</v>
      </c>
      <c r="F454" s="28">
        <v>76529.36</v>
      </c>
      <c r="G454" s="17" t="s">
        <v>18</v>
      </c>
      <c r="H454" s="28">
        <f>J454-F454</f>
        <v>9820.64</v>
      </c>
      <c r="I454" s="17" t="s">
        <v>18</v>
      </c>
      <c r="J454" s="28">
        <v>86350</v>
      </c>
      <c r="K454" s="17" t="s">
        <v>18</v>
      </c>
      <c r="L454" s="30">
        <v>91350</v>
      </c>
      <c r="M454" s="26"/>
      <c r="N454" s="26"/>
      <c r="O454" s="26"/>
      <c r="P454" s="26"/>
      <c r="Q454" s="26"/>
      <c r="R454" s="26"/>
      <c r="S454" s="26"/>
      <c r="T454" s="26"/>
      <c r="U454" s="26"/>
      <c r="V454" s="26"/>
    </row>
    <row r="455" spans="1:24">
      <c r="A455" s="21" t="s">
        <v>58</v>
      </c>
      <c r="B455" s="16" t="s">
        <v>59</v>
      </c>
      <c r="C455" s="17"/>
      <c r="D455" s="91">
        <v>84862.58</v>
      </c>
      <c r="E455" s="17"/>
      <c r="F455" s="91">
        <v>1157.62</v>
      </c>
      <c r="G455" s="17"/>
      <c r="H455" s="91">
        <f>J455-F455</f>
        <v>82842.38</v>
      </c>
      <c r="I455" s="17"/>
      <c r="J455" s="91">
        <v>84000</v>
      </c>
      <c r="K455" s="17"/>
      <c r="L455" s="169">
        <v>84000</v>
      </c>
      <c r="M455" s="26"/>
      <c r="N455" s="26"/>
      <c r="O455" s="26"/>
      <c r="P455" s="26"/>
      <c r="Q455" s="26"/>
      <c r="R455" s="26"/>
      <c r="S455" s="26"/>
      <c r="T455" s="26"/>
      <c r="U455" s="26"/>
      <c r="V455" s="26"/>
    </row>
    <row r="456" spans="1:24">
      <c r="A456" s="21" t="s">
        <v>70</v>
      </c>
      <c r="B456" s="16" t="s">
        <v>71</v>
      </c>
      <c r="C456" s="17"/>
      <c r="D456" s="91">
        <v>60000</v>
      </c>
      <c r="E456" s="17"/>
      <c r="F456" s="91">
        <v>25000</v>
      </c>
      <c r="G456" s="17"/>
      <c r="H456" s="91">
        <f>J456-F456</f>
        <v>35000</v>
      </c>
      <c r="I456" s="17"/>
      <c r="J456" s="91">
        <v>60000</v>
      </c>
      <c r="K456" s="17"/>
      <c r="L456" s="92">
        <v>60000</v>
      </c>
      <c r="M456" s="26"/>
      <c r="N456" s="26"/>
      <c r="O456" s="26"/>
      <c r="P456" s="26"/>
      <c r="Q456" s="26"/>
      <c r="R456" s="26"/>
      <c r="S456" s="26"/>
      <c r="T456" s="26"/>
      <c r="U456" s="26"/>
      <c r="V456" s="26"/>
    </row>
    <row r="457" spans="1:24">
      <c r="A457" s="21" t="s">
        <v>72</v>
      </c>
      <c r="B457" s="16" t="s">
        <v>73</v>
      </c>
      <c r="C457" s="17"/>
      <c r="D457" s="91">
        <v>24896.92</v>
      </c>
      <c r="E457" s="17"/>
      <c r="F457" s="91">
        <v>10383.3</v>
      </c>
      <c r="G457" s="17"/>
      <c r="H457" s="91">
        <f>J457-F457</f>
        <v>14616.7</v>
      </c>
      <c r="I457" s="17"/>
      <c r="J457" s="91">
        <v>25000</v>
      </c>
      <c r="K457" s="17"/>
      <c r="L457" s="92">
        <v>25000</v>
      </c>
      <c r="M457" s="26"/>
      <c r="N457" s="26"/>
      <c r="O457" s="26"/>
      <c r="P457" s="26"/>
      <c r="Q457" s="26"/>
      <c r="R457" s="26"/>
      <c r="S457" s="26"/>
      <c r="T457" s="26"/>
      <c r="U457" s="26"/>
      <c r="V457" s="26"/>
    </row>
    <row r="458" spans="1:24">
      <c r="A458" s="21" t="s">
        <v>80</v>
      </c>
      <c r="B458" s="16" t="s">
        <v>81</v>
      </c>
      <c r="C458" s="17"/>
      <c r="D458" s="91">
        <v>1200</v>
      </c>
      <c r="E458" s="17"/>
      <c r="F458" s="91">
        <v>0</v>
      </c>
      <c r="G458" s="17"/>
      <c r="H458" s="91">
        <f>J458-F458</f>
        <v>10000</v>
      </c>
      <c r="I458" s="17"/>
      <c r="J458" s="91">
        <v>10000</v>
      </c>
      <c r="K458" s="17"/>
      <c r="L458" s="92">
        <v>10000</v>
      </c>
      <c r="M458" s="26"/>
      <c r="N458" s="26"/>
      <c r="O458" s="26"/>
      <c r="P458" s="26"/>
      <c r="Q458" s="26"/>
      <c r="R458" s="26"/>
      <c r="S458" s="26"/>
      <c r="T458" s="26"/>
      <c r="U458" s="26"/>
      <c r="V458" s="26"/>
    </row>
    <row r="459" spans="1:24" customHeight="1" ht="15">
      <c r="A459" s="21" t="s">
        <v>92</v>
      </c>
      <c r="B459" s="16" t="s">
        <v>93</v>
      </c>
      <c r="C459" s="17"/>
      <c r="D459" s="41">
        <v>12294.82</v>
      </c>
      <c r="E459" s="17"/>
      <c r="F459" s="41">
        <v>0</v>
      </c>
      <c r="G459" s="17"/>
      <c r="H459" s="93">
        <f>J459-F459</f>
        <v>5000</v>
      </c>
      <c r="I459" s="17"/>
      <c r="J459" s="41">
        <v>5000</v>
      </c>
      <c r="K459" s="17"/>
      <c r="L459" s="55">
        <v>0</v>
      </c>
      <c r="M459" s="26"/>
      <c r="N459" s="26"/>
      <c r="O459" s="26"/>
      <c r="P459" s="26"/>
      <c r="Q459" s="26"/>
      <c r="R459" s="26"/>
      <c r="S459" s="26"/>
      <c r="T459" s="26"/>
      <c r="U459" s="26"/>
      <c r="V459" s="26"/>
    </row>
    <row r="460" spans="1:24" customHeight="1" ht="15">
      <c r="A460" s="27" t="s">
        <v>94</v>
      </c>
      <c r="B460" s="52"/>
      <c r="C460" s="56" t="s">
        <v>18</v>
      </c>
      <c r="D460" s="47">
        <f>SUM(D454:D459)</f>
        <v>266471.5</v>
      </c>
      <c r="E460" s="56" t="s">
        <v>18</v>
      </c>
      <c r="F460" s="47">
        <f>SUM(F454:F459)</f>
        <v>113070.28</v>
      </c>
      <c r="G460" s="56" t="s">
        <v>18</v>
      </c>
      <c r="H460" s="47">
        <f>SUM(H454:H459)</f>
        <v>157279.72</v>
      </c>
      <c r="I460" s="56" t="s">
        <v>18</v>
      </c>
      <c r="J460" s="47">
        <f>SUM(J454:J459)</f>
        <v>270350</v>
      </c>
      <c r="K460" s="56" t="s">
        <v>18</v>
      </c>
      <c r="L460" s="47">
        <f>SUM(L454:L459)</f>
        <v>270350</v>
      </c>
      <c r="M460" s="59"/>
      <c r="N460" s="59"/>
      <c r="O460" s="59"/>
      <c r="P460" s="59"/>
      <c r="Q460" s="59"/>
      <c r="R460" s="59"/>
      <c r="S460" s="59"/>
      <c r="T460" s="50"/>
      <c r="U460" s="50"/>
      <c r="V460" s="50"/>
    </row>
    <row r="461" spans="1:24">
      <c r="A461" s="27" t="s">
        <v>95</v>
      </c>
      <c r="B461" s="52"/>
      <c r="C461" s="17"/>
      <c r="D461" s="75"/>
      <c r="E461" s="17"/>
      <c r="F461" s="75"/>
      <c r="G461" s="17"/>
      <c r="H461" s="75"/>
      <c r="I461" s="17"/>
      <c r="J461" s="75"/>
      <c r="K461" s="17"/>
      <c r="L461" s="76"/>
      <c r="M461" s="26"/>
      <c r="N461" s="26"/>
      <c r="O461" s="26"/>
      <c r="P461" s="26"/>
      <c r="Q461" s="26"/>
      <c r="R461" s="26"/>
      <c r="S461" s="26"/>
      <c r="T461" s="26"/>
      <c r="U461" s="26"/>
      <c r="V461" s="26"/>
    </row>
    <row r="462" spans="1:24" customHeight="1" ht="15">
      <c r="A462" s="21" t="s">
        <v>96</v>
      </c>
      <c r="B462" s="16" t="s">
        <v>97</v>
      </c>
      <c r="C462" s="17" t="s">
        <v>18</v>
      </c>
      <c r="D462" s="28">
        <v>0</v>
      </c>
      <c r="E462" s="17" t="s">
        <v>18</v>
      </c>
      <c r="F462" s="28">
        <v>0</v>
      </c>
      <c r="G462" s="17" t="s">
        <v>18</v>
      </c>
      <c r="H462" s="28">
        <v>0</v>
      </c>
      <c r="I462" s="17" t="s">
        <v>18</v>
      </c>
      <c r="J462" s="28">
        <v>100000</v>
      </c>
      <c r="K462" s="17" t="s">
        <v>18</v>
      </c>
      <c r="L462" s="30">
        <v>100000</v>
      </c>
      <c r="M462" s="26"/>
      <c r="N462" s="26"/>
      <c r="O462" s="26"/>
      <c r="P462" s="26"/>
      <c r="Q462" s="26"/>
      <c r="R462" s="26"/>
      <c r="S462" s="26"/>
      <c r="T462" s="26"/>
      <c r="U462" s="26"/>
      <c r="V462" s="26"/>
    </row>
    <row r="463" spans="1:24" customHeight="1" ht="15">
      <c r="A463" s="27" t="s">
        <v>98</v>
      </c>
      <c r="B463" s="16"/>
      <c r="C463" s="56" t="s">
        <v>18</v>
      </c>
      <c r="D463" s="77">
        <f>SUM(D462)</f>
        <v>0</v>
      </c>
      <c r="E463" s="56" t="s">
        <v>18</v>
      </c>
      <c r="F463" s="77">
        <f>SUM(F462)</f>
        <v>0</v>
      </c>
      <c r="G463" s="56" t="s">
        <v>18</v>
      </c>
      <c r="H463" s="77">
        <f>SUM(H462)</f>
        <v>0</v>
      </c>
      <c r="I463" s="56" t="s">
        <v>18</v>
      </c>
      <c r="J463" s="77">
        <f>SUM(J462)</f>
        <v>100000</v>
      </c>
      <c r="K463" s="56" t="s">
        <v>18</v>
      </c>
      <c r="L463" s="78">
        <f>SUM(L462)</f>
        <v>100000</v>
      </c>
      <c r="M463" s="50"/>
      <c r="N463" s="50"/>
      <c r="O463" s="50"/>
      <c r="P463" s="50"/>
      <c r="Q463" s="50"/>
      <c r="R463" s="50"/>
      <c r="S463" s="50"/>
      <c r="T463" s="50"/>
      <c r="U463" s="50"/>
      <c r="V463" s="50"/>
    </row>
    <row r="464" spans="1:24" customHeight="1" ht="15">
      <c r="A464" s="79" t="s">
        <v>99</v>
      </c>
      <c r="B464" s="80"/>
      <c r="C464" s="81" t="s">
        <v>18</v>
      </c>
      <c r="D464" s="82">
        <f>D439+D460+D463</f>
        <v>2057564.7</v>
      </c>
      <c r="E464" s="83" t="s">
        <v>18</v>
      </c>
      <c r="F464" s="82">
        <f>F439+F460+F463</f>
        <v>1022443.2</v>
      </c>
      <c r="G464" s="83" t="s">
        <v>18</v>
      </c>
      <c r="H464" s="82">
        <f>H439+H460+H463</f>
        <v>1128940.8</v>
      </c>
      <c r="I464" s="83" t="s">
        <v>18</v>
      </c>
      <c r="J464" s="82">
        <f>J439+J460+J463</f>
        <v>3354352</v>
      </c>
      <c r="K464" s="83" t="s">
        <v>18</v>
      </c>
      <c r="L464" s="84">
        <f>L439+L460+L463</f>
        <v>2442208</v>
      </c>
      <c r="M464" s="50"/>
      <c r="N464" s="50"/>
      <c r="O464" s="50"/>
      <c r="P464" s="50"/>
      <c r="Q464" s="50"/>
      <c r="R464" s="50"/>
      <c r="S464" s="50"/>
      <c r="T464" s="50"/>
      <c r="U464" s="50"/>
      <c r="V464" s="50"/>
    </row>
    <row r="465" spans="1:24" customHeight="1" ht="15"/>
    <row r="466" spans="1:24" customHeight="1" ht="15.6">
      <c r="A466" s="159" t="s">
        <v>100</v>
      </c>
      <c r="B466" s="159" t="s">
        <v>101</v>
      </c>
      <c r="C466" s="159"/>
      <c r="D466" s="159"/>
      <c r="E466" s="159"/>
      <c r="F466" s="159"/>
      <c r="G466" s="159" t="s">
        <v>102</v>
      </c>
      <c r="H466" s="159"/>
      <c r="I466" s="159"/>
      <c r="J466" s="159"/>
      <c r="K466" s="159"/>
      <c r="L466" s="160"/>
      <c r="M466" s="160"/>
    </row>
    <row r="467" spans="1:24" customHeight="1" ht="15.6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60"/>
      <c r="M467" s="160"/>
    </row>
    <row r="468" spans="1:24" customHeight="1" ht="15.6">
      <c r="A468" s="159" t="s">
        <v>132</v>
      </c>
      <c r="B468" s="159"/>
      <c r="C468" s="159"/>
      <c r="D468" s="201" t="s">
        <v>112</v>
      </c>
      <c r="E468" s="159"/>
      <c r="F468" s="159"/>
      <c r="G468" s="159"/>
      <c r="H468" s="159"/>
      <c r="I468" s="159"/>
      <c r="J468" s="201" t="s">
        <v>112</v>
      </c>
      <c r="K468" s="159"/>
      <c r="L468" s="160"/>
      <c r="M468" s="160"/>
    </row>
    <row r="469" spans="1:24" customHeight="1" ht="15.6">
      <c r="A469" s="3" t="s">
        <v>133</v>
      </c>
      <c r="B469" s="236" t="s">
        <v>107</v>
      </c>
      <c r="C469" s="236"/>
      <c r="D469" s="236"/>
      <c r="E469" s="236"/>
      <c r="F469" s="236"/>
      <c r="G469" s="159"/>
      <c r="H469" s="236" t="s">
        <v>106</v>
      </c>
      <c r="I469" s="236"/>
      <c r="J469" s="236"/>
      <c r="K469" s="236"/>
      <c r="L469" s="236"/>
      <c r="M469" s="3"/>
      <c r="N469" s="66"/>
      <c r="O469" s="66"/>
      <c r="P469" s="66"/>
      <c r="Q469" s="66"/>
      <c r="R469" s="66"/>
      <c r="S469" s="66"/>
      <c r="T469" s="66"/>
      <c r="U469" s="66"/>
      <c r="V469" s="66"/>
    </row>
    <row r="470" spans="1:24" customHeight="1" ht="15.6">
      <c r="A470" s="161" t="s">
        <v>134</v>
      </c>
      <c r="B470" s="237" t="s">
        <v>109</v>
      </c>
      <c r="C470" s="237"/>
      <c r="D470" s="237"/>
      <c r="E470" s="237"/>
      <c r="F470" s="237"/>
      <c r="G470" s="159"/>
      <c r="H470" s="237" t="s">
        <v>108</v>
      </c>
      <c r="I470" s="237"/>
      <c r="J470" s="237"/>
      <c r="K470" s="237"/>
      <c r="L470" s="237"/>
      <c r="M470" s="161"/>
      <c r="N470" s="68"/>
      <c r="O470" s="68"/>
      <c r="P470" s="68"/>
      <c r="Q470" s="68"/>
      <c r="R470" s="68"/>
      <c r="S470" s="68"/>
      <c r="T470" s="68"/>
      <c r="U470" s="68"/>
      <c r="V470" s="68"/>
    </row>
    <row r="471" spans="1:24" customHeight="1" ht="15.6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60"/>
      <c r="M471" s="160"/>
    </row>
    <row r="475" spans="1:24">
      <c r="J475" s="17"/>
    </row>
    <row r="476" spans="1:24">
      <c r="A476" s="235" t="s">
        <v>0</v>
      </c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69"/>
      <c r="N476" s="69"/>
      <c r="O476" s="69"/>
      <c r="P476" s="69"/>
      <c r="Q476" s="69"/>
      <c r="R476" s="69"/>
      <c r="S476" s="69"/>
      <c r="T476" s="69"/>
      <c r="U476" s="69"/>
      <c r="V476" s="69"/>
    </row>
    <row r="478" spans="1:24" customHeight="1" ht="15.6">
      <c r="A478" s="236" t="s">
        <v>1</v>
      </c>
      <c r="B478" s="236"/>
      <c r="C478" s="236"/>
      <c r="D478" s="236"/>
      <c r="E478" s="236"/>
      <c r="F478" s="236"/>
      <c r="G478" s="236"/>
      <c r="H478" s="236"/>
      <c r="I478" s="236"/>
      <c r="J478" s="236"/>
      <c r="K478" s="236"/>
      <c r="L478" s="236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4">
      <c r="A479" s="231" t="s">
        <v>2</v>
      </c>
      <c r="B479" s="231"/>
      <c r="C479" s="231"/>
      <c r="D479" s="231"/>
      <c r="E479" s="231"/>
      <c r="F479" s="231"/>
      <c r="G479" s="231"/>
      <c r="H479" s="231"/>
      <c r="I479" s="231"/>
      <c r="J479" s="231"/>
      <c r="K479" s="231"/>
      <c r="L479" s="231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1" spans="1:24">
      <c r="A481" s="5" t="s">
        <v>135</v>
      </c>
    </row>
    <row r="482" spans="1:24" customHeight="1" ht="15"/>
    <row r="483" spans="1:24">
      <c r="A483" s="7"/>
      <c r="B483" s="8"/>
      <c r="C483" s="203" t="s">
        <v>4</v>
      </c>
      <c r="D483" s="204"/>
      <c r="E483" s="205" t="s">
        <v>5</v>
      </c>
      <c r="F483" s="206"/>
      <c r="G483" s="206"/>
      <c r="H483" s="206"/>
      <c r="I483" s="206"/>
      <c r="J483" s="207"/>
      <c r="K483" s="203" t="s">
        <v>6</v>
      </c>
      <c r="L483" s="22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4">
      <c r="A484" s="9" t="s">
        <v>7</v>
      </c>
      <c r="B484" s="10" t="s">
        <v>8</v>
      </c>
      <c r="C484" s="210">
        <v>2024</v>
      </c>
      <c r="D484" s="211"/>
      <c r="E484" s="212" t="s">
        <v>9</v>
      </c>
      <c r="F484" s="213"/>
      <c r="G484" s="212" t="s">
        <v>10</v>
      </c>
      <c r="H484" s="213"/>
      <c r="I484" s="214" t="s">
        <v>11</v>
      </c>
      <c r="J484" s="215"/>
      <c r="K484" s="210">
        <v>2026</v>
      </c>
      <c r="L484" s="229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4" customHeight="1" ht="15">
      <c r="A485" s="13"/>
      <c r="B485" s="14"/>
      <c r="C485" s="220" t="s">
        <v>12</v>
      </c>
      <c r="D485" s="221"/>
      <c r="E485" s="220" t="s">
        <v>12</v>
      </c>
      <c r="F485" s="221"/>
      <c r="G485" s="220" t="s">
        <v>13</v>
      </c>
      <c r="H485" s="221"/>
      <c r="I485" s="216"/>
      <c r="J485" s="217"/>
      <c r="K485" s="220" t="s">
        <v>14</v>
      </c>
      <c r="L485" s="230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4">
      <c r="A486" s="15" t="s">
        <v>15</v>
      </c>
      <c r="B486" s="16"/>
      <c r="C486" s="17"/>
      <c r="D486" s="18"/>
      <c r="E486" s="17"/>
      <c r="F486" s="18"/>
      <c r="G486" s="17"/>
      <c r="H486" s="18"/>
      <c r="I486" s="17"/>
      <c r="J486" s="18"/>
      <c r="K486" s="17"/>
      <c r="L486" s="19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spans="1:24">
      <c r="A487" s="21" t="s">
        <v>16</v>
      </c>
      <c r="B487" s="16" t="s">
        <v>17</v>
      </c>
      <c r="C487" s="17" t="s">
        <v>18</v>
      </c>
      <c r="D487" s="22">
        <v>1255453.45</v>
      </c>
      <c r="E487" s="17" t="s">
        <v>18</v>
      </c>
      <c r="F487" s="22">
        <v>594373.18</v>
      </c>
      <c r="G487" s="17" t="s">
        <v>18</v>
      </c>
      <c r="H487" s="22">
        <f>J487-F487</f>
        <v>731823.82</v>
      </c>
      <c r="I487" s="17" t="s">
        <v>18</v>
      </c>
      <c r="J487" s="22">
        <v>1326197</v>
      </c>
      <c r="K487" s="17" t="s">
        <v>18</v>
      </c>
      <c r="L487" s="25">
        <v>1635376</v>
      </c>
      <c r="M487" s="26"/>
      <c r="N487" s="26"/>
      <c r="O487" s="26"/>
      <c r="P487" s="26"/>
      <c r="Q487" s="26"/>
      <c r="R487" s="26"/>
      <c r="S487" s="26"/>
      <c r="T487" s="26"/>
      <c r="U487" s="26"/>
      <c r="V487" s="26"/>
    </row>
    <row r="488" spans="1:24">
      <c r="A488" s="27" t="s">
        <v>19</v>
      </c>
      <c r="B488" s="16"/>
      <c r="C488" s="17"/>
      <c r="D488" s="28"/>
      <c r="E488" s="17"/>
      <c r="F488" s="28"/>
      <c r="G488" s="17"/>
      <c r="H488" s="28"/>
      <c r="I488" s="17"/>
      <c r="J488" s="28"/>
      <c r="K488" s="17"/>
      <c r="L488" s="30"/>
      <c r="M488" s="26"/>
      <c r="N488" s="26"/>
      <c r="O488" s="26"/>
      <c r="P488" s="26"/>
      <c r="Q488" s="26"/>
      <c r="R488" s="26"/>
      <c r="S488" s="26"/>
      <c r="T488" s="26"/>
      <c r="U488" s="26"/>
      <c r="V488" s="26"/>
    </row>
    <row r="489" spans="1:24">
      <c r="A489" s="21" t="s">
        <v>20</v>
      </c>
      <c r="B489" s="16" t="s">
        <v>21</v>
      </c>
      <c r="C489" s="17"/>
      <c r="D489" s="28">
        <v>86000</v>
      </c>
      <c r="E489" s="17"/>
      <c r="F489" s="28">
        <v>36000</v>
      </c>
      <c r="G489" s="17"/>
      <c r="H489" s="22">
        <f>J489-F489</f>
        <v>48000</v>
      </c>
      <c r="I489" s="17"/>
      <c r="J489" s="28">
        <v>84000</v>
      </c>
      <c r="K489" s="17"/>
      <c r="L489" s="30">
        <v>96000</v>
      </c>
      <c r="M489" s="26"/>
      <c r="N489" s="26"/>
      <c r="O489" s="26"/>
      <c r="P489" s="26"/>
      <c r="Q489" s="26"/>
      <c r="R489" s="26"/>
      <c r="S489" s="26"/>
      <c r="T489" s="26"/>
      <c r="U489" s="26"/>
      <c r="V489" s="26"/>
    </row>
    <row r="490" spans="1:24">
      <c r="A490" s="21" t="s">
        <v>22</v>
      </c>
      <c r="B490" s="16" t="s">
        <v>23</v>
      </c>
      <c r="C490" s="17"/>
      <c r="D490" s="91">
        <v>81600</v>
      </c>
      <c r="E490" s="17"/>
      <c r="F490" s="91">
        <v>40800</v>
      </c>
      <c r="G490" s="17"/>
      <c r="H490" s="22">
        <f>J490-F490</f>
        <v>40800</v>
      </c>
      <c r="I490" s="17"/>
      <c r="J490" s="91">
        <v>81600</v>
      </c>
      <c r="K490" s="17"/>
      <c r="L490" s="92">
        <v>81600</v>
      </c>
      <c r="M490" s="26"/>
      <c r="N490" s="26"/>
      <c r="O490" s="26"/>
      <c r="P490" s="26"/>
      <c r="Q490" s="26"/>
      <c r="R490" s="26"/>
      <c r="S490" s="26"/>
      <c r="T490" s="26"/>
      <c r="U490" s="26"/>
      <c r="V490" s="26"/>
    </row>
    <row r="491" spans="1:24">
      <c r="A491" s="21" t="s">
        <v>24</v>
      </c>
      <c r="B491" s="16" t="s">
        <v>25</v>
      </c>
      <c r="C491" s="17"/>
      <c r="D491" s="91">
        <v>81600</v>
      </c>
      <c r="E491" s="17"/>
      <c r="F491" s="91">
        <v>40800</v>
      </c>
      <c r="G491" s="17"/>
      <c r="H491" s="22">
        <f>J491-F491</f>
        <v>40800</v>
      </c>
      <c r="I491" s="17"/>
      <c r="J491" s="91">
        <v>81600</v>
      </c>
      <c r="K491" s="17"/>
      <c r="L491" s="92">
        <v>81600</v>
      </c>
      <c r="M491" s="26"/>
      <c r="N491" s="26"/>
      <c r="O491" s="26"/>
      <c r="P491" s="26"/>
      <c r="Q491" s="26"/>
      <c r="R491" s="26"/>
      <c r="S491" s="26"/>
      <c r="T491" s="26"/>
      <c r="U491" s="26"/>
      <c r="V491" s="26"/>
    </row>
    <row r="492" spans="1:24">
      <c r="A492" s="21" t="s">
        <v>26</v>
      </c>
      <c r="B492" s="16" t="s">
        <v>27</v>
      </c>
      <c r="C492" s="17"/>
      <c r="D492" s="91">
        <v>28000</v>
      </c>
      <c r="E492" s="17"/>
      <c r="F492" s="91">
        <v>21000</v>
      </c>
      <c r="G492" s="17"/>
      <c r="H492" s="22">
        <f>J492-F492</f>
        <v>0</v>
      </c>
      <c r="I492" s="17"/>
      <c r="J492" s="91">
        <v>21000</v>
      </c>
      <c r="K492" s="17"/>
      <c r="L492" s="92">
        <v>28000</v>
      </c>
      <c r="M492" s="26"/>
      <c r="N492" s="26"/>
      <c r="O492" s="26"/>
      <c r="P492" s="26"/>
      <c r="Q492" s="26"/>
      <c r="R492" s="26"/>
      <c r="S492" s="26"/>
      <c r="T492" s="26"/>
      <c r="U492" s="26"/>
      <c r="V492" s="26"/>
    </row>
    <row r="493" spans="1:24">
      <c r="A493" s="21" t="s">
        <v>28</v>
      </c>
      <c r="B493" s="16" t="s">
        <v>29</v>
      </c>
      <c r="C493" s="17"/>
      <c r="D493" s="91">
        <v>15000</v>
      </c>
      <c r="E493" s="17"/>
      <c r="F493" s="91">
        <v>0</v>
      </c>
      <c r="G493" s="17"/>
      <c r="H493" s="22">
        <f>J493-F493</f>
        <v>20000</v>
      </c>
      <c r="I493" s="17"/>
      <c r="J493" s="91">
        <v>20000</v>
      </c>
      <c r="K493" s="17"/>
      <c r="L493" s="92">
        <v>0</v>
      </c>
      <c r="M493" s="26"/>
      <c r="N493" s="26"/>
      <c r="O493" s="26"/>
      <c r="P493" s="26"/>
      <c r="Q493" s="26"/>
      <c r="R493" s="26"/>
      <c r="S493" s="26"/>
      <c r="T493" s="26"/>
      <c r="U493" s="26"/>
      <c r="V493" s="26"/>
    </row>
    <row r="494" spans="1:24">
      <c r="A494" s="21" t="s">
        <v>30</v>
      </c>
      <c r="B494" s="16" t="s">
        <v>31</v>
      </c>
      <c r="C494" s="17"/>
      <c r="D494" s="91">
        <v>60000</v>
      </c>
      <c r="E494" s="17"/>
      <c r="F494" s="91">
        <v>0</v>
      </c>
      <c r="G494" s="17"/>
      <c r="H494" s="22">
        <f>J494-F494</f>
        <v>80000</v>
      </c>
      <c r="I494" s="17"/>
      <c r="J494" s="91">
        <v>80000</v>
      </c>
      <c r="K494" s="17"/>
      <c r="L494" s="92">
        <v>0</v>
      </c>
      <c r="M494" s="26"/>
      <c r="N494" s="26"/>
      <c r="O494" s="26"/>
      <c r="P494" s="26"/>
      <c r="Q494" s="26"/>
      <c r="R494" s="26"/>
      <c r="S494" s="26"/>
      <c r="T494" s="26"/>
      <c r="U494" s="26"/>
      <c r="V494" s="26"/>
    </row>
    <row r="495" spans="1:24">
      <c r="A495" s="21" t="s">
        <v>32</v>
      </c>
      <c r="B495" s="16" t="s">
        <v>33</v>
      </c>
      <c r="C495" s="17"/>
      <c r="D495" s="91">
        <v>110864.2</v>
      </c>
      <c r="E495" s="17"/>
      <c r="F495" s="91">
        <v>0</v>
      </c>
      <c r="G495" s="17"/>
      <c r="H495" s="22">
        <f>J495-F495</f>
        <v>123648</v>
      </c>
      <c r="I495" s="17"/>
      <c r="J495" s="91">
        <v>123648</v>
      </c>
      <c r="K495" s="17"/>
      <c r="L495" s="92">
        <v>161548</v>
      </c>
      <c r="M495" s="26"/>
      <c r="N495" s="26"/>
      <c r="O495" s="26"/>
      <c r="P495" s="26"/>
      <c r="Q495" s="26"/>
      <c r="R495" s="26"/>
      <c r="S495" s="26"/>
      <c r="T495" s="26"/>
      <c r="U495" s="26"/>
      <c r="V495" s="26"/>
    </row>
    <row r="496" spans="1:24">
      <c r="A496" s="21" t="s">
        <v>34</v>
      </c>
      <c r="B496" s="16" t="s">
        <v>35</v>
      </c>
      <c r="C496" s="17"/>
      <c r="D496" s="91">
        <v>19000</v>
      </c>
      <c r="E496" s="17"/>
      <c r="F496" s="91">
        <v>0</v>
      </c>
      <c r="G496" s="17"/>
      <c r="H496" s="22">
        <f>J496-F496</f>
        <v>20000</v>
      </c>
      <c r="I496" s="17"/>
      <c r="J496" s="91">
        <v>20000</v>
      </c>
      <c r="K496" s="17"/>
      <c r="L496" s="92">
        <v>20000</v>
      </c>
      <c r="M496" s="26"/>
      <c r="N496" s="26"/>
      <c r="O496" s="26"/>
      <c r="P496" s="26"/>
      <c r="Q496" s="26"/>
      <c r="R496" s="26"/>
      <c r="S496" s="26"/>
      <c r="T496" s="26"/>
      <c r="U496" s="26"/>
      <c r="V496" s="26"/>
    </row>
    <row r="497" spans="1:24">
      <c r="A497" s="21" t="s">
        <v>36</v>
      </c>
      <c r="B497" s="16" t="s">
        <v>37</v>
      </c>
      <c r="C497" s="17"/>
      <c r="D497" s="91">
        <v>109942</v>
      </c>
      <c r="E497" s="17"/>
      <c r="F497" s="91">
        <v>99086</v>
      </c>
      <c r="G497" s="17"/>
      <c r="H497" s="22">
        <f>J497-F497</f>
        <v>0</v>
      </c>
      <c r="I497" s="17"/>
      <c r="J497" s="91">
        <v>99086</v>
      </c>
      <c r="K497" s="17"/>
      <c r="L497" s="92">
        <v>123648</v>
      </c>
      <c r="M497" s="26"/>
      <c r="N497" s="26"/>
      <c r="O497" s="26"/>
      <c r="P497" s="26"/>
      <c r="Q497" s="26"/>
      <c r="R497" s="26"/>
      <c r="S497" s="26"/>
      <c r="T497" s="26"/>
      <c r="U497" s="26"/>
      <c r="V497" s="26"/>
    </row>
    <row r="498" spans="1:24">
      <c r="A498" s="27" t="s">
        <v>38</v>
      </c>
      <c r="B498" s="16"/>
      <c r="C498" s="17"/>
      <c r="D498" s="28"/>
      <c r="E498" s="17"/>
      <c r="F498" s="28"/>
      <c r="G498" s="17"/>
      <c r="H498" s="28"/>
      <c r="I498" s="17"/>
      <c r="J498" s="28"/>
      <c r="K498" s="17"/>
      <c r="L498" s="30"/>
      <c r="M498" s="26"/>
      <c r="N498" s="26"/>
      <c r="O498" s="26"/>
      <c r="P498" s="26"/>
      <c r="Q498" s="26"/>
      <c r="R498" s="26"/>
      <c r="S498" s="26"/>
      <c r="T498" s="26"/>
      <c r="U498" s="26"/>
      <c r="V498" s="26"/>
    </row>
    <row r="499" spans="1:24">
      <c r="A499" s="21" t="s">
        <v>39</v>
      </c>
      <c r="B499" s="16" t="s">
        <v>40</v>
      </c>
      <c r="C499" s="17"/>
      <c r="D499" s="28">
        <v>150659.59</v>
      </c>
      <c r="E499" s="17"/>
      <c r="F499" s="28">
        <v>71324.78</v>
      </c>
      <c r="G499" s="17"/>
      <c r="H499" s="22">
        <f>J499-F499</f>
        <v>87820.22</v>
      </c>
      <c r="I499" s="17"/>
      <c r="J499" s="28">
        <v>159145</v>
      </c>
      <c r="K499" s="17"/>
      <c r="L499" s="30">
        <v>196310</v>
      </c>
      <c r="M499" s="26"/>
      <c r="N499" s="26"/>
      <c r="O499" s="26"/>
      <c r="P499" s="26"/>
      <c r="Q499" s="26"/>
      <c r="R499" s="26"/>
      <c r="S499" s="26"/>
      <c r="T499" s="26"/>
      <c r="U499" s="26"/>
      <c r="V499" s="26"/>
    </row>
    <row r="500" spans="1:24">
      <c r="A500" s="21" t="s">
        <v>41</v>
      </c>
      <c r="B500" s="16" t="s">
        <v>42</v>
      </c>
      <c r="C500" s="17"/>
      <c r="D500" s="91">
        <v>8200</v>
      </c>
      <c r="E500" s="17"/>
      <c r="F500" s="91">
        <v>3600</v>
      </c>
      <c r="G500" s="17"/>
      <c r="H500" s="22">
        <f>J500-F500</f>
        <v>4800</v>
      </c>
      <c r="I500" s="17"/>
      <c r="J500" s="91">
        <v>8400</v>
      </c>
      <c r="K500" s="17"/>
      <c r="L500" s="92">
        <v>9600</v>
      </c>
      <c r="M500" s="26"/>
      <c r="N500" s="26"/>
      <c r="O500" s="26"/>
      <c r="P500" s="26"/>
      <c r="Q500" s="26"/>
      <c r="R500" s="26"/>
      <c r="S500" s="26"/>
      <c r="T500" s="26"/>
      <c r="U500" s="26"/>
      <c r="V500" s="26"/>
    </row>
    <row r="501" spans="1:24">
      <c r="A501" s="21" t="s">
        <v>43</v>
      </c>
      <c r="B501" s="16" t="s">
        <v>44</v>
      </c>
      <c r="C501" s="17"/>
      <c r="D501" s="91">
        <v>31387.5</v>
      </c>
      <c r="E501" s="17"/>
      <c r="F501" s="91">
        <v>14859.34</v>
      </c>
      <c r="G501" s="17"/>
      <c r="H501" s="22">
        <f>J501-F501</f>
        <v>18296.66</v>
      </c>
      <c r="I501" s="17"/>
      <c r="J501" s="91">
        <v>33156</v>
      </c>
      <c r="K501" s="17"/>
      <c r="L501" s="92">
        <v>40950</v>
      </c>
      <c r="M501" s="26"/>
      <c r="N501" s="26"/>
      <c r="O501" s="26"/>
      <c r="P501" s="26"/>
      <c r="Q501" s="26"/>
      <c r="R501" s="26"/>
      <c r="S501" s="26"/>
      <c r="T501" s="26"/>
      <c r="U501" s="26"/>
      <c r="V501" s="26"/>
    </row>
    <row r="502" spans="1:24">
      <c r="A502" s="21" t="s">
        <v>45</v>
      </c>
      <c r="B502" s="16" t="s">
        <v>46</v>
      </c>
      <c r="C502" s="17"/>
      <c r="D502" s="91">
        <v>4300</v>
      </c>
      <c r="E502" s="17"/>
      <c r="F502" s="91">
        <v>1800</v>
      </c>
      <c r="G502" s="17"/>
      <c r="H502" s="22">
        <f>J502-F502</f>
        <v>2400</v>
      </c>
      <c r="I502" s="17"/>
      <c r="J502" s="91">
        <v>4200</v>
      </c>
      <c r="K502" s="17"/>
      <c r="L502" s="92">
        <v>4800</v>
      </c>
      <c r="M502" s="26"/>
      <c r="N502" s="26"/>
      <c r="O502" s="26"/>
      <c r="P502" s="26"/>
      <c r="Q502" s="26"/>
      <c r="R502" s="26"/>
      <c r="S502" s="26"/>
      <c r="T502" s="26"/>
      <c r="U502" s="26"/>
      <c r="V502" s="26"/>
    </row>
    <row r="503" spans="1:24">
      <c r="A503" s="27" t="s">
        <v>47</v>
      </c>
      <c r="B503" s="16"/>
      <c r="C503" s="23"/>
      <c r="D503" s="28"/>
      <c r="E503" s="17"/>
      <c r="F503" s="28"/>
      <c r="G503" s="17"/>
      <c r="H503" s="28"/>
      <c r="I503" s="17"/>
      <c r="J503" s="28"/>
      <c r="K503" s="17"/>
      <c r="L503" s="30"/>
      <c r="M503" s="26"/>
      <c r="N503" s="26"/>
      <c r="O503" s="26"/>
      <c r="P503" s="26"/>
      <c r="Q503" s="26"/>
      <c r="R503" s="26"/>
      <c r="S503" s="26"/>
      <c r="T503" s="26"/>
      <c r="U503" s="26"/>
      <c r="V503" s="26"/>
    </row>
    <row r="504" spans="1:24">
      <c r="A504" s="40" t="s">
        <v>48</v>
      </c>
      <c r="B504" s="16" t="s">
        <v>49</v>
      </c>
      <c r="C504" s="17"/>
      <c r="D504" s="22">
        <v>0</v>
      </c>
      <c r="E504" s="17"/>
      <c r="F504" s="22">
        <v>0</v>
      </c>
      <c r="G504" s="17"/>
      <c r="H504" s="22">
        <v>0</v>
      </c>
      <c r="I504" s="17"/>
      <c r="J504" s="22">
        <v>205168</v>
      </c>
      <c r="K504" s="17"/>
      <c r="L504" s="25">
        <v>0</v>
      </c>
      <c r="M504" s="26"/>
      <c r="N504" s="26"/>
      <c r="O504" s="26"/>
      <c r="P504" s="26"/>
      <c r="Q504" s="26"/>
      <c r="R504" s="26"/>
      <c r="S504" s="26"/>
      <c r="T504" s="26"/>
      <c r="U504" s="26"/>
      <c r="V504" s="26"/>
    </row>
    <row r="505" spans="1:24" customHeight="1" ht="15">
      <c r="A505" s="40" t="s">
        <v>50</v>
      </c>
      <c r="B505" s="16" t="s">
        <v>51</v>
      </c>
      <c r="C505" s="17"/>
      <c r="D505" s="41">
        <v>5000</v>
      </c>
      <c r="E505" s="17"/>
      <c r="F505" s="41">
        <v>21000</v>
      </c>
      <c r="G505" s="17"/>
      <c r="H505" s="41">
        <f>J505-F505</f>
        <v>12000</v>
      </c>
      <c r="I505" s="17"/>
      <c r="J505" s="41">
        <v>33000</v>
      </c>
      <c r="K505" s="17"/>
      <c r="L505" s="55">
        <v>28000</v>
      </c>
      <c r="M505" s="26"/>
      <c r="N505" s="26"/>
      <c r="O505" s="26"/>
      <c r="P505" s="26"/>
      <c r="Q505" s="26"/>
      <c r="R505" s="26"/>
      <c r="S505" s="26"/>
      <c r="T505" s="26"/>
      <c r="U505" s="26"/>
      <c r="V505" s="26"/>
    </row>
    <row r="506" spans="1:24" customHeight="1" ht="15">
      <c r="A506" s="44" t="s">
        <v>52</v>
      </c>
      <c r="B506" s="45"/>
      <c r="C506" s="46" t="s">
        <v>18</v>
      </c>
      <c r="D506" s="47">
        <f>SUM(D487:D505)</f>
        <v>2047006.74</v>
      </c>
      <c r="E506" s="48" t="s">
        <v>18</v>
      </c>
      <c r="F506" s="47">
        <f>SUM(F487:F505)</f>
        <v>944643.3</v>
      </c>
      <c r="G506" s="48" t="s">
        <v>18</v>
      </c>
      <c r="H506" s="47">
        <f>SUM(H487:H505)</f>
        <v>1230388.7</v>
      </c>
      <c r="I506" s="48" t="s">
        <v>18</v>
      </c>
      <c r="J506" s="47">
        <f>SUM(J487:J505)</f>
        <v>2380200</v>
      </c>
      <c r="K506" s="48" t="s">
        <v>18</v>
      </c>
      <c r="L506" s="49">
        <f>SUM(L487:L505)</f>
        <v>2507432</v>
      </c>
      <c r="M506" s="50"/>
      <c r="N506" s="50"/>
      <c r="O506" s="50"/>
      <c r="P506" s="50"/>
      <c r="Q506" s="50"/>
      <c r="R506" s="50"/>
      <c r="S506" s="50"/>
      <c r="T506" s="50"/>
      <c r="U506" s="50"/>
      <c r="V506" s="50"/>
    </row>
    <row r="510" spans="1:24">
      <c r="A510" s="235" t="s">
        <v>0</v>
      </c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69"/>
      <c r="N510" s="69"/>
      <c r="O510" s="69"/>
      <c r="P510" s="69"/>
      <c r="Q510" s="69"/>
      <c r="R510" s="69"/>
      <c r="S510" s="69"/>
      <c r="T510" s="69"/>
      <c r="U510" s="69"/>
      <c r="V510" s="69"/>
    </row>
    <row r="512" spans="1:24" customHeight="1" ht="15.6">
      <c r="A512" s="236" t="s">
        <v>1</v>
      </c>
      <c r="B512" s="236"/>
      <c r="C512" s="236"/>
      <c r="D512" s="236"/>
      <c r="E512" s="236"/>
      <c r="F512" s="236"/>
      <c r="G512" s="236"/>
      <c r="H512" s="236"/>
      <c r="I512" s="236"/>
      <c r="J512" s="236"/>
      <c r="K512" s="236"/>
      <c r="L512" s="236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4">
      <c r="A513" s="231" t="s">
        <v>2</v>
      </c>
      <c r="B513" s="231"/>
      <c r="C513" s="231"/>
      <c r="D513" s="231"/>
      <c r="E513" s="231"/>
      <c r="F513" s="231"/>
      <c r="G513" s="231"/>
      <c r="H513" s="231"/>
      <c r="I513" s="231"/>
      <c r="J513" s="231"/>
      <c r="K513" s="231"/>
      <c r="L513" s="231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5" spans="1:24">
      <c r="A515" s="5" t="s">
        <v>135</v>
      </c>
    </row>
    <row r="516" spans="1:24" customHeight="1" ht="15"/>
    <row r="517" spans="1:24">
      <c r="A517" s="7"/>
      <c r="B517" s="8"/>
      <c r="C517" s="203" t="s">
        <v>4</v>
      </c>
      <c r="D517" s="204"/>
      <c r="E517" s="205" t="s">
        <v>5</v>
      </c>
      <c r="F517" s="206"/>
      <c r="G517" s="206"/>
      <c r="H517" s="206"/>
      <c r="I517" s="206"/>
      <c r="J517" s="207"/>
      <c r="K517" s="203" t="s">
        <v>6</v>
      </c>
      <c r="L517" s="22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4">
      <c r="A518" s="9" t="s">
        <v>7</v>
      </c>
      <c r="B518" s="10" t="s">
        <v>8</v>
      </c>
      <c r="C518" s="210">
        <v>2024</v>
      </c>
      <c r="D518" s="211"/>
      <c r="E518" s="212" t="s">
        <v>9</v>
      </c>
      <c r="F518" s="213"/>
      <c r="G518" s="212" t="s">
        <v>10</v>
      </c>
      <c r="H518" s="213"/>
      <c r="I518" s="214" t="s">
        <v>11</v>
      </c>
      <c r="J518" s="215"/>
      <c r="K518" s="210">
        <v>2026</v>
      </c>
      <c r="L518" s="229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4" customHeight="1" ht="15">
      <c r="A519" s="13"/>
      <c r="B519" s="14"/>
      <c r="C519" s="220" t="s">
        <v>12</v>
      </c>
      <c r="D519" s="221"/>
      <c r="E519" s="220" t="s">
        <v>12</v>
      </c>
      <c r="F519" s="221"/>
      <c r="G519" s="220" t="s">
        <v>13</v>
      </c>
      <c r="H519" s="221"/>
      <c r="I519" s="216"/>
      <c r="J519" s="217"/>
      <c r="K519" s="220" t="s">
        <v>14</v>
      </c>
      <c r="L519" s="230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4">
      <c r="A520" s="27" t="s">
        <v>53</v>
      </c>
      <c r="B520" s="52"/>
      <c r="C520" s="17"/>
      <c r="D520" s="18"/>
      <c r="E520" s="17"/>
      <c r="F520" s="18"/>
      <c r="G520" s="17"/>
      <c r="H520" s="18"/>
      <c r="I520" s="17"/>
      <c r="J520" s="18"/>
      <c r="K520" s="17"/>
      <c r="L520" s="19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spans="1:24">
      <c r="A521" s="21" t="s">
        <v>54</v>
      </c>
      <c r="B521" s="16" t="s">
        <v>55</v>
      </c>
      <c r="C521" s="17" t="s">
        <v>18</v>
      </c>
      <c r="D521" s="28">
        <v>85257.33</v>
      </c>
      <c r="E521" s="17" t="s">
        <v>18</v>
      </c>
      <c r="F521" s="28">
        <v>32746</v>
      </c>
      <c r="G521" s="17" t="s">
        <v>18</v>
      </c>
      <c r="H521" s="28">
        <f>J521-F521</f>
        <v>64944</v>
      </c>
      <c r="I521" s="17" t="s">
        <v>18</v>
      </c>
      <c r="J521" s="28">
        <v>97690</v>
      </c>
      <c r="K521" s="17" t="s">
        <v>18</v>
      </c>
      <c r="L521" s="30">
        <v>110000</v>
      </c>
      <c r="M521" s="26"/>
      <c r="N521" s="26"/>
      <c r="O521" s="26"/>
      <c r="P521" s="26"/>
      <c r="Q521" s="26"/>
      <c r="R521" s="26"/>
      <c r="S521" s="26"/>
      <c r="T521" s="26"/>
      <c r="U521" s="26"/>
      <c r="V521" s="26"/>
    </row>
    <row r="522" spans="1:24">
      <c r="A522" s="21" t="s">
        <v>58</v>
      </c>
      <c r="B522" s="16" t="s">
        <v>59</v>
      </c>
      <c r="C522" s="17"/>
      <c r="D522" s="91">
        <v>111300</v>
      </c>
      <c r="E522" s="17"/>
      <c r="F522" s="91">
        <v>53677.22</v>
      </c>
      <c r="G522" s="17"/>
      <c r="H522" s="91">
        <f>J522-F522</f>
        <v>93322.78</v>
      </c>
      <c r="I522" s="17"/>
      <c r="J522" s="91">
        <v>147000</v>
      </c>
      <c r="K522" s="17"/>
      <c r="L522" s="92">
        <v>184690</v>
      </c>
      <c r="M522" s="26"/>
      <c r="N522" s="26"/>
      <c r="O522" s="26"/>
      <c r="P522" s="26"/>
      <c r="Q522" s="26"/>
      <c r="R522" s="26"/>
      <c r="S522" s="26"/>
      <c r="T522" s="26"/>
      <c r="U522" s="26"/>
      <c r="V522" s="26"/>
    </row>
    <row r="523" spans="1:24">
      <c r="A523" s="21" t="s">
        <v>70</v>
      </c>
      <c r="B523" s="16" t="s">
        <v>71</v>
      </c>
      <c r="C523" s="17"/>
      <c r="D523" s="91">
        <v>60000</v>
      </c>
      <c r="E523" s="17"/>
      <c r="F523" s="91">
        <v>25000</v>
      </c>
      <c r="G523" s="17"/>
      <c r="H523" s="91">
        <f>J523-F523</f>
        <v>35000</v>
      </c>
      <c r="I523" s="17"/>
      <c r="J523" s="91">
        <v>60000</v>
      </c>
      <c r="K523" s="17"/>
      <c r="L523" s="92">
        <v>60000</v>
      </c>
      <c r="M523" s="26"/>
      <c r="N523" s="26"/>
      <c r="O523" s="26"/>
      <c r="P523" s="26"/>
      <c r="Q523" s="26"/>
      <c r="R523" s="26"/>
      <c r="S523" s="26"/>
      <c r="T523" s="26"/>
      <c r="U523" s="26"/>
      <c r="V523" s="26"/>
    </row>
    <row r="524" spans="1:24">
      <c r="A524" s="21" t="s">
        <v>72</v>
      </c>
      <c r="B524" s="16" t="s">
        <v>73</v>
      </c>
      <c r="C524" s="17"/>
      <c r="D524" s="91">
        <v>11660.06</v>
      </c>
      <c r="E524" s="17"/>
      <c r="F524" s="91">
        <v>11444.77</v>
      </c>
      <c r="G524" s="17"/>
      <c r="H524" s="91">
        <f>J524-F524</f>
        <v>13555.23</v>
      </c>
      <c r="I524" s="17"/>
      <c r="J524" s="91">
        <v>25000</v>
      </c>
      <c r="K524" s="17"/>
      <c r="L524" s="92">
        <v>25000</v>
      </c>
      <c r="M524" s="26"/>
      <c r="N524" s="26"/>
      <c r="O524" s="26"/>
      <c r="P524" s="26"/>
      <c r="Q524" s="26"/>
      <c r="R524" s="26"/>
      <c r="S524" s="26"/>
      <c r="T524" s="26"/>
      <c r="U524" s="26"/>
      <c r="V524" s="26"/>
    </row>
    <row r="525" spans="1:24">
      <c r="A525" s="21" t="s">
        <v>80</v>
      </c>
      <c r="B525" s="16" t="s">
        <v>81</v>
      </c>
      <c r="C525" s="17"/>
      <c r="D525" s="91">
        <v>5450</v>
      </c>
      <c r="E525" s="17"/>
      <c r="F525" s="91">
        <v>2650</v>
      </c>
      <c r="G525" s="17"/>
      <c r="H525" s="91">
        <f>J525-F525</f>
        <v>12350</v>
      </c>
      <c r="I525" s="17"/>
      <c r="J525" s="91">
        <v>15000</v>
      </c>
      <c r="K525" s="17"/>
      <c r="L525" s="92">
        <v>15000</v>
      </c>
      <c r="M525" s="26"/>
      <c r="N525" s="26"/>
      <c r="O525" s="26"/>
      <c r="P525" s="26"/>
      <c r="Q525" s="26"/>
      <c r="R525" s="26"/>
      <c r="S525" s="26"/>
      <c r="T525" s="26"/>
      <c r="U525" s="26"/>
      <c r="V525" s="26"/>
    </row>
    <row r="526" spans="1:24" customHeight="1" ht="15">
      <c r="A526" s="21" t="s">
        <v>92</v>
      </c>
      <c r="B526" s="16" t="s">
        <v>93</v>
      </c>
      <c r="C526" s="17"/>
      <c r="D526" s="41">
        <v>169430</v>
      </c>
      <c r="E526" s="17"/>
      <c r="F526" s="41">
        <v>1075</v>
      </c>
      <c r="G526" s="17"/>
      <c r="H526" s="93">
        <f>J526-F526</f>
        <v>48925</v>
      </c>
      <c r="I526" s="17"/>
      <c r="J526" s="41">
        <v>50000</v>
      </c>
      <c r="K526" s="17"/>
      <c r="L526" s="55">
        <v>0</v>
      </c>
      <c r="M526" s="26"/>
      <c r="N526" s="26"/>
      <c r="O526" s="26"/>
      <c r="P526" s="26"/>
      <c r="Q526" s="26"/>
      <c r="R526" s="26"/>
      <c r="S526" s="26"/>
      <c r="T526" s="26"/>
      <c r="U526" s="26"/>
      <c r="V526" s="26"/>
    </row>
    <row r="527" spans="1:24" customHeight="1" ht="15">
      <c r="A527" s="27" t="s">
        <v>94</v>
      </c>
      <c r="B527" s="52"/>
      <c r="C527" s="56" t="s">
        <v>18</v>
      </c>
      <c r="D527" s="47">
        <f>SUM(D521:D526)</f>
        <v>443097.39</v>
      </c>
      <c r="E527" s="56" t="s">
        <v>18</v>
      </c>
      <c r="F527" s="47">
        <f>SUM(F521:F526)</f>
        <v>126592.99</v>
      </c>
      <c r="G527" s="56" t="s">
        <v>18</v>
      </c>
      <c r="H527" s="47">
        <f>SUM(H521:H526)</f>
        <v>268097.01</v>
      </c>
      <c r="I527" s="56" t="s">
        <v>18</v>
      </c>
      <c r="J527" s="47">
        <f>SUM(J521:J526)</f>
        <v>394690</v>
      </c>
      <c r="K527" s="56" t="s">
        <v>18</v>
      </c>
      <c r="L527" s="49">
        <f>SUM(L521:L526)</f>
        <v>394690</v>
      </c>
      <c r="M527" s="50"/>
      <c r="N527" s="50"/>
      <c r="O527" s="50"/>
      <c r="P527" s="50"/>
      <c r="Q527" s="50"/>
      <c r="R527" s="50"/>
      <c r="S527" s="50"/>
      <c r="T527" s="50"/>
      <c r="U527" s="50"/>
      <c r="V527" s="50"/>
    </row>
    <row r="528" spans="1:24">
      <c r="A528" s="27" t="s">
        <v>95</v>
      </c>
      <c r="B528" s="52"/>
      <c r="C528" s="17"/>
      <c r="D528" s="75"/>
      <c r="E528" s="17"/>
      <c r="F528" s="75"/>
      <c r="G528" s="17"/>
      <c r="H528" s="75"/>
      <c r="I528" s="17"/>
      <c r="J528" s="75"/>
      <c r="K528" s="17"/>
      <c r="L528" s="76"/>
      <c r="M528" s="26"/>
      <c r="N528" s="26"/>
      <c r="O528" s="26"/>
      <c r="P528" s="26"/>
      <c r="Q528" s="26"/>
      <c r="R528" s="26"/>
      <c r="S528" s="26"/>
      <c r="T528" s="26"/>
      <c r="U528" s="26"/>
      <c r="V528" s="26"/>
    </row>
    <row r="529" spans="1:24" customHeight="1" ht="15">
      <c r="A529" s="21" t="s">
        <v>96</v>
      </c>
      <c r="B529" s="16" t="s">
        <v>97</v>
      </c>
      <c r="C529" s="17" t="s">
        <v>18</v>
      </c>
      <c r="D529" s="28">
        <v>0</v>
      </c>
      <c r="E529" s="17" t="s">
        <v>18</v>
      </c>
      <c r="F529" s="28">
        <v>0</v>
      </c>
      <c r="G529" s="17" t="s">
        <v>18</v>
      </c>
      <c r="H529" s="28">
        <v>0</v>
      </c>
      <c r="I529" s="17" t="s">
        <v>18</v>
      </c>
      <c r="J529" s="28">
        <v>0</v>
      </c>
      <c r="K529" s="17" t="s">
        <v>18</v>
      </c>
      <c r="L529" s="30">
        <v>0</v>
      </c>
      <c r="M529" s="26"/>
      <c r="N529" s="26"/>
      <c r="O529" s="26"/>
      <c r="P529" s="26"/>
      <c r="Q529" s="26"/>
      <c r="R529" s="26"/>
      <c r="S529" s="26"/>
      <c r="T529" s="26"/>
      <c r="U529" s="26"/>
      <c r="V529" s="26"/>
    </row>
    <row r="530" spans="1:24" customHeight="1" ht="15">
      <c r="A530" s="27" t="s">
        <v>98</v>
      </c>
      <c r="B530" s="16"/>
      <c r="C530" s="56" t="s">
        <v>18</v>
      </c>
      <c r="D530" s="77">
        <f>SUM(D529)</f>
        <v>0</v>
      </c>
      <c r="E530" s="56" t="s">
        <v>18</v>
      </c>
      <c r="F530" s="77">
        <f>SUM(F529)</f>
        <v>0</v>
      </c>
      <c r="G530" s="56" t="s">
        <v>18</v>
      </c>
      <c r="H530" s="77">
        <f>SUM(H529)</f>
        <v>0</v>
      </c>
      <c r="I530" s="56" t="s">
        <v>18</v>
      </c>
      <c r="J530" s="77">
        <f>SUM(J529)</f>
        <v>0</v>
      </c>
      <c r="K530" s="56" t="s">
        <v>18</v>
      </c>
      <c r="L530" s="78">
        <f>SUM(L529)</f>
        <v>0</v>
      </c>
      <c r="M530" s="50"/>
      <c r="N530" s="50"/>
      <c r="O530" s="50"/>
      <c r="P530" s="50"/>
      <c r="Q530" s="50"/>
      <c r="R530" s="50"/>
      <c r="S530" s="50"/>
      <c r="T530" s="50"/>
      <c r="U530" s="50"/>
      <c r="V530" s="50"/>
    </row>
    <row r="531" spans="1:24" customHeight="1" ht="15">
      <c r="A531" s="79" t="s">
        <v>99</v>
      </c>
      <c r="B531" s="80"/>
      <c r="C531" s="81" t="s">
        <v>18</v>
      </c>
      <c r="D531" s="82">
        <f>D506+D527+D530</f>
        <v>2490104.13</v>
      </c>
      <c r="E531" s="83" t="s">
        <v>18</v>
      </c>
      <c r="F531" s="82">
        <f>F506+F527+F530</f>
        <v>1071236.29</v>
      </c>
      <c r="G531" s="83" t="s">
        <v>18</v>
      </c>
      <c r="H531" s="82">
        <f>H506+H527+H530</f>
        <v>1498485.71</v>
      </c>
      <c r="I531" s="83" t="s">
        <v>18</v>
      </c>
      <c r="J531" s="82">
        <f>J506+J527+J530</f>
        <v>2774890</v>
      </c>
      <c r="K531" s="83" t="s">
        <v>18</v>
      </c>
      <c r="L531" s="84">
        <f>L506+L527+L530</f>
        <v>2902122</v>
      </c>
      <c r="M531" s="50"/>
      <c r="N531" s="50"/>
      <c r="O531" s="50"/>
      <c r="P531" s="50"/>
      <c r="Q531" s="50"/>
      <c r="R531" s="50"/>
      <c r="S531" s="50"/>
      <c r="T531" s="50"/>
      <c r="U531" s="50"/>
      <c r="V531" s="50"/>
    </row>
    <row r="532" spans="1:24" customHeight="1" ht="15">
      <c r="A532" s="5"/>
      <c r="C532" s="56"/>
      <c r="D532" s="59"/>
      <c r="E532" s="56"/>
      <c r="F532" s="59"/>
      <c r="G532" s="56"/>
      <c r="H532" s="59"/>
      <c r="I532" s="56"/>
      <c r="J532" s="59"/>
      <c r="K532" s="56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</row>
    <row r="533" spans="1:24" customHeight="1" ht="15.6">
      <c r="A533" s="159" t="s">
        <v>100</v>
      </c>
      <c r="B533" s="159" t="s">
        <v>101</v>
      </c>
      <c r="C533" s="159"/>
      <c r="D533" s="159"/>
      <c r="E533" s="159"/>
      <c r="F533" s="159"/>
      <c r="G533" s="159" t="s">
        <v>102</v>
      </c>
      <c r="H533" s="159"/>
      <c r="I533" s="159"/>
      <c r="J533" s="159"/>
      <c r="K533" s="159"/>
      <c r="L533" s="160"/>
      <c r="M533" s="160"/>
    </row>
    <row r="534" spans="1:24" customHeight="1" ht="15.6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60"/>
      <c r="M534" s="160"/>
    </row>
    <row r="535" spans="1:24" customHeight="1" ht="15.6">
      <c r="A535" s="159" t="s">
        <v>136</v>
      </c>
      <c r="B535" s="159"/>
      <c r="C535" s="159"/>
      <c r="D535" s="201" t="s">
        <v>112</v>
      </c>
      <c r="E535" s="159"/>
      <c r="F535" s="159"/>
      <c r="G535" s="159"/>
      <c r="H535" s="159"/>
      <c r="I535" s="159"/>
      <c r="J535" s="201" t="s">
        <v>112</v>
      </c>
      <c r="K535" s="159"/>
      <c r="L535" s="160"/>
      <c r="M535" s="160"/>
    </row>
    <row r="536" spans="1:24" customHeight="1" ht="15.6">
      <c r="A536" s="3" t="s">
        <v>137</v>
      </c>
      <c r="B536" s="236" t="s">
        <v>107</v>
      </c>
      <c r="C536" s="236"/>
      <c r="D536" s="236"/>
      <c r="E536" s="236"/>
      <c r="F536" s="236"/>
      <c r="G536" s="159"/>
      <c r="H536" s="236" t="s">
        <v>106</v>
      </c>
      <c r="I536" s="236"/>
      <c r="J536" s="236"/>
      <c r="K536" s="236"/>
      <c r="L536" s="236"/>
      <c r="M536" s="3"/>
      <c r="N536" s="66"/>
      <c r="O536" s="66"/>
      <c r="P536" s="66"/>
      <c r="Q536" s="66"/>
      <c r="R536" s="66"/>
      <c r="S536" s="66"/>
      <c r="T536" s="66"/>
      <c r="U536" s="66"/>
      <c r="V536" s="66"/>
    </row>
    <row r="537" spans="1:24" customHeight="1" ht="15.6">
      <c r="A537" s="161" t="s">
        <v>138</v>
      </c>
      <c r="B537" s="237" t="s">
        <v>109</v>
      </c>
      <c r="C537" s="237"/>
      <c r="D537" s="237"/>
      <c r="E537" s="237"/>
      <c r="F537" s="237"/>
      <c r="G537" s="159"/>
      <c r="H537" s="237" t="s">
        <v>108</v>
      </c>
      <c r="I537" s="237"/>
      <c r="J537" s="237"/>
      <c r="K537" s="237"/>
      <c r="L537" s="237"/>
      <c r="M537" s="161"/>
      <c r="N537" s="68"/>
      <c r="O537" s="68"/>
      <c r="P537" s="68"/>
      <c r="Q537" s="68"/>
      <c r="R537" s="68"/>
      <c r="S537" s="68"/>
      <c r="T537" s="68"/>
      <c r="U537" s="68"/>
      <c r="V537" s="68"/>
    </row>
    <row r="538" spans="1:24" customHeight="1" ht="15.6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60"/>
      <c r="M538" s="160"/>
    </row>
    <row r="539" spans="1:24" customHeight="1" ht="15.6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60"/>
      <c r="M539" s="160"/>
    </row>
    <row r="540" spans="1:24" customHeight="1" ht="15.6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60"/>
      <c r="M540" s="160"/>
    </row>
    <row r="542" spans="1:24">
      <c r="J542" s="17"/>
    </row>
    <row r="543" spans="1:24">
      <c r="A543" s="235" t="s">
        <v>0</v>
      </c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69"/>
      <c r="N543" s="69"/>
      <c r="O543" s="69"/>
      <c r="P543" s="69"/>
      <c r="Q543" s="69"/>
      <c r="R543" s="69"/>
      <c r="S543" s="69"/>
      <c r="T543" s="69"/>
      <c r="U543" s="69"/>
      <c r="V543" s="69"/>
    </row>
    <row r="545" spans="1:24" customHeight="1" ht="15.6">
      <c r="A545" s="236" t="s">
        <v>1</v>
      </c>
      <c r="B545" s="236"/>
      <c r="C545" s="236"/>
      <c r="D545" s="236"/>
      <c r="E545" s="236"/>
      <c r="F545" s="236"/>
      <c r="G545" s="236"/>
      <c r="H545" s="236"/>
      <c r="I545" s="236"/>
      <c r="J545" s="236"/>
      <c r="K545" s="236"/>
      <c r="L545" s="236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4">
      <c r="A546" s="231" t="s">
        <v>2</v>
      </c>
      <c r="B546" s="231"/>
      <c r="C546" s="231"/>
      <c r="D546" s="231"/>
      <c r="E546" s="231"/>
      <c r="F546" s="231"/>
      <c r="G546" s="231"/>
      <c r="H546" s="231"/>
      <c r="I546" s="231"/>
      <c r="J546" s="231"/>
      <c r="K546" s="231"/>
      <c r="L546" s="231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8" spans="1:24">
      <c r="A548" s="5" t="s">
        <v>139</v>
      </c>
    </row>
    <row r="549" spans="1:24" customHeight="1" ht="15"/>
    <row r="550" spans="1:24">
      <c r="A550" s="7"/>
      <c r="B550" s="8"/>
      <c r="C550" s="203" t="s">
        <v>4</v>
      </c>
      <c r="D550" s="204"/>
      <c r="E550" s="205" t="s">
        <v>5</v>
      </c>
      <c r="F550" s="206"/>
      <c r="G550" s="206"/>
      <c r="H550" s="206"/>
      <c r="I550" s="206"/>
      <c r="J550" s="207"/>
      <c r="K550" s="203" t="s">
        <v>6</v>
      </c>
      <c r="L550" s="22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4">
      <c r="A551" s="9" t="s">
        <v>7</v>
      </c>
      <c r="B551" s="10" t="s">
        <v>8</v>
      </c>
      <c r="C551" s="210">
        <v>2024</v>
      </c>
      <c r="D551" s="211"/>
      <c r="E551" s="212" t="s">
        <v>9</v>
      </c>
      <c r="F551" s="213"/>
      <c r="G551" s="212" t="s">
        <v>10</v>
      </c>
      <c r="H551" s="213"/>
      <c r="I551" s="214" t="s">
        <v>11</v>
      </c>
      <c r="J551" s="215"/>
      <c r="K551" s="210">
        <v>2026</v>
      </c>
      <c r="L551" s="229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4" customHeight="1" ht="15">
      <c r="A552" s="13"/>
      <c r="B552" s="14"/>
      <c r="C552" s="220" t="s">
        <v>12</v>
      </c>
      <c r="D552" s="221"/>
      <c r="E552" s="220" t="s">
        <v>12</v>
      </c>
      <c r="F552" s="221"/>
      <c r="G552" s="220" t="s">
        <v>13</v>
      </c>
      <c r="H552" s="221"/>
      <c r="I552" s="216"/>
      <c r="J552" s="217"/>
      <c r="K552" s="220" t="s">
        <v>14</v>
      </c>
      <c r="L552" s="230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4">
      <c r="A553" s="15" t="s">
        <v>15</v>
      </c>
      <c r="B553" s="16"/>
      <c r="C553" s="17"/>
      <c r="D553" s="18"/>
      <c r="E553" s="17"/>
      <c r="F553" s="18"/>
      <c r="G553" s="17"/>
      <c r="H553" s="18"/>
      <c r="I553" s="17"/>
      <c r="J553" s="18"/>
      <c r="K553" s="17"/>
      <c r="L553" s="19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spans="1:24">
      <c r="A554" s="21" t="s">
        <v>16</v>
      </c>
      <c r="B554" s="16" t="s">
        <v>17</v>
      </c>
      <c r="C554" s="17" t="s">
        <v>18</v>
      </c>
      <c r="D554" s="22">
        <v>1498674</v>
      </c>
      <c r="E554" s="17" t="s">
        <v>18</v>
      </c>
      <c r="F554" s="22">
        <v>787390</v>
      </c>
      <c r="G554" s="17" t="s">
        <v>18</v>
      </c>
      <c r="H554" s="22">
        <f>J554-F554</f>
        <v>814450</v>
      </c>
      <c r="I554" s="17" t="s">
        <v>18</v>
      </c>
      <c r="J554" s="22">
        <v>1601840</v>
      </c>
      <c r="K554" s="17" t="s">
        <v>18</v>
      </c>
      <c r="L554" s="25">
        <v>1828820</v>
      </c>
      <c r="M554" s="26"/>
      <c r="N554" s="26"/>
      <c r="O554" s="26"/>
      <c r="P554" s="26"/>
      <c r="Q554" s="26"/>
      <c r="R554" s="26"/>
      <c r="S554" s="26"/>
      <c r="T554" s="26"/>
      <c r="U554" s="26"/>
      <c r="V554" s="26"/>
    </row>
    <row r="555" spans="1:24">
      <c r="A555" s="27" t="s">
        <v>19</v>
      </c>
      <c r="B555" s="16"/>
      <c r="C555" s="17"/>
      <c r="D555" s="28"/>
      <c r="E555" s="17"/>
      <c r="F555" s="28"/>
      <c r="G555" s="17"/>
      <c r="H555" s="28"/>
      <c r="I555" s="17"/>
      <c r="J555" s="28"/>
      <c r="K555" s="17"/>
      <c r="L555" s="30"/>
      <c r="M555" s="26"/>
      <c r="N555" s="26"/>
      <c r="O555" s="26"/>
      <c r="P555" s="26"/>
      <c r="Q555" s="26"/>
      <c r="R555" s="26"/>
      <c r="S555" s="26"/>
      <c r="T555" s="26"/>
      <c r="U555" s="26"/>
      <c r="V555" s="26"/>
    </row>
    <row r="556" spans="1:24">
      <c r="A556" s="21" t="s">
        <v>20</v>
      </c>
      <c r="B556" s="16" t="s">
        <v>21</v>
      </c>
      <c r="C556" s="17"/>
      <c r="D556" s="28">
        <v>94000</v>
      </c>
      <c r="E556" s="17"/>
      <c r="F556" s="28">
        <v>48000</v>
      </c>
      <c r="G556" s="17"/>
      <c r="H556" s="22">
        <f>J556-F556</f>
        <v>48000</v>
      </c>
      <c r="I556" s="17"/>
      <c r="J556" s="28">
        <v>96000</v>
      </c>
      <c r="K556" s="17"/>
      <c r="L556" s="30">
        <v>96000</v>
      </c>
      <c r="M556" s="26"/>
      <c r="N556" s="26"/>
      <c r="O556" s="26"/>
      <c r="P556" s="26"/>
      <c r="Q556" s="26"/>
      <c r="R556" s="26"/>
      <c r="S556" s="26"/>
      <c r="T556" s="26"/>
      <c r="U556" s="26"/>
      <c r="V556" s="26"/>
    </row>
    <row r="557" spans="1:24">
      <c r="A557" s="21" t="s">
        <v>22</v>
      </c>
      <c r="B557" s="16" t="s">
        <v>23</v>
      </c>
      <c r="C557" s="17"/>
      <c r="D557" s="91">
        <v>81600</v>
      </c>
      <c r="E557" s="17"/>
      <c r="F557" s="91">
        <v>40800</v>
      </c>
      <c r="G557" s="17"/>
      <c r="H557" s="22">
        <f>J557-F557</f>
        <v>40800</v>
      </c>
      <c r="I557" s="17"/>
      <c r="J557" s="91">
        <v>81600</v>
      </c>
      <c r="K557" s="17"/>
      <c r="L557" s="92">
        <v>81600</v>
      </c>
      <c r="M557" s="26"/>
      <c r="N557" s="26"/>
      <c r="O557" s="26"/>
      <c r="P557" s="26"/>
      <c r="Q557" s="26"/>
      <c r="R557" s="26"/>
      <c r="S557" s="26"/>
      <c r="T557" s="26"/>
      <c r="U557" s="26"/>
      <c r="V557" s="26"/>
    </row>
    <row r="558" spans="1:24">
      <c r="A558" s="21" t="s">
        <v>24</v>
      </c>
      <c r="B558" s="16" t="s">
        <v>25</v>
      </c>
      <c r="C558" s="17"/>
      <c r="D558" s="91">
        <v>81600</v>
      </c>
      <c r="E558" s="17"/>
      <c r="F558" s="91">
        <v>40800</v>
      </c>
      <c r="G558" s="17"/>
      <c r="H558" s="22">
        <f>J558-F558</f>
        <v>40800</v>
      </c>
      <c r="I558" s="17"/>
      <c r="J558" s="91">
        <v>81600</v>
      </c>
      <c r="K558" s="17"/>
      <c r="L558" s="92">
        <v>81600</v>
      </c>
      <c r="M558" s="26"/>
      <c r="N558" s="26"/>
      <c r="O558" s="26"/>
      <c r="P558" s="26"/>
      <c r="Q558" s="26"/>
      <c r="R558" s="26"/>
      <c r="S558" s="26"/>
      <c r="T558" s="26"/>
      <c r="U558" s="26"/>
      <c r="V558" s="26"/>
    </row>
    <row r="559" spans="1:24">
      <c r="A559" s="21" t="s">
        <v>26</v>
      </c>
      <c r="B559" s="16" t="s">
        <v>27</v>
      </c>
      <c r="C559" s="17"/>
      <c r="D559" s="91">
        <v>28000</v>
      </c>
      <c r="E559" s="17"/>
      <c r="F559" s="91">
        <v>28000</v>
      </c>
      <c r="G559" s="17"/>
      <c r="H559" s="22">
        <f>J559-F559</f>
        <v>0</v>
      </c>
      <c r="I559" s="17"/>
      <c r="J559" s="91">
        <v>28000</v>
      </c>
      <c r="K559" s="17"/>
      <c r="L559" s="92">
        <v>28000</v>
      </c>
      <c r="M559" s="26"/>
      <c r="N559" s="26"/>
      <c r="O559" s="26"/>
      <c r="P559" s="26"/>
      <c r="Q559" s="26"/>
      <c r="R559" s="26"/>
      <c r="S559" s="26"/>
      <c r="T559" s="26"/>
      <c r="U559" s="26"/>
      <c r="V559" s="26"/>
    </row>
    <row r="560" spans="1:24">
      <c r="A560" s="21" t="s">
        <v>28</v>
      </c>
      <c r="B560" s="16" t="s">
        <v>29</v>
      </c>
      <c r="C560" s="17"/>
      <c r="D560" s="91">
        <v>20000</v>
      </c>
      <c r="E560" s="17"/>
      <c r="F560" s="91">
        <v>0</v>
      </c>
      <c r="G560" s="17"/>
      <c r="H560" s="22">
        <f>J560-F560</f>
        <v>20000</v>
      </c>
      <c r="I560" s="17"/>
      <c r="J560" s="91">
        <v>20000</v>
      </c>
      <c r="K560" s="17"/>
      <c r="L560" s="92">
        <v>0</v>
      </c>
      <c r="M560" s="26"/>
      <c r="N560" s="26"/>
      <c r="O560" s="26"/>
      <c r="P560" s="26"/>
      <c r="Q560" s="26"/>
      <c r="R560" s="26"/>
      <c r="S560" s="26"/>
      <c r="T560" s="26"/>
      <c r="U560" s="26"/>
      <c r="V560" s="26"/>
    </row>
    <row r="561" spans="1:24">
      <c r="A561" s="21" t="s">
        <v>30</v>
      </c>
      <c r="B561" s="16" t="s">
        <v>31</v>
      </c>
      <c r="C561" s="17"/>
      <c r="D561" s="91">
        <v>80000</v>
      </c>
      <c r="E561" s="17"/>
      <c r="F561" s="91">
        <v>0</v>
      </c>
      <c r="G561" s="17"/>
      <c r="H561" s="22">
        <f>J561-F561</f>
        <v>80000</v>
      </c>
      <c r="I561" s="17"/>
      <c r="J561" s="91">
        <v>80000</v>
      </c>
      <c r="K561" s="17"/>
      <c r="L561" s="92">
        <v>0</v>
      </c>
      <c r="M561" s="26"/>
      <c r="N561" s="26"/>
      <c r="O561" s="26"/>
      <c r="P561" s="26"/>
      <c r="Q561" s="26"/>
      <c r="R561" s="26"/>
      <c r="S561" s="26"/>
      <c r="T561" s="26"/>
      <c r="U561" s="26"/>
      <c r="V561" s="26"/>
    </row>
    <row r="562" spans="1:24">
      <c r="A562" s="21" t="s">
        <v>32</v>
      </c>
      <c r="B562" s="16" t="s">
        <v>33</v>
      </c>
      <c r="C562" s="17"/>
      <c r="D562" s="91">
        <v>131215</v>
      </c>
      <c r="E562" s="17"/>
      <c r="F562" s="91">
        <v>0</v>
      </c>
      <c r="G562" s="17"/>
      <c r="H562" s="22">
        <f>J562-F562</f>
        <v>138286</v>
      </c>
      <c r="I562" s="17"/>
      <c r="J562" s="91">
        <v>138286</v>
      </c>
      <c r="K562" s="17"/>
      <c r="L562" s="92">
        <v>180633</v>
      </c>
      <c r="M562" s="26"/>
      <c r="N562" s="26"/>
      <c r="O562" s="26"/>
      <c r="P562" s="26"/>
      <c r="Q562" s="26"/>
      <c r="R562" s="26"/>
      <c r="S562" s="26"/>
      <c r="T562" s="26"/>
      <c r="U562" s="26"/>
      <c r="V562" s="26"/>
    </row>
    <row r="563" spans="1:24">
      <c r="A563" s="21" t="s">
        <v>34</v>
      </c>
      <c r="B563" s="16" t="s">
        <v>35</v>
      </c>
      <c r="C563" s="17"/>
      <c r="D563" s="91">
        <v>20000</v>
      </c>
      <c r="E563" s="17"/>
      <c r="F563" s="91">
        <v>0</v>
      </c>
      <c r="G563" s="17"/>
      <c r="H563" s="22">
        <f>J563-F563</f>
        <v>20000</v>
      </c>
      <c r="I563" s="17"/>
      <c r="J563" s="91">
        <v>20000</v>
      </c>
      <c r="K563" s="17"/>
      <c r="L563" s="92">
        <v>20000</v>
      </c>
      <c r="M563" s="26"/>
      <c r="N563" s="26"/>
      <c r="O563" s="26"/>
      <c r="P563" s="26"/>
      <c r="Q563" s="26"/>
      <c r="R563" s="26"/>
      <c r="S563" s="26"/>
      <c r="T563" s="26"/>
      <c r="U563" s="26"/>
      <c r="V563" s="26"/>
    </row>
    <row r="564" spans="1:24">
      <c r="A564" s="21" t="s">
        <v>36</v>
      </c>
      <c r="B564" s="16" t="s">
        <v>37</v>
      </c>
      <c r="C564" s="17"/>
      <c r="D564" s="91">
        <v>125568</v>
      </c>
      <c r="E564" s="17"/>
      <c r="F564" s="91">
        <v>131215</v>
      </c>
      <c r="G564" s="17"/>
      <c r="H564" s="22">
        <f>J564-F564</f>
        <v>0</v>
      </c>
      <c r="I564" s="17"/>
      <c r="J564" s="91">
        <v>131215</v>
      </c>
      <c r="K564" s="17"/>
      <c r="L564" s="92">
        <v>138286</v>
      </c>
      <c r="M564" s="26"/>
      <c r="N564" s="26"/>
      <c r="O564" s="26"/>
      <c r="P564" s="26"/>
      <c r="Q564" s="26"/>
      <c r="R564" s="26"/>
      <c r="S564" s="26"/>
      <c r="T564" s="26"/>
      <c r="U564" s="26"/>
      <c r="V564" s="26"/>
    </row>
    <row r="565" spans="1:24">
      <c r="A565" s="27" t="s">
        <v>38</v>
      </c>
      <c r="B565" s="16"/>
      <c r="C565" s="17"/>
      <c r="D565" s="28"/>
      <c r="E565" s="17"/>
      <c r="F565" s="28"/>
      <c r="G565" s="17"/>
      <c r="H565" s="28"/>
      <c r="I565" s="17"/>
      <c r="J565" s="28"/>
      <c r="K565" s="17"/>
      <c r="L565" s="30"/>
      <c r="M565" s="26"/>
      <c r="N565" s="26"/>
      <c r="O565" s="26"/>
      <c r="P565" s="26"/>
      <c r="Q565" s="26"/>
      <c r="R565" s="26"/>
      <c r="S565" s="26"/>
      <c r="T565" s="26"/>
      <c r="U565" s="26"/>
      <c r="V565" s="26"/>
    </row>
    <row r="566" spans="1:24">
      <c r="A566" s="21" t="s">
        <v>39</v>
      </c>
      <c r="B566" s="16" t="s">
        <v>40</v>
      </c>
      <c r="C566" s="17"/>
      <c r="D566" s="28">
        <v>179840.88</v>
      </c>
      <c r="E566" s="17"/>
      <c r="F566" s="28">
        <v>94486.8</v>
      </c>
      <c r="G566" s="17"/>
      <c r="H566" s="22">
        <f>J566-F566</f>
        <v>97736.2</v>
      </c>
      <c r="I566" s="17"/>
      <c r="J566" s="28">
        <v>192223</v>
      </c>
      <c r="K566" s="17"/>
      <c r="L566" s="30">
        <v>219500</v>
      </c>
      <c r="M566" s="26"/>
      <c r="N566" s="26"/>
      <c r="O566" s="26"/>
      <c r="P566" s="26"/>
      <c r="Q566" s="26"/>
      <c r="R566" s="26"/>
      <c r="S566" s="26"/>
      <c r="T566" s="26"/>
      <c r="U566" s="26"/>
      <c r="V566" s="26"/>
    </row>
    <row r="567" spans="1:24">
      <c r="A567" s="21" t="s">
        <v>41</v>
      </c>
      <c r="B567" s="16" t="s">
        <v>42</v>
      </c>
      <c r="C567" s="17"/>
      <c r="D567" s="91">
        <v>9000</v>
      </c>
      <c r="E567" s="17"/>
      <c r="F567" s="91">
        <v>4800</v>
      </c>
      <c r="G567" s="17"/>
      <c r="H567" s="22">
        <f>J567-F567</f>
        <v>4800</v>
      </c>
      <c r="I567" s="17"/>
      <c r="J567" s="91">
        <v>9600</v>
      </c>
      <c r="K567" s="17"/>
      <c r="L567" s="92">
        <v>9600</v>
      </c>
      <c r="M567" s="26"/>
      <c r="N567" s="26"/>
      <c r="O567" s="26"/>
      <c r="P567" s="26"/>
      <c r="Q567" s="26"/>
      <c r="R567" s="26"/>
      <c r="S567" s="26"/>
      <c r="T567" s="26"/>
      <c r="U567" s="26"/>
      <c r="V567" s="26"/>
    </row>
    <row r="568" spans="1:24">
      <c r="A568" s="21" t="s">
        <v>43</v>
      </c>
      <c r="B568" s="16" t="s">
        <v>44</v>
      </c>
      <c r="C568" s="17"/>
      <c r="D568" s="91">
        <v>37466.95</v>
      </c>
      <c r="E568" s="17"/>
      <c r="F568" s="91">
        <v>19684.78</v>
      </c>
      <c r="G568" s="17"/>
      <c r="H568" s="22">
        <f>J568-F568</f>
        <v>20361.22</v>
      </c>
      <c r="I568" s="17"/>
      <c r="J568" s="91">
        <v>40046</v>
      </c>
      <c r="K568" s="17"/>
      <c r="L568" s="92">
        <v>45770</v>
      </c>
      <c r="M568" s="26"/>
      <c r="N568" s="26"/>
      <c r="O568" s="26"/>
      <c r="P568" s="26"/>
      <c r="Q568" s="26"/>
      <c r="R568" s="26"/>
      <c r="S568" s="26"/>
      <c r="T568" s="26"/>
      <c r="U568" s="26"/>
      <c r="V568" s="26"/>
    </row>
    <row r="569" spans="1:24">
      <c r="A569" s="21" t="s">
        <v>45</v>
      </c>
      <c r="B569" s="16" t="s">
        <v>46</v>
      </c>
      <c r="C569" s="17"/>
      <c r="D569" s="91">
        <v>4700</v>
      </c>
      <c r="E569" s="17"/>
      <c r="F569" s="91">
        <v>2400</v>
      </c>
      <c r="G569" s="17"/>
      <c r="H569" s="22">
        <f>J569-F569</f>
        <v>2400</v>
      </c>
      <c r="I569" s="17"/>
      <c r="J569" s="91">
        <v>4800</v>
      </c>
      <c r="K569" s="17"/>
      <c r="L569" s="92">
        <v>4800</v>
      </c>
      <c r="M569" s="26"/>
      <c r="N569" s="26"/>
      <c r="O569" s="26"/>
      <c r="P569" s="26"/>
      <c r="Q569" s="26"/>
      <c r="R569" s="26"/>
      <c r="S569" s="26"/>
      <c r="T569" s="26"/>
      <c r="U569" s="26"/>
      <c r="V569" s="26"/>
    </row>
    <row r="570" spans="1:24">
      <c r="A570" s="27" t="s">
        <v>47</v>
      </c>
      <c r="B570" s="16"/>
      <c r="C570" s="23"/>
      <c r="D570" s="28"/>
      <c r="E570" s="17"/>
      <c r="F570" s="28"/>
      <c r="G570" s="17"/>
      <c r="H570" s="28"/>
      <c r="I570" s="17"/>
      <c r="J570" s="28"/>
      <c r="K570" s="17"/>
      <c r="L570" s="30"/>
      <c r="M570" s="26"/>
      <c r="N570" s="26"/>
      <c r="O570" s="26"/>
      <c r="P570" s="26"/>
      <c r="Q570" s="26"/>
      <c r="R570" s="26"/>
      <c r="S570" s="26"/>
      <c r="T570" s="26"/>
      <c r="U570" s="26"/>
      <c r="V570" s="26"/>
    </row>
    <row r="571" spans="1:24">
      <c r="A571" s="40" t="s">
        <v>48</v>
      </c>
      <c r="B571" s="16" t="s">
        <v>49</v>
      </c>
      <c r="C571" s="17"/>
      <c r="D571" s="22">
        <v>0</v>
      </c>
      <c r="E571" s="17"/>
      <c r="F571" s="22">
        <v>0</v>
      </c>
      <c r="G571" s="17"/>
      <c r="H571" s="22">
        <v>0</v>
      </c>
      <c r="I571" s="17"/>
      <c r="J571" s="22">
        <v>0</v>
      </c>
      <c r="K571" s="17"/>
      <c r="L571" s="25">
        <v>0</v>
      </c>
      <c r="M571" s="26"/>
      <c r="N571" s="26"/>
      <c r="O571" s="26"/>
      <c r="P571" s="26"/>
      <c r="Q571" s="26"/>
      <c r="R571" s="26"/>
      <c r="S571" s="26"/>
      <c r="T571" s="26"/>
      <c r="U571" s="26"/>
      <c r="V571" s="26"/>
    </row>
    <row r="572" spans="1:24" customHeight="1" ht="15">
      <c r="A572" s="40" t="s">
        <v>50</v>
      </c>
      <c r="B572" s="16" t="s">
        <v>51</v>
      </c>
      <c r="C572" s="17"/>
      <c r="D572" s="41">
        <v>0</v>
      </c>
      <c r="E572" s="17"/>
      <c r="F572" s="41">
        <v>28000</v>
      </c>
      <c r="G572" s="17"/>
      <c r="H572" s="41">
        <f>J572-F572</f>
        <v>0</v>
      </c>
      <c r="I572" s="17"/>
      <c r="J572" s="41">
        <v>28000</v>
      </c>
      <c r="K572" s="17"/>
      <c r="L572" s="55">
        <v>28000</v>
      </c>
      <c r="M572" s="26"/>
      <c r="N572" s="26"/>
      <c r="O572" s="26"/>
      <c r="P572" s="26"/>
      <c r="Q572" s="26"/>
      <c r="R572" s="26"/>
      <c r="S572" s="26"/>
      <c r="T572" s="26"/>
      <c r="U572" s="26"/>
      <c r="V572" s="26"/>
    </row>
    <row r="573" spans="1:24" customHeight="1" ht="15">
      <c r="A573" s="44" t="s">
        <v>52</v>
      </c>
      <c r="B573" s="45"/>
      <c r="C573" s="46" t="s">
        <v>18</v>
      </c>
      <c r="D573" s="47">
        <f>SUM(D554:D572)</f>
        <v>2391664.83</v>
      </c>
      <c r="E573" s="48" t="s">
        <v>18</v>
      </c>
      <c r="F573" s="47">
        <f>SUM(F554:F572)</f>
        <v>1225576.58</v>
      </c>
      <c r="G573" s="48" t="s">
        <v>18</v>
      </c>
      <c r="H573" s="47">
        <f>SUM(H554:H572)</f>
        <v>1327633.42</v>
      </c>
      <c r="I573" s="48" t="s">
        <v>18</v>
      </c>
      <c r="J573" s="47">
        <f>SUM(J554:J572)</f>
        <v>2553210</v>
      </c>
      <c r="K573" s="48" t="s">
        <v>18</v>
      </c>
      <c r="L573" s="49">
        <f>SUM(L554:L572)</f>
        <v>2762609</v>
      </c>
      <c r="M573" s="50"/>
      <c r="N573" s="50"/>
      <c r="O573" s="50"/>
      <c r="P573" s="50"/>
      <c r="Q573" s="50"/>
      <c r="R573" s="50"/>
      <c r="S573" s="50"/>
      <c r="T573" s="50"/>
      <c r="U573" s="50"/>
      <c r="V573" s="50"/>
    </row>
    <row r="577" spans="1:24">
      <c r="A577" s="235" t="s">
        <v>0</v>
      </c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69"/>
      <c r="N577" s="69"/>
      <c r="O577" s="69"/>
      <c r="P577" s="69"/>
      <c r="Q577" s="69"/>
      <c r="R577" s="69"/>
      <c r="S577" s="69"/>
      <c r="T577" s="69"/>
      <c r="U577" s="69"/>
      <c r="V577" s="69"/>
    </row>
    <row r="579" spans="1:24" customHeight="1" ht="15.6">
      <c r="A579" s="236" t="s">
        <v>1</v>
      </c>
      <c r="B579" s="236"/>
      <c r="C579" s="236"/>
      <c r="D579" s="236"/>
      <c r="E579" s="236"/>
      <c r="F579" s="236"/>
      <c r="G579" s="236"/>
      <c r="H579" s="236"/>
      <c r="I579" s="236"/>
      <c r="J579" s="236"/>
      <c r="K579" s="236"/>
      <c r="L579" s="236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4">
      <c r="A580" s="231" t="s">
        <v>2</v>
      </c>
      <c r="B580" s="231"/>
      <c r="C580" s="231"/>
      <c r="D580" s="231"/>
      <c r="E580" s="231"/>
      <c r="F580" s="231"/>
      <c r="G580" s="231"/>
      <c r="H580" s="231"/>
      <c r="I580" s="231"/>
      <c r="J580" s="231"/>
      <c r="K580" s="231"/>
      <c r="L580" s="231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2" spans="1:24">
      <c r="A582" s="5" t="s">
        <v>139</v>
      </c>
    </row>
    <row r="583" spans="1:24" customHeight="1" ht="15"/>
    <row r="584" spans="1:24">
      <c r="A584" s="7"/>
      <c r="B584" s="8"/>
      <c r="C584" s="203" t="s">
        <v>4</v>
      </c>
      <c r="D584" s="204"/>
      <c r="E584" s="205" t="s">
        <v>5</v>
      </c>
      <c r="F584" s="206"/>
      <c r="G584" s="206"/>
      <c r="H584" s="206"/>
      <c r="I584" s="206"/>
      <c r="J584" s="207"/>
      <c r="K584" s="203" t="s">
        <v>6</v>
      </c>
      <c r="L584" s="22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4">
      <c r="A585" s="9" t="s">
        <v>7</v>
      </c>
      <c r="B585" s="10" t="s">
        <v>8</v>
      </c>
      <c r="C585" s="210">
        <v>2024</v>
      </c>
      <c r="D585" s="211"/>
      <c r="E585" s="212" t="s">
        <v>9</v>
      </c>
      <c r="F585" s="213"/>
      <c r="G585" s="212" t="s">
        <v>10</v>
      </c>
      <c r="H585" s="213"/>
      <c r="I585" s="214" t="s">
        <v>11</v>
      </c>
      <c r="J585" s="215"/>
      <c r="K585" s="210">
        <v>2026</v>
      </c>
      <c r="L585" s="229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4" customHeight="1" ht="15">
      <c r="A586" s="13"/>
      <c r="B586" s="14"/>
      <c r="C586" s="220" t="s">
        <v>12</v>
      </c>
      <c r="D586" s="221"/>
      <c r="E586" s="220" t="s">
        <v>12</v>
      </c>
      <c r="F586" s="221"/>
      <c r="G586" s="220" t="s">
        <v>13</v>
      </c>
      <c r="H586" s="221"/>
      <c r="I586" s="216"/>
      <c r="J586" s="217"/>
      <c r="K586" s="220" t="s">
        <v>14</v>
      </c>
      <c r="L586" s="230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4">
      <c r="A587" s="27" t="s">
        <v>53</v>
      </c>
      <c r="B587" s="52"/>
      <c r="C587" s="17"/>
      <c r="D587" s="18"/>
      <c r="E587" s="17"/>
      <c r="F587" s="18"/>
      <c r="G587" s="17"/>
      <c r="H587" s="18"/>
      <c r="I587" s="17"/>
      <c r="J587" s="18"/>
      <c r="K587" s="17"/>
      <c r="L587" s="19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spans="1:24">
      <c r="A588" s="21" t="s">
        <v>54</v>
      </c>
      <c r="B588" s="16" t="s">
        <v>55</v>
      </c>
      <c r="C588" s="17" t="s">
        <v>18</v>
      </c>
      <c r="D588" s="28">
        <v>89956.76</v>
      </c>
      <c r="E588" s="17" t="s">
        <v>18</v>
      </c>
      <c r="F588" s="28">
        <v>78962.08</v>
      </c>
      <c r="G588" s="17" t="s">
        <v>18</v>
      </c>
      <c r="H588" s="28">
        <f>J588-F588</f>
        <v>61037.92</v>
      </c>
      <c r="I588" s="17" t="s">
        <v>18</v>
      </c>
      <c r="J588" s="28">
        <v>140000</v>
      </c>
      <c r="K588" s="17" t="s">
        <v>18</v>
      </c>
      <c r="L588" s="30">
        <v>150000</v>
      </c>
      <c r="M588" s="26"/>
      <c r="N588" s="26"/>
      <c r="O588" s="26"/>
      <c r="P588" s="26"/>
      <c r="Q588" s="26"/>
      <c r="R588" s="26"/>
      <c r="S588" s="26"/>
      <c r="T588" s="26"/>
      <c r="U588" s="26"/>
      <c r="V588" s="26"/>
    </row>
    <row r="589" spans="1:24">
      <c r="A589" s="21" t="s">
        <v>58</v>
      </c>
      <c r="B589" s="16" t="s">
        <v>59</v>
      </c>
      <c r="C589" s="17"/>
      <c r="D589" s="91">
        <v>84997</v>
      </c>
      <c r="E589" s="17"/>
      <c r="F589" s="91">
        <v>5037.79</v>
      </c>
      <c r="G589" s="17"/>
      <c r="H589" s="91">
        <f>J589-F589</f>
        <v>94962.21</v>
      </c>
      <c r="I589" s="17"/>
      <c r="J589" s="91">
        <v>100000</v>
      </c>
      <c r="K589" s="17"/>
      <c r="L589" s="92">
        <v>130000</v>
      </c>
      <c r="M589" s="26"/>
      <c r="N589" s="26"/>
      <c r="O589" s="26"/>
      <c r="P589" s="26"/>
      <c r="Q589" s="26"/>
      <c r="R589" s="26"/>
      <c r="S589" s="26"/>
      <c r="T589" s="26"/>
      <c r="U589" s="26"/>
      <c r="V589" s="26"/>
    </row>
    <row r="590" spans="1:24">
      <c r="A590" s="21" t="s">
        <v>70</v>
      </c>
      <c r="B590" s="16" t="s">
        <v>71</v>
      </c>
      <c r="C590" s="17"/>
      <c r="D590" s="91">
        <v>60000</v>
      </c>
      <c r="E590" s="17"/>
      <c r="F590" s="91">
        <v>25000</v>
      </c>
      <c r="G590" s="17"/>
      <c r="H590" s="91">
        <f>J590-F590</f>
        <v>35000</v>
      </c>
      <c r="I590" s="17"/>
      <c r="J590" s="91">
        <v>60000</v>
      </c>
      <c r="K590" s="17"/>
      <c r="L590" s="92">
        <v>60000</v>
      </c>
      <c r="M590" s="26"/>
      <c r="N590" s="26"/>
      <c r="O590" s="26"/>
      <c r="P590" s="26"/>
      <c r="Q590" s="26"/>
      <c r="R590" s="26"/>
      <c r="S590" s="26"/>
      <c r="T590" s="26"/>
      <c r="U590" s="26"/>
      <c r="V590" s="26"/>
    </row>
    <row r="591" spans="1:24">
      <c r="A591" s="21" t="s">
        <v>72</v>
      </c>
      <c r="B591" s="16" t="s">
        <v>73</v>
      </c>
      <c r="C591" s="17"/>
      <c r="D591" s="91">
        <v>18734.03</v>
      </c>
      <c r="E591" s="17"/>
      <c r="F591" s="91">
        <v>13471.18</v>
      </c>
      <c r="G591" s="17"/>
      <c r="H591" s="91">
        <f>J591-F591</f>
        <v>11528.82</v>
      </c>
      <c r="I591" s="17"/>
      <c r="J591" s="91">
        <v>25000</v>
      </c>
      <c r="K591" s="17"/>
      <c r="L591" s="92">
        <v>30000</v>
      </c>
      <c r="M591" s="26"/>
      <c r="N591" s="26"/>
      <c r="O591" s="26"/>
      <c r="P591" s="26"/>
      <c r="Q591" s="26"/>
      <c r="R591" s="26"/>
      <c r="S591" s="26"/>
      <c r="T591" s="26"/>
      <c r="U591" s="26"/>
      <c r="V591" s="26"/>
    </row>
    <row r="592" spans="1:24">
      <c r="A592" s="21" t="s">
        <v>80</v>
      </c>
      <c r="B592" s="16" t="s">
        <v>81</v>
      </c>
      <c r="C592" s="17"/>
      <c r="D592" s="22">
        <v>7035</v>
      </c>
      <c r="E592" s="17"/>
      <c r="F592" s="91">
        <v>13650</v>
      </c>
      <c r="G592" s="17"/>
      <c r="H592" s="91">
        <f>J592-F592</f>
        <v>11350</v>
      </c>
      <c r="I592" s="17"/>
      <c r="J592" s="91">
        <v>25000</v>
      </c>
      <c r="K592" s="17"/>
      <c r="L592" s="92">
        <v>22665</v>
      </c>
      <c r="M592" s="26"/>
      <c r="N592" s="26"/>
      <c r="O592" s="26"/>
      <c r="P592" s="26"/>
      <c r="Q592" s="26"/>
      <c r="R592" s="26"/>
      <c r="S592" s="26"/>
      <c r="T592" s="26"/>
      <c r="U592" s="26"/>
      <c r="V592" s="26"/>
    </row>
    <row r="593" spans="1:24" customHeight="1" ht="15">
      <c r="A593" s="21" t="s">
        <v>92</v>
      </c>
      <c r="B593" s="16" t="s">
        <v>93</v>
      </c>
      <c r="C593" s="17"/>
      <c r="D593" s="41">
        <v>7540</v>
      </c>
      <c r="E593" s="17"/>
      <c r="F593" s="41">
        <v>540</v>
      </c>
      <c r="G593" s="17"/>
      <c r="H593" s="93">
        <f>J593-F593</f>
        <v>12125</v>
      </c>
      <c r="I593" s="17"/>
      <c r="J593" s="41">
        <v>12665</v>
      </c>
      <c r="K593" s="17"/>
      <c r="L593" s="55">
        <v>0</v>
      </c>
      <c r="M593" s="26"/>
      <c r="N593" s="26"/>
      <c r="O593" s="26"/>
      <c r="P593" s="26"/>
      <c r="Q593" s="26"/>
      <c r="R593" s="26"/>
      <c r="S593" s="26"/>
      <c r="T593" s="26"/>
      <c r="U593" s="26"/>
      <c r="V593" s="26"/>
    </row>
    <row r="594" spans="1:24" customHeight="1" ht="15">
      <c r="A594" s="27" t="s">
        <v>94</v>
      </c>
      <c r="B594" s="52"/>
      <c r="C594" s="56" t="s">
        <v>18</v>
      </c>
      <c r="D594" s="47">
        <f>SUM(D588:D593)</f>
        <v>268262.79</v>
      </c>
      <c r="E594" s="56" t="s">
        <v>18</v>
      </c>
      <c r="F594" s="47">
        <f>SUM(F588:F593)</f>
        <v>136661.05</v>
      </c>
      <c r="G594" s="56" t="s">
        <v>18</v>
      </c>
      <c r="H594" s="47">
        <f>SUM(H588:H593)</f>
        <v>226003.95</v>
      </c>
      <c r="I594" s="56" t="s">
        <v>18</v>
      </c>
      <c r="J594" s="47">
        <f>SUM(J588:J593)</f>
        <v>362665</v>
      </c>
      <c r="K594" s="56" t="s">
        <v>18</v>
      </c>
      <c r="L594" s="49">
        <f>SUM(L588:L593)</f>
        <v>392665</v>
      </c>
      <c r="M594" s="50"/>
      <c r="N594" s="50"/>
      <c r="O594" s="50"/>
      <c r="P594" s="50"/>
      <c r="Q594" s="50"/>
      <c r="R594" s="50"/>
      <c r="S594" s="50"/>
      <c r="T594" s="50"/>
      <c r="U594" s="50"/>
      <c r="V594" s="50"/>
    </row>
    <row r="595" spans="1:24">
      <c r="A595" s="27" t="s">
        <v>95</v>
      </c>
      <c r="B595" s="52"/>
      <c r="C595" s="17"/>
      <c r="D595" s="75"/>
      <c r="E595" s="17"/>
      <c r="F595" s="75"/>
      <c r="G595" s="17"/>
      <c r="H595" s="75"/>
      <c r="I595" s="17"/>
      <c r="J595" s="75"/>
      <c r="K595" s="17"/>
      <c r="L595" s="76"/>
      <c r="M595" s="26"/>
      <c r="N595" s="26"/>
      <c r="O595" s="26"/>
      <c r="P595" s="26"/>
      <c r="Q595" s="26"/>
      <c r="R595" s="26"/>
      <c r="S595" s="26"/>
      <c r="T595" s="26"/>
      <c r="U595" s="26"/>
      <c r="V595" s="26"/>
    </row>
    <row r="596" spans="1:24" customHeight="1" ht="15">
      <c r="A596" s="21" t="s">
        <v>96</v>
      </c>
      <c r="B596" s="16" t="s">
        <v>97</v>
      </c>
      <c r="C596" s="17" t="s">
        <v>18</v>
      </c>
      <c r="D596" s="28">
        <v>75000</v>
      </c>
      <c r="E596" s="17" t="s">
        <v>18</v>
      </c>
      <c r="F596" s="28">
        <v>0</v>
      </c>
      <c r="G596" s="17" t="s">
        <v>18</v>
      </c>
      <c r="H596" s="41">
        <f>J596-F596</f>
        <v>90000</v>
      </c>
      <c r="I596" s="17" t="s">
        <v>18</v>
      </c>
      <c r="J596" s="28">
        <v>90000</v>
      </c>
      <c r="K596" s="17" t="s">
        <v>18</v>
      </c>
      <c r="L596" s="30">
        <v>60000</v>
      </c>
      <c r="M596" s="26"/>
      <c r="N596" s="26"/>
      <c r="O596" s="26"/>
      <c r="P596" s="26"/>
      <c r="Q596" s="26"/>
      <c r="R596" s="26"/>
      <c r="S596" s="26"/>
      <c r="T596" s="26"/>
      <c r="U596" s="26"/>
      <c r="V596" s="26"/>
    </row>
    <row r="597" spans="1:24" customHeight="1" ht="15">
      <c r="A597" s="27" t="s">
        <v>98</v>
      </c>
      <c r="B597" s="16"/>
      <c r="C597" s="56" t="s">
        <v>18</v>
      </c>
      <c r="D597" s="77">
        <f>SUM(D596)</f>
        <v>75000</v>
      </c>
      <c r="E597" s="56" t="s">
        <v>18</v>
      </c>
      <c r="F597" s="77">
        <f>SUM(F596)</f>
        <v>0</v>
      </c>
      <c r="G597" s="56" t="s">
        <v>18</v>
      </c>
      <c r="H597" s="77">
        <f>SUM(H596)</f>
        <v>90000</v>
      </c>
      <c r="I597" s="56" t="s">
        <v>18</v>
      </c>
      <c r="J597" s="77">
        <f>SUM(J596)</f>
        <v>90000</v>
      </c>
      <c r="K597" s="56" t="s">
        <v>18</v>
      </c>
      <c r="L597" s="78">
        <f>SUM(L596)</f>
        <v>60000</v>
      </c>
      <c r="M597" s="50"/>
      <c r="N597" s="50"/>
      <c r="O597" s="50"/>
      <c r="P597" s="50"/>
      <c r="Q597" s="50"/>
      <c r="R597" s="50"/>
      <c r="S597" s="50"/>
      <c r="T597" s="94"/>
      <c r="U597" s="50"/>
      <c r="V597" s="50"/>
    </row>
    <row r="598" spans="1:24" customHeight="1" ht="15">
      <c r="A598" s="79" t="s">
        <v>99</v>
      </c>
      <c r="B598" s="80"/>
      <c r="C598" s="81" t="s">
        <v>18</v>
      </c>
      <c r="D598" s="82">
        <f>D573+D594+D597</f>
        <v>2734927.62</v>
      </c>
      <c r="E598" s="83" t="s">
        <v>18</v>
      </c>
      <c r="F598" s="82">
        <f>F573+F594+F597</f>
        <v>1362237.63</v>
      </c>
      <c r="G598" s="83" t="s">
        <v>18</v>
      </c>
      <c r="H598" s="82">
        <f>H573+H594+H597</f>
        <v>1643637.37</v>
      </c>
      <c r="I598" s="83" t="s">
        <v>18</v>
      </c>
      <c r="J598" s="82">
        <f>J573+J594+J597</f>
        <v>3005875</v>
      </c>
      <c r="K598" s="83" t="s">
        <v>18</v>
      </c>
      <c r="L598" s="84">
        <f>L573+L594+L597</f>
        <v>3215274</v>
      </c>
      <c r="M598" s="50"/>
      <c r="N598" s="50"/>
      <c r="O598" s="50"/>
      <c r="P598" s="50"/>
      <c r="Q598" s="50"/>
      <c r="R598" s="50"/>
      <c r="S598" s="50"/>
      <c r="T598" s="50"/>
      <c r="U598" s="50"/>
      <c r="V598" s="50"/>
    </row>
    <row r="599" spans="1:24" customHeight="1" ht="15">
      <c r="A599" s="141"/>
      <c r="B599" s="141"/>
      <c r="C599" s="141"/>
      <c r="D599" s="141"/>
      <c r="E599" s="141"/>
      <c r="F599" s="141"/>
    </row>
    <row r="601" spans="1:24">
      <c r="A601" t="s">
        <v>100</v>
      </c>
      <c r="B601" t="s">
        <v>101</v>
      </c>
      <c r="G601" t="s">
        <v>102</v>
      </c>
      <c r="L601" s="6" t="s">
        <v>140</v>
      </c>
    </row>
    <row r="603" spans="1:24">
      <c r="A603" s="249" t="s">
        <v>112</v>
      </c>
      <c r="B603" s="250"/>
      <c r="D603" s="200" t="s">
        <v>112</v>
      </c>
      <c r="J603" s="200" t="s">
        <v>112</v>
      </c>
    </row>
    <row r="604" spans="1:24">
      <c r="A604" s="4" t="s">
        <v>107</v>
      </c>
      <c r="B604" s="231" t="s">
        <v>107</v>
      </c>
      <c r="C604" s="231"/>
      <c r="D604" s="231"/>
      <c r="E604" s="231"/>
      <c r="F604" s="231"/>
      <c r="H604" s="231" t="s">
        <v>106</v>
      </c>
      <c r="I604" s="231"/>
      <c r="J604" s="231"/>
      <c r="K604" s="231"/>
      <c r="L604" s="231"/>
      <c r="M604" s="4"/>
      <c r="N604" s="66"/>
      <c r="O604" s="66"/>
      <c r="P604" s="66"/>
      <c r="Q604" s="66"/>
      <c r="R604" s="66"/>
      <c r="S604" s="66"/>
      <c r="T604" s="66"/>
      <c r="U604" s="66"/>
      <c r="V604" s="66"/>
    </row>
    <row r="605" spans="1:24">
      <c r="A605" s="158" t="s">
        <v>109</v>
      </c>
      <c r="B605" s="232" t="s">
        <v>109</v>
      </c>
      <c r="C605" s="232"/>
      <c r="D605" s="232"/>
      <c r="E605" s="232"/>
      <c r="F605" s="232"/>
      <c r="H605" s="232" t="s">
        <v>108</v>
      </c>
      <c r="I605" s="232"/>
      <c r="J605" s="232"/>
      <c r="K605" s="232"/>
      <c r="L605" s="232"/>
      <c r="M605" s="158"/>
      <c r="N605" s="68"/>
      <c r="O605" s="68"/>
      <c r="P605" s="68"/>
      <c r="Q605" s="68"/>
      <c r="R605" s="68"/>
      <c r="S605" s="68"/>
      <c r="T605" s="68"/>
      <c r="U605" s="68"/>
      <c r="V605" s="68"/>
    </row>
    <row r="610" spans="1:24">
      <c r="J610" s="17"/>
    </row>
    <row r="611" spans="1:24">
      <c r="A611" s="235" t="s">
        <v>0</v>
      </c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69"/>
      <c r="N611" s="69"/>
      <c r="O611" s="69"/>
      <c r="P611" s="69"/>
      <c r="Q611" s="69"/>
      <c r="R611" s="69"/>
      <c r="S611" s="69"/>
      <c r="T611" s="69"/>
      <c r="U611" s="69"/>
      <c r="V611" s="69"/>
    </row>
    <row r="613" spans="1:24" customHeight="1" ht="15.6">
      <c r="A613" s="236" t="s">
        <v>1</v>
      </c>
      <c r="B613" s="236"/>
      <c r="C613" s="236"/>
      <c r="D613" s="236"/>
      <c r="E613" s="236"/>
      <c r="F613" s="236"/>
      <c r="G613" s="236"/>
      <c r="H613" s="236"/>
      <c r="I613" s="236"/>
      <c r="J613" s="236"/>
      <c r="K613" s="236"/>
      <c r="L613" s="236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4">
      <c r="A614" s="231" t="s">
        <v>2</v>
      </c>
      <c r="B614" s="231"/>
      <c r="C614" s="231"/>
      <c r="D614" s="231"/>
      <c r="E614" s="231"/>
      <c r="F614" s="231"/>
      <c r="G614" s="231"/>
      <c r="H614" s="231"/>
      <c r="I614" s="231"/>
      <c r="J614" s="231"/>
      <c r="K614" s="231"/>
      <c r="L614" s="231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6" spans="1:24">
      <c r="A616" s="5" t="s">
        <v>141</v>
      </c>
    </row>
    <row r="617" spans="1:24" customHeight="1" ht="15"/>
    <row r="618" spans="1:24">
      <c r="A618" s="7"/>
      <c r="B618" s="8"/>
      <c r="C618" s="203" t="s">
        <v>4</v>
      </c>
      <c r="D618" s="204"/>
      <c r="E618" s="205" t="s">
        <v>5</v>
      </c>
      <c r="F618" s="206"/>
      <c r="G618" s="206"/>
      <c r="H618" s="206"/>
      <c r="I618" s="206"/>
      <c r="J618" s="207"/>
      <c r="K618" s="203" t="s">
        <v>6</v>
      </c>
      <c r="L618" s="22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4">
      <c r="A619" s="9" t="s">
        <v>7</v>
      </c>
      <c r="B619" s="10" t="s">
        <v>8</v>
      </c>
      <c r="C619" s="210">
        <v>2024</v>
      </c>
      <c r="D619" s="211"/>
      <c r="E619" s="212" t="s">
        <v>9</v>
      </c>
      <c r="F619" s="213"/>
      <c r="G619" s="212" t="s">
        <v>10</v>
      </c>
      <c r="H619" s="213"/>
      <c r="I619" s="214" t="s">
        <v>11</v>
      </c>
      <c r="J619" s="215"/>
      <c r="K619" s="210">
        <v>2026</v>
      </c>
      <c r="L619" s="229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4" customHeight="1" ht="15">
      <c r="A620" s="13"/>
      <c r="B620" s="14"/>
      <c r="C620" s="220" t="s">
        <v>12</v>
      </c>
      <c r="D620" s="221"/>
      <c r="E620" s="220" t="s">
        <v>12</v>
      </c>
      <c r="F620" s="221"/>
      <c r="G620" s="220" t="s">
        <v>13</v>
      </c>
      <c r="H620" s="221"/>
      <c r="I620" s="216"/>
      <c r="J620" s="217"/>
      <c r="K620" s="220" t="s">
        <v>14</v>
      </c>
      <c r="L620" s="230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4">
      <c r="A621" s="15" t="s">
        <v>15</v>
      </c>
      <c r="B621" s="16"/>
      <c r="C621" s="17"/>
      <c r="D621" s="18"/>
      <c r="E621" s="17"/>
      <c r="F621" s="18"/>
      <c r="G621" s="17"/>
      <c r="H621" s="18"/>
      <c r="I621" s="17"/>
      <c r="J621" s="18"/>
      <c r="K621" s="17"/>
      <c r="L621" s="19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spans="1:24">
      <c r="A622" s="21" t="s">
        <v>16</v>
      </c>
      <c r="B622" s="16" t="s">
        <v>17</v>
      </c>
      <c r="C622" s="17" t="s">
        <v>18</v>
      </c>
      <c r="D622" s="22">
        <v>1696313.48</v>
      </c>
      <c r="E622" s="17" t="s">
        <v>18</v>
      </c>
      <c r="F622" s="22">
        <v>927657.02</v>
      </c>
      <c r="G622" s="17" t="s">
        <v>18</v>
      </c>
      <c r="H622" s="22">
        <f>J622-F622</f>
        <v>956504.98</v>
      </c>
      <c r="I622" s="17" t="s">
        <v>18</v>
      </c>
      <c r="J622" s="22">
        <v>1884162</v>
      </c>
      <c r="K622" s="17" t="s">
        <v>18</v>
      </c>
      <c r="L622" s="25">
        <v>2134913</v>
      </c>
      <c r="M622" s="26"/>
      <c r="N622" s="26"/>
      <c r="O622" s="26"/>
      <c r="P622" s="26"/>
      <c r="Q622" s="26"/>
      <c r="R622" s="26"/>
      <c r="S622" s="26"/>
      <c r="T622" s="26"/>
      <c r="U622" s="26"/>
      <c r="V622" s="26"/>
    </row>
    <row r="623" spans="1:24">
      <c r="A623" s="27" t="s">
        <v>19</v>
      </c>
      <c r="B623" s="16"/>
      <c r="C623" s="17"/>
      <c r="D623" s="28"/>
      <c r="E623" s="17"/>
      <c r="F623" s="28"/>
      <c r="G623" s="17"/>
      <c r="H623" s="28"/>
      <c r="I623" s="17"/>
      <c r="J623" s="28"/>
      <c r="K623" s="17"/>
      <c r="L623" s="30"/>
      <c r="M623" s="26"/>
      <c r="N623" s="26"/>
      <c r="O623" s="26"/>
      <c r="P623" s="26"/>
      <c r="Q623" s="26"/>
      <c r="R623" s="26"/>
      <c r="S623" s="26"/>
      <c r="T623" s="26"/>
      <c r="U623" s="26"/>
      <c r="V623" s="26"/>
    </row>
    <row r="624" spans="1:24">
      <c r="A624" s="21" t="s">
        <v>20</v>
      </c>
      <c r="B624" s="16" t="s">
        <v>21</v>
      </c>
      <c r="C624" s="17"/>
      <c r="D624" s="28">
        <v>107032.26</v>
      </c>
      <c r="E624" s="17"/>
      <c r="F624" s="28">
        <v>60000</v>
      </c>
      <c r="G624" s="17"/>
      <c r="H624" s="22">
        <f>J624-F624</f>
        <v>60000</v>
      </c>
      <c r="I624" s="17"/>
      <c r="J624" s="28">
        <v>120000</v>
      </c>
      <c r="K624" s="17"/>
      <c r="L624" s="30">
        <v>120000</v>
      </c>
      <c r="M624" s="26"/>
      <c r="N624" s="26"/>
      <c r="O624" s="26"/>
      <c r="P624" s="26"/>
      <c r="Q624" s="26"/>
      <c r="R624" s="26"/>
      <c r="S624" s="26"/>
      <c r="T624" s="26"/>
      <c r="U624" s="26"/>
      <c r="V624" s="26"/>
    </row>
    <row r="625" spans="1:24">
      <c r="A625" s="21" t="s">
        <v>22</v>
      </c>
      <c r="B625" s="16" t="s">
        <v>23</v>
      </c>
      <c r="C625" s="17"/>
      <c r="D625" s="91">
        <v>81600</v>
      </c>
      <c r="E625" s="17"/>
      <c r="F625" s="91">
        <v>40800</v>
      </c>
      <c r="G625" s="17"/>
      <c r="H625" s="22">
        <f>J625-F625</f>
        <v>40800</v>
      </c>
      <c r="I625" s="17"/>
      <c r="J625" s="91">
        <v>81600</v>
      </c>
      <c r="K625" s="17"/>
      <c r="L625" s="92">
        <v>81600</v>
      </c>
      <c r="M625" s="26"/>
      <c r="N625" s="26"/>
      <c r="O625" s="26"/>
      <c r="P625" s="26"/>
      <c r="Q625" s="26"/>
      <c r="R625" s="26"/>
      <c r="S625" s="26"/>
      <c r="T625" s="26"/>
      <c r="U625" s="26"/>
      <c r="V625" s="26"/>
    </row>
    <row r="626" spans="1:24">
      <c r="A626" s="21" t="s">
        <v>24</v>
      </c>
      <c r="B626" s="16" t="s">
        <v>25</v>
      </c>
      <c r="C626" s="17"/>
      <c r="D626" s="91">
        <v>81600</v>
      </c>
      <c r="E626" s="17"/>
      <c r="F626" s="91">
        <v>40800</v>
      </c>
      <c r="G626" s="17"/>
      <c r="H626" s="22">
        <f>J626-F626</f>
        <v>40800</v>
      </c>
      <c r="I626" s="17"/>
      <c r="J626" s="91">
        <v>81600</v>
      </c>
      <c r="K626" s="17"/>
      <c r="L626" s="92">
        <v>81600</v>
      </c>
      <c r="M626" s="26"/>
      <c r="N626" s="26"/>
      <c r="O626" s="26"/>
      <c r="P626" s="26"/>
      <c r="Q626" s="26"/>
      <c r="R626" s="26"/>
      <c r="S626" s="26"/>
      <c r="T626" s="26"/>
      <c r="U626" s="26"/>
      <c r="V626" s="26"/>
    </row>
    <row r="627" spans="1:24">
      <c r="A627" s="21" t="s">
        <v>26</v>
      </c>
      <c r="B627" s="16" t="s">
        <v>27</v>
      </c>
      <c r="C627" s="17"/>
      <c r="D627" s="91">
        <v>34000</v>
      </c>
      <c r="E627" s="17"/>
      <c r="F627" s="91">
        <v>35000</v>
      </c>
      <c r="G627" s="17"/>
      <c r="H627" s="22">
        <f>J627-F627</f>
        <v>0</v>
      </c>
      <c r="I627" s="17"/>
      <c r="J627" s="91">
        <v>35000</v>
      </c>
      <c r="K627" s="17"/>
      <c r="L627" s="92">
        <v>35000</v>
      </c>
      <c r="M627" s="26"/>
      <c r="N627" s="26"/>
      <c r="O627" s="26"/>
      <c r="P627" s="26"/>
      <c r="Q627" s="26"/>
      <c r="R627" s="26"/>
      <c r="S627" s="26"/>
      <c r="T627" s="26"/>
      <c r="U627" s="26"/>
      <c r="V627" s="26"/>
    </row>
    <row r="628" spans="1:24">
      <c r="A628" s="21" t="s">
        <v>28</v>
      </c>
      <c r="B628" s="16" t="s">
        <v>29</v>
      </c>
      <c r="C628" s="17"/>
      <c r="D628" s="91">
        <v>22500</v>
      </c>
      <c r="E628" s="17"/>
      <c r="F628" s="91">
        <v>0</v>
      </c>
      <c r="G628" s="17"/>
      <c r="H628" s="22">
        <f>J628-F628</f>
        <v>25000</v>
      </c>
      <c r="I628" s="17"/>
      <c r="J628" s="91">
        <v>25000</v>
      </c>
      <c r="K628" s="17"/>
      <c r="L628" s="92">
        <v>0</v>
      </c>
      <c r="M628" s="26"/>
      <c r="N628" s="26"/>
      <c r="O628" s="26"/>
      <c r="P628" s="26"/>
      <c r="Q628" s="26"/>
      <c r="R628" s="26"/>
      <c r="S628" s="26"/>
      <c r="T628" s="26"/>
      <c r="U628" s="26"/>
      <c r="V628" s="26"/>
    </row>
    <row r="629" spans="1:24">
      <c r="A629" s="21" t="s">
        <v>30</v>
      </c>
      <c r="B629" s="16" t="s">
        <v>31</v>
      </c>
      <c r="C629" s="17"/>
      <c r="D629" s="91">
        <v>88000</v>
      </c>
      <c r="E629" s="17"/>
      <c r="F629" s="91">
        <v>0</v>
      </c>
      <c r="G629" s="17"/>
      <c r="H629" s="22">
        <f>J629-F629</f>
        <v>100000</v>
      </c>
      <c r="I629" s="17"/>
      <c r="J629" s="91">
        <v>100000</v>
      </c>
      <c r="K629" s="17"/>
      <c r="L629" s="92">
        <v>0</v>
      </c>
      <c r="M629" s="26"/>
      <c r="N629" s="26"/>
      <c r="O629" s="26"/>
      <c r="P629" s="26"/>
      <c r="Q629" s="26"/>
      <c r="R629" s="26"/>
      <c r="S629" s="26"/>
      <c r="T629" s="26"/>
      <c r="U629" s="26"/>
      <c r="V629" s="26"/>
    </row>
    <row r="630" spans="1:24">
      <c r="A630" s="21" t="s">
        <v>32</v>
      </c>
      <c r="B630" s="16" t="s">
        <v>33</v>
      </c>
      <c r="C630" s="17"/>
      <c r="D630" s="91">
        <v>138688</v>
      </c>
      <c r="E630" s="17"/>
      <c r="F630" s="91">
        <v>0</v>
      </c>
      <c r="G630" s="17"/>
      <c r="H630" s="22">
        <f>J630-F630</f>
        <v>161477</v>
      </c>
      <c r="I630" s="17"/>
      <c r="J630" s="91">
        <v>161477</v>
      </c>
      <c r="K630" s="17"/>
      <c r="L630" s="92">
        <v>210608</v>
      </c>
      <c r="M630" s="26"/>
      <c r="N630" s="26"/>
      <c r="O630" s="26"/>
      <c r="P630" s="26"/>
      <c r="Q630" s="26"/>
      <c r="R630" s="26"/>
      <c r="S630" s="26"/>
      <c r="T630" s="26"/>
      <c r="U630" s="26"/>
      <c r="V630" s="26"/>
    </row>
    <row r="631" spans="1:24">
      <c r="A631" s="21" t="s">
        <v>34</v>
      </c>
      <c r="B631" s="16" t="s">
        <v>35</v>
      </c>
      <c r="C631" s="17"/>
      <c r="D631" s="91">
        <v>21500</v>
      </c>
      <c r="E631" s="17"/>
      <c r="F631" s="91">
        <v>0</v>
      </c>
      <c r="G631" s="17"/>
      <c r="H631" s="22">
        <f>J631-F631</f>
        <v>25000</v>
      </c>
      <c r="I631" s="17"/>
      <c r="J631" s="91">
        <v>25000</v>
      </c>
      <c r="K631" s="17"/>
      <c r="L631" s="92">
        <v>25000</v>
      </c>
      <c r="M631" s="26"/>
      <c r="N631" s="26"/>
      <c r="O631" s="26"/>
      <c r="P631" s="26"/>
      <c r="Q631" s="26"/>
      <c r="R631" s="26"/>
      <c r="S631" s="26"/>
      <c r="T631" s="26"/>
      <c r="U631" s="26"/>
      <c r="V631" s="26"/>
    </row>
    <row r="632" spans="1:24">
      <c r="A632" s="21" t="s">
        <v>36</v>
      </c>
      <c r="B632" s="16" t="s">
        <v>37</v>
      </c>
      <c r="C632" s="17"/>
      <c r="D632" s="91">
        <v>132732</v>
      </c>
      <c r="E632" s="17"/>
      <c r="F632" s="91">
        <v>154869</v>
      </c>
      <c r="G632" s="17"/>
      <c r="H632" s="22">
        <f>J632-F632</f>
        <v>0</v>
      </c>
      <c r="I632" s="17"/>
      <c r="J632" s="91">
        <v>154869</v>
      </c>
      <c r="K632" s="17"/>
      <c r="L632" s="92">
        <v>161223</v>
      </c>
      <c r="M632" s="26"/>
      <c r="N632" s="26"/>
      <c r="O632" s="26"/>
      <c r="P632" s="26"/>
      <c r="Q632" s="26"/>
      <c r="R632" s="26"/>
      <c r="S632" s="26"/>
      <c r="T632" s="26"/>
      <c r="U632" s="26"/>
      <c r="V632" s="26"/>
    </row>
    <row r="633" spans="1:24">
      <c r="A633" s="27" t="s">
        <v>38</v>
      </c>
      <c r="B633" s="16"/>
      <c r="C633" s="17"/>
      <c r="D633" s="28"/>
      <c r="E633" s="17"/>
      <c r="F633" s="28"/>
      <c r="G633" s="17"/>
      <c r="H633" s="28"/>
      <c r="I633" s="17"/>
      <c r="J633" s="28"/>
      <c r="K633" s="17"/>
      <c r="L633" s="30"/>
      <c r="M633" s="26"/>
      <c r="N633" s="26"/>
      <c r="O633" s="26"/>
      <c r="P633" s="26"/>
      <c r="Q633" s="26"/>
      <c r="R633" s="26"/>
      <c r="S633" s="26"/>
      <c r="T633" s="26"/>
      <c r="U633" s="26"/>
      <c r="V633" s="26"/>
    </row>
    <row r="634" spans="1:24">
      <c r="A634" s="21" t="s">
        <v>39</v>
      </c>
      <c r="B634" s="16" t="s">
        <v>40</v>
      </c>
      <c r="C634" s="17"/>
      <c r="D634" s="28">
        <v>203557.62</v>
      </c>
      <c r="E634" s="17"/>
      <c r="F634" s="28">
        <v>111318.84</v>
      </c>
      <c r="G634" s="17"/>
      <c r="H634" s="22">
        <f>J634-F634</f>
        <v>114781.16</v>
      </c>
      <c r="I634" s="17"/>
      <c r="J634" s="28">
        <v>226100</v>
      </c>
      <c r="K634" s="17"/>
      <c r="L634" s="30">
        <v>257250</v>
      </c>
      <c r="M634" s="26"/>
      <c r="N634" s="26"/>
      <c r="O634" s="26"/>
      <c r="P634" s="26"/>
      <c r="Q634" s="26"/>
      <c r="R634" s="26"/>
      <c r="S634" s="26"/>
      <c r="T634" s="26"/>
      <c r="U634" s="26"/>
      <c r="V634" s="26"/>
    </row>
    <row r="635" spans="1:24">
      <c r="A635" s="21" t="s">
        <v>41</v>
      </c>
      <c r="B635" s="16" t="s">
        <v>42</v>
      </c>
      <c r="C635" s="17"/>
      <c r="D635" s="91">
        <v>10300</v>
      </c>
      <c r="E635" s="17"/>
      <c r="F635" s="91">
        <v>6000</v>
      </c>
      <c r="G635" s="17"/>
      <c r="H635" s="22">
        <f>J635-F635</f>
        <v>6000</v>
      </c>
      <c r="I635" s="17"/>
      <c r="J635" s="91">
        <v>12000</v>
      </c>
      <c r="K635" s="17"/>
      <c r="L635" s="92">
        <v>12000</v>
      </c>
      <c r="M635" s="26"/>
      <c r="N635" s="26"/>
      <c r="O635" s="26"/>
      <c r="P635" s="26"/>
      <c r="Q635" s="26"/>
      <c r="R635" s="26"/>
      <c r="S635" s="26"/>
      <c r="T635" s="26"/>
      <c r="U635" s="26"/>
      <c r="V635" s="26"/>
    </row>
    <row r="636" spans="1:24">
      <c r="A636" s="21" t="s">
        <v>43</v>
      </c>
      <c r="B636" s="16" t="s">
        <v>44</v>
      </c>
      <c r="C636" s="17"/>
      <c r="D636" s="91">
        <v>42407.96</v>
      </c>
      <c r="E636" s="17"/>
      <c r="F636" s="91">
        <v>23191.46</v>
      </c>
      <c r="G636" s="17"/>
      <c r="H636" s="22">
        <f>J636-F636</f>
        <v>23913.54</v>
      </c>
      <c r="I636" s="17"/>
      <c r="J636" s="91">
        <v>47105</v>
      </c>
      <c r="K636" s="17"/>
      <c r="L636" s="92">
        <v>53430</v>
      </c>
      <c r="M636" s="26"/>
      <c r="N636" s="26"/>
      <c r="O636" s="26"/>
      <c r="P636" s="26"/>
      <c r="Q636" s="26"/>
      <c r="R636" s="26"/>
      <c r="S636" s="26"/>
      <c r="T636" s="26"/>
      <c r="U636" s="26"/>
      <c r="V636" s="26"/>
    </row>
    <row r="637" spans="1:24">
      <c r="A637" s="21" t="s">
        <v>45</v>
      </c>
      <c r="B637" s="16" t="s">
        <v>46</v>
      </c>
      <c r="C637" s="17"/>
      <c r="D637" s="91">
        <v>5400</v>
      </c>
      <c r="E637" s="17"/>
      <c r="F637" s="91">
        <v>3000</v>
      </c>
      <c r="G637" s="17"/>
      <c r="H637" s="22">
        <f>J637-F637</f>
        <v>3000</v>
      </c>
      <c r="I637" s="17"/>
      <c r="J637" s="91">
        <v>6000</v>
      </c>
      <c r="K637" s="17"/>
      <c r="L637" s="92">
        <v>6000</v>
      </c>
      <c r="M637" s="26"/>
      <c r="N637" s="26"/>
      <c r="O637" s="26"/>
      <c r="P637" s="26"/>
      <c r="Q637" s="26"/>
      <c r="R637" s="26"/>
      <c r="S637" s="26"/>
      <c r="T637" s="26"/>
      <c r="U637" s="26"/>
      <c r="V637" s="26"/>
    </row>
    <row r="638" spans="1:24">
      <c r="A638" s="27" t="s">
        <v>47</v>
      </c>
      <c r="B638" s="16"/>
      <c r="C638" s="23"/>
      <c r="D638" s="28"/>
      <c r="E638" s="17"/>
      <c r="F638" s="28"/>
      <c r="G638" s="17"/>
      <c r="H638" s="28"/>
      <c r="I638" s="17"/>
      <c r="J638" s="28"/>
      <c r="K638" s="17"/>
      <c r="L638" s="30"/>
      <c r="M638" s="26"/>
      <c r="N638" s="26"/>
      <c r="O638" s="26"/>
      <c r="P638" s="26"/>
      <c r="Q638" s="26"/>
      <c r="R638" s="26"/>
      <c r="S638" s="26"/>
      <c r="T638" s="26"/>
      <c r="U638" s="26"/>
      <c r="V638" s="26"/>
    </row>
    <row r="639" spans="1:24">
      <c r="A639" s="21" t="s">
        <v>48</v>
      </c>
      <c r="B639" s="16" t="s">
        <v>49</v>
      </c>
      <c r="C639" s="17"/>
      <c r="D639" s="22">
        <v>0</v>
      </c>
      <c r="E639" s="17"/>
      <c r="F639" s="22">
        <v>0</v>
      </c>
      <c r="G639" s="17"/>
      <c r="H639" s="22">
        <v>0</v>
      </c>
      <c r="I639" s="17"/>
      <c r="J639" s="22">
        <v>0</v>
      </c>
      <c r="K639" s="17"/>
      <c r="L639" s="25">
        <v>0</v>
      </c>
      <c r="M639" s="26"/>
      <c r="N639" s="26"/>
      <c r="O639" s="26"/>
      <c r="P639" s="26"/>
      <c r="Q639" s="26"/>
      <c r="R639" s="26"/>
      <c r="S639" s="26"/>
      <c r="T639" s="26"/>
      <c r="U639" s="26"/>
      <c r="V639" s="26"/>
    </row>
    <row r="640" spans="1:24" customHeight="1" ht="15">
      <c r="A640" s="21" t="s">
        <v>50</v>
      </c>
      <c r="B640" s="16" t="s">
        <v>51</v>
      </c>
      <c r="C640" s="17"/>
      <c r="D640" s="41">
        <v>0</v>
      </c>
      <c r="E640" s="17"/>
      <c r="F640" s="41">
        <v>35000</v>
      </c>
      <c r="G640" s="17"/>
      <c r="H640" s="41">
        <v>0</v>
      </c>
      <c r="I640" s="17"/>
      <c r="J640" s="41">
        <v>50000</v>
      </c>
      <c r="K640" s="17"/>
      <c r="L640" s="55">
        <v>40000</v>
      </c>
      <c r="M640" s="26"/>
      <c r="N640" s="26"/>
      <c r="O640" s="26"/>
      <c r="P640" s="26"/>
      <c r="Q640" s="26"/>
      <c r="R640" s="26"/>
      <c r="S640" s="26"/>
      <c r="T640" s="26"/>
      <c r="U640" s="26"/>
      <c r="V640" s="26"/>
    </row>
    <row r="641" spans="1:24" customHeight="1" ht="15">
      <c r="A641" s="44" t="s">
        <v>52</v>
      </c>
      <c r="B641" s="45"/>
      <c r="C641" s="46" t="s">
        <v>18</v>
      </c>
      <c r="D641" s="47">
        <f>SUM(D622:D640)</f>
        <v>2665631.32</v>
      </c>
      <c r="E641" s="48" t="s">
        <v>18</v>
      </c>
      <c r="F641" s="47">
        <f>SUM(F622:F640)</f>
        <v>1437636.32</v>
      </c>
      <c r="G641" s="48" t="s">
        <v>18</v>
      </c>
      <c r="H641" s="47">
        <f>SUM(H622:H640)</f>
        <v>1557276.68</v>
      </c>
      <c r="I641" s="48" t="s">
        <v>18</v>
      </c>
      <c r="J641" s="47">
        <f>SUM(J622:J640)</f>
        <v>3009913</v>
      </c>
      <c r="K641" s="48" t="s">
        <v>18</v>
      </c>
      <c r="L641" s="95">
        <f>SUM(L622:L640)</f>
        <v>3218624</v>
      </c>
      <c r="M641" s="50"/>
      <c r="N641" s="50"/>
      <c r="O641" s="50"/>
      <c r="P641" s="50"/>
      <c r="Q641" s="50"/>
      <c r="R641" s="50"/>
      <c r="S641" s="50"/>
      <c r="T641" s="50"/>
      <c r="U641" s="50"/>
      <c r="V641" s="50"/>
    </row>
    <row r="645" spans="1:24">
      <c r="A645" s="235" t="s">
        <v>0</v>
      </c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69"/>
      <c r="N645" s="69"/>
      <c r="O645" s="69"/>
      <c r="P645" s="69"/>
      <c r="Q645" s="69"/>
      <c r="R645" s="69"/>
      <c r="S645" s="69"/>
      <c r="T645" s="69"/>
      <c r="U645" s="69"/>
      <c r="V645" s="69"/>
    </row>
    <row r="647" spans="1:24" customHeight="1" ht="15.6">
      <c r="A647" s="236" t="s">
        <v>1</v>
      </c>
      <c r="B647" s="236"/>
      <c r="C647" s="236"/>
      <c r="D647" s="236"/>
      <c r="E647" s="236"/>
      <c r="F647" s="236"/>
      <c r="G647" s="236"/>
      <c r="H647" s="236"/>
      <c r="I647" s="236"/>
      <c r="J647" s="236"/>
      <c r="K647" s="236"/>
      <c r="L647" s="236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4">
      <c r="A648" s="231" t="s">
        <v>2</v>
      </c>
      <c r="B648" s="231"/>
      <c r="C648" s="231"/>
      <c r="D648" s="231"/>
      <c r="E648" s="231"/>
      <c r="F648" s="231"/>
      <c r="G648" s="231"/>
      <c r="H648" s="231"/>
      <c r="I648" s="231"/>
      <c r="J648" s="231"/>
      <c r="K648" s="231"/>
      <c r="L648" s="231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50" spans="1:24">
      <c r="A650" s="5" t="s">
        <v>141</v>
      </c>
    </row>
    <row r="651" spans="1:24" customHeight="1" ht="15"/>
    <row r="652" spans="1:24">
      <c r="A652" s="7"/>
      <c r="B652" s="8"/>
      <c r="C652" s="203" t="s">
        <v>4</v>
      </c>
      <c r="D652" s="204"/>
      <c r="E652" s="205" t="s">
        <v>5</v>
      </c>
      <c r="F652" s="206"/>
      <c r="G652" s="206"/>
      <c r="H652" s="206"/>
      <c r="I652" s="206"/>
      <c r="J652" s="207"/>
      <c r="K652" s="203" t="s">
        <v>6</v>
      </c>
      <c r="L652" s="22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4">
      <c r="A653" s="9" t="s">
        <v>7</v>
      </c>
      <c r="B653" s="10" t="s">
        <v>8</v>
      </c>
      <c r="C653" s="210">
        <v>2024</v>
      </c>
      <c r="D653" s="211"/>
      <c r="E653" s="212" t="s">
        <v>9</v>
      </c>
      <c r="F653" s="213"/>
      <c r="G653" s="212" t="s">
        <v>10</v>
      </c>
      <c r="H653" s="213"/>
      <c r="I653" s="214" t="s">
        <v>11</v>
      </c>
      <c r="J653" s="215"/>
      <c r="K653" s="210">
        <v>2026</v>
      </c>
      <c r="L653" s="229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4" customHeight="1" ht="15">
      <c r="A654" s="13"/>
      <c r="B654" s="14"/>
      <c r="C654" s="220" t="s">
        <v>12</v>
      </c>
      <c r="D654" s="221"/>
      <c r="E654" s="220" t="s">
        <v>12</v>
      </c>
      <c r="F654" s="221"/>
      <c r="G654" s="220" t="s">
        <v>13</v>
      </c>
      <c r="H654" s="221"/>
      <c r="I654" s="216"/>
      <c r="J654" s="217"/>
      <c r="K654" s="220" t="s">
        <v>14</v>
      </c>
      <c r="L654" s="230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4">
      <c r="A655" s="27" t="s">
        <v>53</v>
      </c>
      <c r="B655" s="52"/>
      <c r="C655" s="17"/>
      <c r="D655" s="18"/>
      <c r="E655" s="17"/>
      <c r="F655" s="18"/>
      <c r="G655" s="17"/>
      <c r="H655" s="18"/>
      <c r="I655" s="17"/>
      <c r="J655" s="18"/>
      <c r="K655" s="17"/>
      <c r="L655" s="19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spans="1:24">
      <c r="A656" s="21" t="s">
        <v>54</v>
      </c>
      <c r="B656" s="16" t="s">
        <v>55</v>
      </c>
      <c r="C656" s="17" t="s">
        <v>18</v>
      </c>
      <c r="D656" s="28">
        <v>79662</v>
      </c>
      <c r="E656" s="17" t="s">
        <v>18</v>
      </c>
      <c r="F656" s="28">
        <v>69339.42</v>
      </c>
      <c r="G656" s="17" t="s">
        <v>18</v>
      </c>
      <c r="H656" s="28">
        <f>J656-F656</f>
        <v>40660.58</v>
      </c>
      <c r="I656" s="17" t="s">
        <v>18</v>
      </c>
      <c r="J656" s="28">
        <v>110000</v>
      </c>
      <c r="K656" s="17" t="s">
        <v>18</v>
      </c>
      <c r="L656" s="30">
        <v>100605</v>
      </c>
      <c r="M656" s="26"/>
      <c r="N656" s="26"/>
      <c r="O656" s="26"/>
      <c r="P656" s="26"/>
      <c r="Q656" s="26"/>
      <c r="R656" s="26"/>
      <c r="S656" s="26"/>
      <c r="T656" s="26"/>
      <c r="U656" s="26"/>
      <c r="V656" s="26"/>
    </row>
    <row r="657" spans="1:24">
      <c r="A657" s="21" t="s">
        <v>58</v>
      </c>
      <c r="B657" s="16" t="s">
        <v>59</v>
      </c>
      <c r="C657" s="17"/>
      <c r="D657" s="91">
        <v>131024.71</v>
      </c>
      <c r="E657" s="17"/>
      <c r="F657" s="91">
        <v>17897.58</v>
      </c>
      <c r="G657" s="17"/>
      <c r="H657" s="91">
        <f>J657-F657</f>
        <v>97707.42</v>
      </c>
      <c r="I657" s="17"/>
      <c r="J657" s="91">
        <v>115605</v>
      </c>
      <c r="K657" s="17"/>
      <c r="L657" s="92">
        <v>125000</v>
      </c>
      <c r="M657" s="26"/>
      <c r="N657" s="26"/>
      <c r="O657" s="26"/>
      <c r="P657" s="26"/>
      <c r="Q657" s="26"/>
      <c r="R657" s="26"/>
      <c r="S657" s="26"/>
      <c r="T657" s="26"/>
      <c r="U657" s="26"/>
      <c r="V657" s="26"/>
    </row>
    <row r="658" spans="1:24">
      <c r="A658" s="21" t="s">
        <v>70</v>
      </c>
      <c r="B658" s="16" t="s">
        <v>71</v>
      </c>
      <c r="C658" s="17"/>
      <c r="D658" s="91">
        <v>60000</v>
      </c>
      <c r="E658" s="17"/>
      <c r="F658" s="91">
        <v>25000</v>
      </c>
      <c r="G658" s="17"/>
      <c r="H658" s="91">
        <f>J658-F658</f>
        <v>35000</v>
      </c>
      <c r="I658" s="17"/>
      <c r="J658" s="91">
        <v>60000</v>
      </c>
      <c r="K658" s="17"/>
      <c r="L658" s="92">
        <v>60000</v>
      </c>
      <c r="M658" s="26"/>
      <c r="N658" s="26"/>
      <c r="O658" s="26"/>
      <c r="P658" s="26"/>
      <c r="Q658" s="26"/>
      <c r="R658" s="26"/>
      <c r="S658" s="26"/>
      <c r="T658" s="26"/>
      <c r="U658" s="26"/>
      <c r="V658" s="26"/>
    </row>
    <row r="659" spans="1:24">
      <c r="A659" s="21" t="s">
        <v>72</v>
      </c>
      <c r="B659" s="16" t="s">
        <v>73</v>
      </c>
      <c r="C659" s="17"/>
      <c r="D659" s="91">
        <v>27066.87</v>
      </c>
      <c r="E659" s="17"/>
      <c r="F659" s="91">
        <v>10104.44</v>
      </c>
      <c r="G659" s="17"/>
      <c r="H659" s="91">
        <f>J659-F659</f>
        <v>19895.56</v>
      </c>
      <c r="I659" s="17"/>
      <c r="J659" s="91">
        <v>30000</v>
      </c>
      <c r="K659" s="17"/>
      <c r="L659" s="92">
        <v>30000</v>
      </c>
      <c r="M659" s="26"/>
      <c r="N659" s="26"/>
      <c r="O659" s="26"/>
      <c r="P659" s="26"/>
      <c r="Q659" s="26"/>
      <c r="R659" s="26"/>
      <c r="S659" s="26"/>
      <c r="T659" s="26"/>
      <c r="U659" s="26"/>
      <c r="V659" s="26"/>
    </row>
    <row r="660" spans="1:24">
      <c r="A660" s="21" t="s">
        <v>142</v>
      </c>
      <c r="B660" s="16" t="s">
        <v>143</v>
      </c>
      <c r="C660" s="17"/>
      <c r="D660" s="91">
        <v>54023</v>
      </c>
      <c r="E660" s="17"/>
      <c r="F660" s="91">
        <v>0</v>
      </c>
      <c r="G660" s="17"/>
      <c r="H660" s="91">
        <f>J660-F660</f>
        <v>80000</v>
      </c>
      <c r="I660" s="17"/>
      <c r="J660" s="91">
        <v>80000</v>
      </c>
      <c r="K660" s="17"/>
      <c r="L660" s="92">
        <v>85000</v>
      </c>
      <c r="M660" s="26"/>
      <c r="N660" s="26"/>
      <c r="O660" s="26"/>
      <c r="P660" s="26"/>
      <c r="Q660" s="26"/>
      <c r="R660" s="26"/>
      <c r="S660" s="26"/>
      <c r="T660" s="26"/>
      <c r="U660" s="26"/>
      <c r="V660" s="26"/>
    </row>
    <row r="661" spans="1:24">
      <c r="A661" s="21" t="s">
        <v>80</v>
      </c>
      <c r="B661" s="16" t="s">
        <v>81</v>
      </c>
      <c r="C661" s="17"/>
      <c r="D661" s="91">
        <v>4120</v>
      </c>
      <c r="E661" s="17"/>
      <c r="F661" s="91">
        <v>4750</v>
      </c>
      <c r="G661" s="17"/>
      <c r="H661" s="91">
        <f>J661-F661</f>
        <v>15250</v>
      </c>
      <c r="I661" s="17"/>
      <c r="J661" s="91">
        <v>20000</v>
      </c>
      <c r="K661" s="17"/>
      <c r="L661" s="92">
        <v>20000</v>
      </c>
      <c r="M661" s="26"/>
      <c r="N661" s="26"/>
      <c r="O661" s="26"/>
      <c r="P661" s="26"/>
      <c r="Q661" s="26"/>
      <c r="R661" s="26"/>
      <c r="S661" s="26"/>
      <c r="T661" s="26"/>
      <c r="U661" s="26"/>
      <c r="V661" s="26"/>
    </row>
    <row r="662" spans="1:24" customHeight="1" ht="15">
      <c r="A662" s="27" t="s">
        <v>94</v>
      </c>
      <c r="B662" s="52"/>
      <c r="C662" s="56" t="s">
        <v>18</v>
      </c>
      <c r="D662" s="47">
        <f>SUM(D656:D661)</f>
        <v>355896.58</v>
      </c>
      <c r="E662" s="56" t="s">
        <v>18</v>
      </c>
      <c r="F662" s="47">
        <f>SUM(F656:F661)</f>
        <v>127091.44</v>
      </c>
      <c r="G662" s="56" t="s">
        <v>18</v>
      </c>
      <c r="H662" s="47">
        <f>SUM(H656:H661)</f>
        <v>288513.56</v>
      </c>
      <c r="I662" s="56" t="s">
        <v>18</v>
      </c>
      <c r="J662" s="47">
        <f>SUM(J656:J661)</f>
        <v>415605</v>
      </c>
      <c r="K662" s="56" t="s">
        <v>18</v>
      </c>
      <c r="L662" s="49">
        <f>SUM(L656:L661)</f>
        <v>420605</v>
      </c>
      <c r="M662" s="50"/>
      <c r="N662" s="50"/>
      <c r="O662" s="50"/>
      <c r="P662" s="50"/>
      <c r="Q662" s="50"/>
      <c r="R662" s="50"/>
      <c r="S662" s="50"/>
      <c r="T662" s="50"/>
      <c r="U662" s="50"/>
      <c r="V662" s="50"/>
    </row>
    <row r="663" spans="1:24">
      <c r="A663" s="27" t="s">
        <v>95</v>
      </c>
      <c r="B663" s="52"/>
      <c r="C663" s="17"/>
      <c r="D663" s="75"/>
      <c r="E663" s="17"/>
      <c r="F663" s="75"/>
      <c r="G663" s="17"/>
      <c r="H663" s="75"/>
      <c r="I663" s="17"/>
      <c r="J663" s="75"/>
      <c r="K663" s="17"/>
      <c r="L663" s="76"/>
      <c r="M663" s="26"/>
      <c r="N663" s="26"/>
      <c r="O663" s="26"/>
      <c r="P663" s="26"/>
      <c r="Q663" s="26"/>
      <c r="R663" s="26"/>
      <c r="S663" s="26"/>
      <c r="T663" s="26"/>
      <c r="U663" s="26"/>
      <c r="V663" s="26"/>
    </row>
    <row r="664" spans="1:24" customHeight="1" ht="15">
      <c r="A664" s="21" t="s">
        <v>96</v>
      </c>
      <c r="B664" s="16" t="s">
        <v>97</v>
      </c>
      <c r="C664" s="17" t="s">
        <v>18</v>
      </c>
      <c r="D664" s="28">
        <v>0</v>
      </c>
      <c r="E664" s="17" t="s">
        <v>18</v>
      </c>
      <c r="F664" s="28">
        <v>0</v>
      </c>
      <c r="G664" s="17" t="s">
        <v>18</v>
      </c>
      <c r="H664" s="28">
        <v>0</v>
      </c>
      <c r="I664" s="17" t="s">
        <v>18</v>
      </c>
      <c r="J664" s="28">
        <v>70000</v>
      </c>
      <c r="K664" s="17" t="s">
        <v>18</v>
      </c>
      <c r="L664" s="30">
        <v>70000</v>
      </c>
      <c r="M664" s="26"/>
      <c r="N664" s="26"/>
      <c r="O664" s="26"/>
      <c r="P664" s="26"/>
      <c r="Q664" s="26"/>
      <c r="R664" s="26"/>
      <c r="S664" s="26"/>
      <c r="T664" s="26"/>
      <c r="U664" s="26"/>
      <c r="V664" s="26"/>
    </row>
    <row r="665" spans="1:24" customHeight="1" ht="15">
      <c r="A665" s="27" t="s">
        <v>98</v>
      </c>
      <c r="B665" s="16"/>
      <c r="C665" s="56" t="s">
        <v>18</v>
      </c>
      <c r="D665" s="77">
        <f>SUM(D664)</f>
        <v>0</v>
      </c>
      <c r="E665" s="56" t="s">
        <v>18</v>
      </c>
      <c r="F665" s="77">
        <f>SUM(F664)</f>
        <v>0</v>
      </c>
      <c r="G665" s="56" t="s">
        <v>18</v>
      </c>
      <c r="H665" s="77">
        <f>SUM(H664)</f>
        <v>0</v>
      </c>
      <c r="I665" s="56" t="s">
        <v>18</v>
      </c>
      <c r="J665" s="77">
        <f>SUM(J664)</f>
        <v>70000</v>
      </c>
      <c r="K665" s="56" t="s">
        <v>18</v>
      </c>
      <c r="L665" s="78">
        <f>SUM(L664)</f>
        <v>70000</v>
      </c>
      <c r="M665" s="50"/>
      <c r="N665" s="50"/>
      <c r="O665" s="50"/>
      <c r="P665" s="50"/>
      <c r="Q665" s="50"/>
      <c r="R665" s="50"/>
      <c r="S665" s="50"/>
      <c r="T665" s="50"/>
      <c r="U665" s="50"/>
      <c r="V665" s="50"/>
    </row>
    <row r="666" spans="1:24" customHeight="1" ht="15">
      <c r="A666" s="79" t="s">
        <v>99</v>
      </c>
      <c r="B666" s="80"/>
      <c r="C666" s="81" t="s">
        <v>18</v>
      </c>
      <c r="D666" s="82">
        <f>D641+D662+D665</f>
        <v>3021527.9</v>
      </c>
      <c r="E666" s="83" t="s">
        <v>18</v>
      </c>
      <c r="F666" s="82">
        <f>F641+F662+F665</f>
        <v>1564727.76</v>
      </c>
      <c r="G666" s="83" t="s">
        <v>18</v>
      </c>
      <c r="H666" s="82">
        <f>H641+H662+H665</f>
        <v>1845790.24</v>
      </c>
      <c r="I666" s="83" t="s">
        <v>18</v>
      </c>
      <c r="J666" s="82">
        <f>J641+J662+J665</f>
        <v>3495518</v>
      </c>
      <c r="K666" s="83" t="s">
        <v>18</v>
      </c>
      <c r="L666" s="84">
        <f>L641+L662+L665</f>
        <v>3709229</v>
      </c>
      <c r="M666" s="50"/>
      <c r="N666" s="50"/>
      <c r="O666" s="50"/>
      <c r="P666" s="50"/>
      <c r="Q666" s="50"/>
      <c r="R666" s="50"/>
      <c r="S666" s="50"/>
      <c r="T666" s="50"/>
      <c r="U666" s="50"/>
      <c r="V666" s="50"/>
    </row>
    <row r="667" spans="1:24" customHeight="1" ht="15"/>
    <row r="668" spans="1:24">
      <c r="A668" t="s">
        <v>100</v>
      </c>
      <c r="B668" t="s">
        <v>101</v>
      </c>
      <c r="G668" t="s">
        <v>102</v>
      </c>
    </row>
    <row r="670" spans="1:24">
      <c r="A670" s="200" t="s">
        <v>144</v>
      </c>
      <c r="D670" s="200" t="s">
        <v>112</v>
      </c>
      <c r="J670" s="200" t="s">
        <v>112</v>
      </c>
    </row>
    <row r="671" spans="1:24">
      <c r="A671" s="4" t="s">
        <v>145</v>
      </c>
      <c r="B671" s="231" t="s">
        <v>107</v>
      </c>
      <c r="C671" s="231"/>
      <c r="D671" s="231"/>
      <c r="E671" s="231"/>
      <c r="F671" s="231"/>
      <c r="H671" s="231" t="s">
        <v>106</v>
      </c>
      <c r="I671" s="231"/>
      <c r="J671" s="231"/>
      <c r="K671" s="231"/>
      <c r="L671" s="231"/>
      <c r="M671" s="4"/>
      <c r="N671" s="66"/>
      <c r="O671" s="66"/>
      <c r="P671" s="66"/>
      <c r="Q671" s="66"/>
      <c r="R671" s="66"/>
      <c r="S671" s="66"/>
      <c r="T671" s="66"/>
      <c r="U671" s="66"/>
      <c r="V671" s="66"/>
    </row>
    <row r="672" spans="1:24">
      <c r="A672" s="158" t="s">
        <v>146</v>
      </c>
      <c r="B672" s="232" t="s">
        <v>109</v>
      </c>
      <c r="C672" s="232"/>
      <c r="D672" s="232"/>
      <c r="E672" s="232"/>
      <c r="F672" s="232"/>
      <c r="H672" s="232" t="s">
        <v>108</v>
      </c>
      <c r="I672" s="232"/>
      <c r="J672" s="232"/>
      <c r="K672" s="232"/>
      <c r="L672" s="232"/>
      <c r="M672" s="158"/>
      <c r="N672" s="68"/>
      <c r="O672" s="68"/>
      <c r="P672" s="68"/>
      <c r="Q672" s="68"/>
      <c r="R672" s="68"/>
      <c r="S672" s="68"/>
      <c r="T672" s="68"/>
      <c r="U672" s="68"/>
      <c r="V672" s="68"/>
    </row>
    <row r="676" spans="1:24">
      <c r="L676" s="6" t="s">
        <v>147</v>
      </c>
    </row>
    <row r="677" spans="1:24">
      <c r="J677" s="17"/>
    </row>
    <row r="679" spans="1:24">
      <c r="A679" s="235" t="s">
        <v>0</v>
      </c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69"/>
      <c r="N679" s="69"/>
      <c r="O679" s="69"/>
      <c r="P679" s="69"/>
      <c r="Q679" s="69"/>
      <c r="R679" s="69"/>
      <c r="S679" s="69"/>
      <c r="T679" s="69"/>
      <c r="U679" s="69"/>
      <c r="V679" s="69"/>
    </row>
    <row r="681" spans="1:24" customHeight="1" ht="15.6">
      <c r="A681" s="236" t="s">
        <v>1</v>
      </c>
      <c r="B681" s="236"/>
      <c r="C681" s="236"/>
      <c r="D681" s="236"/>
      <c r="E681" s="236"/>
      <c r="F681" s="236"/>
      <c r="G681" s="236"/>
      <c r="H681" s="236"/>
      <c r="I681" s="236"/>
      <c r="J681" s="236"/>
      <c r="K681" s="236"/>
      <c r="L681" s="236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4">
      <c r="A682" s="231" t="s">
        <v>2</v>
      </c>
      <c r="B682" s="231"/>
      <c r="C682" s="231"/>
      <c r="D682" s="231"/>
      <c r="E682" s="231"/>
      <c r="F682" s="231"/>
      <c r="G682" s="231"/>
      <c r="H682" s="231"/>
      <c r="I682" s="231"/>
      <c r="J682" s="231"/>
      <c r="K682" s="231"/>
      <c r="L682" s="231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4" spans="1:24">
      <c r="A684" s="5" t="s">
        <v>148</v>
      </c>
    </row>
    <row r="685" spans="1:24" customHeight="1" ht="15"/>
    <row r="686" spans="1:24">
      <c r="A686" s="7"/>
      <c r="B686" s="8"/>
      <c r="C686" s="203" t="s">
        <v>4</v>
      </c>
      <c r="D686" s="204"/>
      <c r="E686" s="205" t="s">
        <v>5</v>
      </c>
      <c r="F686" s="206"/>
      <c r="G686" s="206"/>
      <c r="H686" s="206"/>
      <c r="I686" s="206"/>
      <c r="J686" s="207"/>
      <c r="K686" s="203" t="s">
        <v>6</v>
      </c>
      <c r="L686" s="22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4">
      <c r="A687" s="9" t="s">
        <v>7</v>
      </c>
      <c r="B687" s="10" t="s">
        <v>8</v>
      </c>
      <c r="C687" s="210">
        <v>2024</v>
      </c>
      <c r="D687" s="211"/>
      <c r="E687" s="212" t="s">
        <v>9</v>
      </c>
      <c r="F687" s="213"/>
      <c r="G687" s="212" t="s">
        <v>10</v>
      </c>
      <c r="H687" s="213"/>
      <c r="I687" s="214" t="s">
        <v>11</v>
      </c>
      <c r="J687" s="215"/>
      <c r="K687" s="210">
        <v>2026</v>
      </c>
      <c r="L687" s="229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4" customHeight="1" ht="15">
      <c r="A688" s="13"/>
      <c r="B688" s="14"/>
      <c r="C688" s="220" t="s">
        <v>12</v>
      </c>
      <c r="D688" s="221"/>
      <c r="E688" s="220" t="s">
        <v>12</v>
      </c>
      <c r="F688" s="221"/>
      <c r="G688" s="220" t="s">
        <v>13</v>
      </c>
      <c r="H688" s="221"/>
      <c r="I688" s="216"/>
      <c r="J688" s="217"/>
      <c r="K688" s="220" t="s">
        <v>14</v>
      </c>
      <c r="L688" s="230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4">
      <c r="A689" s="15" t="s">
        <v>15</v>
      </c>
      <c r="B689" s="16"/>
      <c r="C689" s="17"/>
      <c r="D689" s="18"/>
      <c r="E689" s="17"/>
      <c r="F689" s="18"/>
      <c r="G689" s="17"/>
      <c r="H689" s="18"/>
      <c r="I689" s="17"/>
      <c r="J689" s="18"/>
      <c r="K689" s="17"/>
      <c r="L689" s="19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spans="1:24">
      <c r="A690" s="21" t="s">
        <v>16</v>
      </c>
      <c r="B690" s="16" t="s">
        <v>17</v>
      </c>
      <c r="C690" s="17" t="s">
        <v>18</v>
      </c>
      <c r="D690" s="22">
        <v>1410598</v>
      </c>
      <c r="E690" s="17" t="s">
        <v>18</v>
      </c>
      <c r="F690" s="22">
        <v>779652.71</v>
      </c>
      <c r="G690" s="17" t="s">
        <v>18</v>
      </c>
      <c r="H690" s="22">
        <f>J690-F690</f>
        <v>2023089.29</v>
      </c>
      <c r="I690" s="17" t="s">
        <v>18</v>
      </c>
      <c r="J690" s="22">
        <v>2802742</v>
      </c>
      <c r="K690" s="17" t="s">
        <v>18</v>
      </c>
      <c r="L690" s="25">
        <v>3179824</v>
      </c>
      <c r="M690" s="26"/>
      <c r="N690" s="26"/>
      <c r="O690" s="26"/>
      <c r="P690" s="26"/>
      <c r="Q690" s="26"/>
      <c r="R690" s="26"/>
      <c r="S690" s="26"/>
      <c r="T690" s="26"/>
      <c r="U690" s="26"/>
      <c r="V690" s="26"/>
    </row>
    <row r="691" spans="1:24">
      <c r="A691" s="27" t="s">
        <v>19</v>
      </c>
      <c r="B691" s="16"/>
      <c r="C691" s="17"/>
      <c r="D691" s="28"/>
      <c r="E691" s="17"/>
      <c r="F691" s="28"/>
      <c r="G691" s="17"/>
      <c r="H691" s="28"/>
      <c r="I691" s="17"/>
      <c r="J691" s="28"/>
      <c r="K691" s="17"/>
      <c r="L691" s="30"/>
      <c r="M691" s="26"/>
      <c r="N691" s="26"/>
      <c r="O691" s="26"/>
      <c r="P691" s="26"/>
      <c r="Q691" s="26"/>
      <c r="R691" s="26"/>
      <c r="S691" s="26"/>
      <c r="T691" s="26"/>
      <c r="U691" s="26"/>
      <c r="V691" s="26"/>
    </row>
    <row r="692" spans="1:24">
      <c r="A692" s="21" t="s">
        <v>20</v>
      </c>
      <c r="B692" s="16" t="s">
        <v>21</v>
      </c>
      <c r="C692" s="17"/>
      <c r="D692" s="28">
        <v>142000</v>
      </c>
      <c r="E692" s="17"/>
      <c r="F692" s="28">
        <v>60000</v>
      </c>
      <c r="G692" s="17"/>
      <c r="H692" s="22">
        <f>J692-F692</f>
        <v>132000</v>
      </c>
      <c r="I692" s="17"/>
      <c r="J692" s="28">
        <v>192000</v>
      </c>
      <c r="K692" s="17"/>
      <c r="L692" s="30">
        <v>192000</v>
      </c>
      <c r="M692" s="26"/>
      <c r="N692" s="26"/>
      <c r="O692" s="26"/>
      <c r="P692" s="26"/>
      <c r="Q692" s="26"/>
      <c r="R692" s="26"/>
      <c r="S692" s="26"/>
      <c r="T692" s="26"/>
      <c r="U692" s="26"/>
      <c r="V692" s="26"/>
    </row>
    <row r="693" spans="1:24">
      <c r="A693" s="21" t="s">
        <v>22</v>
      </c>
      <c r="B693" s="16" t="s">
        <v>23</v>
      </c>
      <c r="C693" s="17"/>
      <c r="D693" s="91">
        <v>81600</v>
      </c>
      <c r="E693" s="17"/>
      <c r="F693" s="91">
        <v>40800</v>
      </c>
      <c r="G693" s="17"/>
      <c r="H693" s="22">
        <f>J693-F693</f>
        <v>40800</v>
      </c>
      <c r="I693" s="17"/>
      <c r="J693" s="91">
        <v>81600</v>
      </c>
      <c r="K693" s="17"/>
      <c r="L693" s="92">
        <v>81600</v>
      </c>
      <c r="M693" s="26"/>
      <c r="N693" s="26"/>
      <c r="O693" s="26"/>
      <c r="P693" s="26"/>
      <c r="Q693" s="26"/>
      <c r="R693" s="26"/>
      <c r="S693" s="26"/>
      <c r="T693" s="26"/>
      <c r="U693" s="26"/>
      <c r="V693" s="26"/>
    </row>
    <row r="694" spans="1:24">
      <c r="A694" s="21" t="s">
        <v>24</v>
      </c>
      <c r="B694" s="16" t="s">
        <v>25</v>
      </c>
      <c r="C694" s="17"/>
      <c r="D694" s="91">
        <v>81600</v>
      </c>
      <c r="E694" s="17"/>
      <c r="F694" s="91">
        <v>40800</v>
      </c>
      <c r="G694" s="17"/>
      <c r="H694" s="22">
        <f>J694-F694</f>
        <v>40800</v>
      </c>
      <c r="I694" s="17"/>
      <c r="J694" s="91">
        <v>81600</v>
      </c>
      <c r="K694" s="17"/>
      <c r="L694" s="92">
        <v>81600</v>
      </c>
      <c r="M694" s="26"/>
      <c r="N694" s="26"/>
      <c r="O694" s="26"/>
      <c r="P694" s="26"/>
      <c r="Q694" s="26"/>
      <c r="R694" s="26"/>
      <c r="S694" s="26"/>
      <c r="T694" s="26"/>
      <c r="U694" s="26"/>
      <c r="V694" s="26"/>
    </row>
    <row r="695" spans="1:24">
      <c r="A695" s="21" t="s">
        <v>26</v>
      </c>
      <c r="B695" s="16" t="s">
        <v>27</v>
      </c>
      <c r="C695" s="17"/>
      <c r="D695" s="91">
        <v>36000</v>
      </c>
      <c r="E695" s="17"/>
      <c r="F695" s="91">
        <v>42000</v>
      </c>
      <c r="G695" s="17"/>
      <c r="H695" s="22">
        <f>J695-F695</f>
        <v>14000</v>
      </c>
      <c r="I695" s="17"/>
      <c r="J695" s="91">
        <v>56000</v>
      </c>
      <c r="K695" s="17"/>
      <c r="L695" s="92">
        <v>56000</v>
      </c>
      <c r="M695" s="26"/>
      <c r="N695" s="26"/>
      <c r="O695" s="26"/>
      <c r="P695" s="26"/>
      <c r="Q695" s="26"/>
      <c r="R695" s="26"/>
      <c r="S695" s="26"/>
      <c r="T695" s="26"/>
      <c r="U695" s="26"/>
      <c r="V695" s="26"/>
    </row>
    <row r="696" spans="1:24">
      <c r="A696" s="21" t="s">
        <v>28</v>
      </c>
      <c r="B696" s="16" t="s">
        <v>29</v>
      </c>
      <c r="C696" s="17"/>
      <c r="D696" s="91">
        <v>30000</v>
      </c>
      <c r="E696" s="17"/>
      <c r="F696" s="91">
        <v>0</v>
      </c>
      <c r="G696" s="17"/>
      <c r="H696" s="22">
        <f>J696-F696</f>
        <v>40000</v>
      </c>
      <c r="I696" s="17"/>
      <c r="J696" s="91">
        <v>40000</v>
      </c>
      <c r="K696" s="17"/>
      <c r="L696" s="92">
        <v>0</v>
      </c>
      <c r="M696" s="26"/>
      <c r="N696" s="26"/>
      <c r="O696" s="26"/>
      <c r="P696" s="26"/>
      <c r="Q696" s="26"/>
      <c r="R696" s="26"/>
      <c r="S696" s="26"/>
      <c r="T696" s="26"/>
      <c r="U696" s="26"/>
      <c r="V696" s="26"/>
    </row>
    <row r="697" spans="1:24">
      <c r="A697" s="21" t="s">
        <v>30</v>
      </c>
      <c r="B697" s="16" t="s">
        <v>31</v>
      </c>
      <c r="C697" s="17"/>
      <c r="D697" s="91">
        <v>120000</v>
      </c>
      <c r="E697" s="17"/>
      <c r="F697" s="91">
        <v>0</v>
      </c>
      <c r="G697" s="17"/>
      <c r="H697" s="22">
        <f>J697-F697</f>
        <v>160000</v>
      </c>
      <c r="I697" s="17"/>
      <c r="J697" s="91">
        <v>160000</v>
      </c>
      <c r="K697" s="17"/>
      <c r="L697" s="92">
        <v>0</v>
      </c>
      <c r="M697" s="26"/>
      <c r="N697" s="26"/>
      <c r="O697" s="26"/>
      <c r="P697" s="26"/>
      <c r="Q697" s="26"/>
      <c r="R697" s="26"/>
      <c r="S697" s="26"/>
      <c r="T697" s="26"/>
      <c r="U697" s="26"/>
      <c r="V697" s="26"/>
    </row>
    <row r="698" spans="1:24">
      <c r="A698" s="21" t="s">
        <v>32</v>
      </c>
      <c r="B698" s="16" t="s">
        <v>33</v>
      </c>
      <c r="C698" s="17"/>
      <c r="D698" s="91">
        <v>123987</v>
      </c>
      <c r="E698" s="17"/>
      <c r="F698" s="91">
        <v>0</v>
      </c>
      <c r="G698" s="17"/>
      <c r="H698" s="22">
        <f>J698-F698</f>
        <v>240428</v>
      </c>
      <c r="I698" s="17"/>
      <c r="J698" s="91">
        <v>240428</v>
      </c>
      <c r="K698" s="17"/>
      <c r="L698" s="92">
        <v>314219</v>
      </c>
      <c r="M698" s="26"/>
      <c r="N698" s="26"/>
      <c r="O698" s="26"/>
      <c r="P698" s="26"/>
      <c r="Q698" s="26"/>
      <c r="R698" s="26"/>
      <c r="S698" s="26"/>
      <c r="T698" s="26"/>
      <c r="U698" s="26"/>
      <c r="V698" s="26"/>
    </row>
    <row r="699" spans="1:24">
      <c r="A699" s="21" t="s">
        <v>34</v>
      </c>
      <c r="B699" s="16" t="s">
        <v>35</v>
      </c>
      <c r="C699" s="17"/>
      <c r="D699" s="91">
        <v>30000</v>
      </c>
      <c r="E699" s="17"/>
      <c r="F699" s="91">
        <v>0</v>
      </c>
      <c r="G699" s="17"/>
      <c r="H699" s="22">
        <f>J699-F699</f>
        <v>40000</v>
      </c>
      <c r="I699" s="17"/>
      <c r="J699" s="91">
        <v>40000</v>
      </c>
      <c r="K699" s="17"/>
      <c r="L699" s="92">
        <v>40000</v>
      </c>
      <c r="M699" s="26"/>
      <c r="N699" s="26"/>
      <c r="O699" s="26"/>
      <c r="P699" s="26"/>
      <c r="Q699" s="26"/>
      <c r="R699" s="26"/>
      <c r="S699" s="26"/>
      <c r="T699" s="26"/>
      <c r="U699" s="26"/>
      <c r="V699" s="26"/>
    </row>
    <row r="700" spans="1:24">
      <c r="A700" s="21" t="s">
        <v>36</v>
      </c>
      <c r="B700" s="16" t="s">
        <v>37</v>
      </c>
      <c r="C700" s="17"/>
      <c r="D700" s="91">
        <v>118227</v>
      </c>
      <c r="E700" s="17"/>
      <c r="F700" s="91">
        <v>132026</v>
      </c>
      <c r="G700" s="17"/>
      <c r="H700" s="22">
        <f>J700-F700</f>
        <v>98116</v>
      </c>
      <c r="I700" s="17"/>
      <c r="J700" s="91">
        <v>230142</v>
      </c>
      <c r="K700" s="17"/>
      <c r="L700" s="92">
        <v>240428</v>
      </c>
      <c r="M700" s="26"/>
      <c r="N700" s="26"/>
      <c r="O700" s="26"/>
      <c r="P700" s="26"/>
      <c r="Q700" s="26"/>
      <c r="R700" s="26"/>
      <c r="S700" s="26"/>
      <c r="T700" s="26"/>
      <c r="U700" s="26"/>
      <c r="V700" s="26"/>
    </row>
    <row r="701" spans="1:24">
      <c r="A701" s="27" t="s">
        <v>38</v>
      </c>
      <c r="B701" s="16"/>
      <c r="C701" s="17"/>
      <c r="D701" s="28"/>
      <c r="E701" s="17"/>
      <c r="F701" s="28"/>
      <c r="G701" s="17"/>
      <c r="H701" s="28"/>
      <c r="I701" s="17"/>
      <c r="J701" s="28"/>
      <c r="K701" s="17"/>
      <c r="L701" s="30"/>
      <c r="M701" s="26"/>
      <c r="N701" s="26"/>
      <c r="O701" s="26"/>
      <c r="P701" s="26"/>
      <c r="Q701" s="26"/>
      <c r="R701" s="26"/>
      <c r="S701" s="26"/>
      <c r="T701" s="26"/>
      <c r="U701" s="26"/>
      <c r="V701" s="26"/>
    </row>
    <row r="702" spans="1:24">
      <c r="A702" s="21" t="s">
        <v>39</v>
      </c>
      <c r="B702" s="16" t="s">
        <v>40</v>
      </c>
      <c r="C702" s="17"/>
      <c r="D702" s="28">
        <v>169271.74</v>
      </c>
      <c r="E702" s="17"/>
      <c r="F702" s="28">
        <v>93558.32</v>
      </c>
      <c r="G702" s="17"/>
      <c r="H702" s="22">
        <f>J702-F702</f>
        <v>242772.68</v>
      </c>
      <c r="I702" s="17"/>
      <c r="J702" s="28">
        <v>336331</v>
      </c>
      <c r="K702" s="17"/>
      <c r="L702" s="30">
        <v>381660</v>
      </c>
      <c r="M702" s="26"/>
      <c r="N702" s="26"/>
      <c r="O702" s="26"/>
      <c r="P702" s="26"/>
      <c r="Q702" s="26"/>
      <c r="R702" s="26"/>
      <c r="S702" s="26"/>
      <c r="T702" s="26"/>
      <c r="U702" s="26"/>
      <c r="V702" s="26"/>
    </row>
    <row r="703" spans="1:24">
      <c r="A703" s="21" t="s">
        <v>41</v>
      </c>
      <c r="B703" s="16" t="s">
        <v>42</v>
      </c>
      <c r="C703" s="17"/>
      <c r="D703" s="91">
        <v>13700</v>
      </c>
      <c r="E703" s="17"/>
      <c r="F703" s="91">
        <v>7200</v>
      </c>
      <c r="G703" s="17"/>
      <c r="H703" s="22">
        <f>J703-F703</f>
        <v>12000</v>
      </c>
      <c r="I703" s="17"/>
      <c r="J703" s="91">
        <v>19200</v>
      </c>
      <c r="K703" s="17"/>
      <c r="L703" s="92">
        <v>19200</v>
      </c>
      <c r="M703" s="26"/>
      <c r="N703" s="26"/>
      <c r="O703" s="26"/>
      <c r="P703" s="26"/>
      <c r="Q703" s="26"/>
      <c r="R703" s="26"/>
      <c r="S703" s="26"/>
      <c r="T703" s="26"/>
      <c r="U703" s="26"/>
      <c r="V703" s="26"/>
    </row>
    <row r="704" spans="1:24">
      <c r="A704" s="21" t="s">
        <v>43</v>
      </c>
      <c r="B704" s="16" t="s">
        <v>44</v>
      </c>
      <c r="C704" s="17"/>
      <c r="D704" s="91">
        <v>35264.94</v>
      </c>
      <c r="E704" s="17"/>
      <c r="F704" s="91">
        <v>19406.52</v>
      </c>
      <c r="G704" s="17"/>
      <c r="H704" s="22">
        <f>J704-F704</f>
        <v>50662.48</v>
      </c>
      <c r="I704" s="17"/>
      <c r="J704" s="91">
        <v>70069</v>
      </c>
      <c r="K704" s="17"/>
      <c r="L704" s="92">
        <v>79590</v>
      </c>
      <c r="M704" s="26"/>
      <c r="N704" s="26"/>
      <c r="O704" s="26"/>
      <c r="P704" s="26"/>
      <c r="Q704" s="26"/>
      <c r="R704" s="26"/>
      <c r="S704" s="26"/>
      <c r="T704" s="26"/>
      <c r="U704" s="26"/>
      <c r="V704" s="26"/>
    </row>
    <row r="705" spans="1:24">
      <c r="A705" s="21" t="s">
        <v>45</v>
      </c>
      <c r="B705" s="16" t="s">
        <v>46</v>
      </c>
      <c r="C705" s="17"/>
      <c r="D705" s="91">
        <v>7100</v>
      </c>
      <c r="E705" s="17"/>
      <c r="F705" s="91">
        <v>3600</v>
      </c>
      <c r="G705" s="17"/>
      <c r="H705" s="22">
        <f>J705-F705</f>
        <v>6000</v>
      </c>
      <c r="I705" s="17"/>
      <c r="J705" s="91">
        <v>9600</v>
      </c>
      <c r="K705" s="17"/>
      <c r="L705" s="92">
        <v>9600</v>
      </c>
      <c r="M705" s="26"/>
      <c r="N705" s="26"/>
      <c r="O705" s="26"/>
      <c r="P705" s="26"/>
      <c r="Q705" s="26"/>
      <c r="R705" s="26"/>
      <c r="S705" s="26"/>
      <c r="T705" s="26"/>
      <c r="U705" s="26"/>
      <c r="V705" s="26"/>
    </row>
    <row r="706" spans="1:24">
      <c r="A706" s="27" t="s">
        <v>47</v>
      </c>
      <c r="B706" s="16"/>
      <c r="C706" s="23"/>
      <c r="D706" s="28"/>
      <c r="E706" s="17"/>
      <c r="F706" s="28"/>
      <c r="G706" s="17"/>
      <c r="H706" s="28"/>
      <c r="I706" s="17"/>
      <c r="J706" s="28"/>
      <c r="K706" s="17"/>
      <c r="L706" s="30"/>
      <c r="M706" s="26"/>
      <c r="N706" s="26"/>
      <c r="O706" s="26"/>
      <c r="P706" s="26"/>
      <c r="Q706" s="26"/>
      <c r="R706" s="26"/>
      <c r="S706" s="26"/>
      <c r="T706" s="26"/>
      <c r="U706" s="26"/>
      <c r="V706" s="26"/>
    </row>
    <row r="707" spans="1:24">
      <c r="A707" s="21" t="s">
        <v>149</v>
      </c>
      <c r="B707" s="16" t="s">
        <v>49</v>
      </c>
      <c r="C707" s="17"/>
      <c r="D707" s="22">
        <v>0</v>
      </c>
      <c r="E707" s="17"/>
      <c r="F707" s="22">
        <v>0</v>
      </c>
      <c r="G707" s="17"/>
      <c r="H707" s="22">
        <f>J707-F707</f>
        <v>0</v>
      </c>
      <c r="I707" s="17"/>
      <c r="J707" s="22">
        <v>0</v>
      </c>
      <c r="K707" s="17"/>
      <c r="L707" s="25">
        <v>530000</v>
      </c>
      <c r="M707" s="26"/>
      <c r="N707" s="26"/>
      <c r="O707" s="26"/>
      <c r="P707" s="26"/>
      <c r="Q707" s="26"/>
      <c r="R707" s="26"/>
      <c r="S707" s="26"/>
      <c r="T707" s="26"/>
      <c r="U707" s="26"/>
      <c r="V707" s="26"/>
    </row>
    <row r="708" spans="1:24" customHeight="1" ht="15">
      <c r="A708" s="21" t="s">
        <v>150</v>
      </c>
      <c r="B708" s="16" t="s">
        <v>51</v>
      </c>
      <c r="C708" s="17"/>
      <c r="D708" s="41">
        <v>170000</v>
      </c>
      <c r="E708" s="17"/>
      <c r="F708" s="41">
        <v>42000</v>
      </c>
      <c r="G708" s="17"/>
      <c r="H708" s="22">
        <f>J708-F708</f>
        <v>19000</v>
      </c>
      <c r="I708" s="17"/>
      <c r="J708" s="41">
        <v>61000</v>
      </c>
      <c r="K708" s="17"/>
      <c r="L708" s="55">
        <v>66000</v>
      </c>
      <c r="M708" s="26"/>
      <c r="N708" s="26"/>
      <c r="O708" s="26"/>
      <c r="P708" s="26"/>
      <c r="Q708" s="26"/>
      <c r="R708" s="26"/>
      <c r="S708" s="26"/>
      <c r="T708" s="26"/>
      <c r="U708" s="26"/>
      <c r="V708" s="26"/>
    </row>
    <row r="709" spans="1:24" customHeight="1" ht="15">
      <c r="A709" s="44" t="s">
        <v>52</v>
      </c>
      <c r="B709" s="45"/>
      <c r="C709" s="46" t="s">
        <v>18</v>
      </c>
      <c r="D709" s="47">
        <f>SUM(D690:D708)</f>
        <v>2569348.68</v>
      </c>
      <c r="E709" s="48" t="s">
        <v>18</v>
      </c>
      <c r="F709" s="47">
        <f>SUM(F690:F708)</f>
        <v>1261043.55</v>
      </c>
      <c r="G709" s="48" t="s">
        <v>18</v>
      </c>
      <c r="H709" s="47">
        <f>SUM(H690:H708)</f>
        <v>3159668.45</v>
      </c>
      <c r="I709" s="48" t="s">
        <v>18</v>
      </c>
      <c r="J709" s="47">
        <f>SUM(J690:J708)</f>
        <v>4420712</v>
      </c>
      <c r="K709" s="48" t="s">
        <v>18</v>
      </c>
      <c r="L709" s="95">
        <f>SUM(L690:L708)</f>
        <v>5271721</v>
      </c>
      <c r="M709" s="50"/>
      <c r="N709" s="50"/>
      <c r="O709" s="50"/>
      <c r="P709" s="50"/>
      <c r="Q709" s="50"/>
      <c r="R709" s="50"/>
      <c r="S709" s="50"/>
      <c r="T709" s="50"/>
      <c r="U709" s="50"/>
      <c r="V709" s="50"/>
    </row>
    <row r="713" spans="1:24">
      <c r="A713" s="235" t="s">
        <v>0</v>
      </c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69"/>
      <c r="N713" s="69"/>
      <c r="O713" s="69"/>
      <c r="P713" s="69"/>
      <c r="Q713" s="69"/>
      <c r="R713" s="69"/>
      <c r="S713" s="69"/>
      <c r="T713" s="69"/>
      <c r="U713" s="69"/>
      <c r="V713" s="69"/>
    </row>
    <row r="715" spans="1:24" customHeight="1" ht="15.6">
      <c r="A715" s="236" t="s">
        <v>1</v>
      </c>
      <c r="B715" s="236"/>
      <c r="C715" s="236"/>
      <c r="D715" s="236"/>
      <c r="E715" s="236"/>
      <c r="F715" s="236"/>
      <c r="G715" s="236"/>
      <c r="H715" s="236"/>
      <c r="I715" s="236"/>
      <c r="J715" s="236"/>
      <c r="K715" s="236"/>
      <c r="L715" s="236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4">
      <c r="A716" s="231" t="s">
        <v>2</v>
      </c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8" spans="1:24">
      <c r="A718" s="5" t="s">
        <v>148</v>
      </c>
    </row>
    <row r="719" spans="1:24" customHeight="1" ht="15"/>
    <row r="720" spans="1:24">
      <c r="A720" s="7"/>
      <c r="B720" s="8"/>
      <c r="C720" s="203" t="s">
        <v>4</v>
      </c>
      <c r="D720" s="204"/>
      <c r="E720" s="205" t="s">
        <v>5</v>
      </c>
      <c r="F720" s="206"/>
      <c r="G720" s="206"/>
      <c r="H720" s="206"/>
      <c r="I720" s="206"/>
      <c r="J720" s="207"/>
      <c r="K720" s="203" t="s">
        <v>6</v>
      </c>
      <c r="L720" s="22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4">
      <c r="A721" s="9" t="s">
        <v>7</v>
      </c>
      <c r="B721" s="10" t="s">
        <v>8</v>
      </c>
      <c r="C721" s="210">
        <v>2024</v>
      </c>
      <c r="D721" s="211"/>
      <c r="E721" s="212" t="s">
        <v>9</v>
      </c>
      <c r="F721" s="213"/>
      <c r="G721" s="212" t="s">
        <v>10</v>
      </c>
      <c r="H721" s="213"/>
      <c r="I721" s="214" t="s">
        <v>11</v>
      </c>
      <c r="J721" s="215"/>
      <c r="K721" s="210">
        <v>2026</v>
      </c>
      <c r="L721" s="229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4" customHeight="1" ht="15">
      <c r="A722" s="13"/>
      <c r="B722" s="14"/>
      <c r="C722" s="220" t="s">
        <v>12</v>
      </c>
      <c r="D722" s="221"/>
      <c r="E722" s="220" t="s">
        <v>12</v>
      </c>
      <c r="F722" s="221"/>
      <c r="G722" s="220" t="s">
        <v>13</v>
      </c>
      <c r="H722" s="221"/>
      <c r="I722" s="216"/>
      <c r="J722" s="217"/>
      <c r="K722" s="220" t="s">
        <v>14</v>
      </c>
      <c r="L722" s="230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4">
      <c r="A723" s="27" t="s">
        <v>53</v>
      </c>
      <c r="B723" s="52"/>
      <c r="C723" s="17"/>
      <c r="D723" s="18"/>
      <c r="E723" s="17"/>
      <c r="F723" s="18"/>
      <c r="G723" s="17"/>
      <c r="H723" s="18"/>
      <c r="I723" s="17"/>
      <c r="J723" s="18"/>
      <c r="K723" s="17"/>
      <c r="L723" s="19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spans="1:24">
      <c r="A724" s="21" t="s">
        <v>54</v>
      </c>
      <c r="B724" s="16" t="s">
        <v>55</v>
      </c>
      <c r="C724" s="17" t="s">
        <v>18</v>
      </c>
      <c r="D724" s="28">
        <v>125000</v>
      </c>
      <c r="E724" s="17" t="s">
        <v>18</v>
      </c>
      <c r="F724" s="28">
        <v>35474.19</v>
      </c>
      <c r="G724" s="17" t="s">
        <v>18</v>
      </c>
      <c r="H724" s="28">
        <f>J724-F724</f>
        <v>108525.81</v>
      </c>
      <c r="I724" s="17" t="s">
        <v>18</v>
      </c>
      <c r="J724" s="28">
        <v>144000</v>
      </c>
      <c r="K724" s="17" t="s">
        <v>18</v>
      </c>
      <c r="L724" s="30">
        <v>104000</v>
      </c>
      <c r="M724" s="26"/>
      <c r="N724" s="26"/>
      <c r="O724" s="26"/>
      <c r="P724" s="26"/>
      <c r="Q724" s="26"/>
      <c r="R724" s="26"/>
      <c r="S724" s="26"/>
      <c r="T724" s="26"/>
      <c r="U724" s="26"/>
      <c r="V724" s="26"/>
    </row>
    <row r="725" spans="1:24">
      <c r="A725" s="21" t="s">
        <v>58</v>
      </c>
      <c r="B725" s="16" t="s">
        <v>59</v>
      </c>
      <c r="C725" s="17"/>
      <c r="D725" s="91">
        <v>150294.61</v>
      </c>
      <c r="E725" s="17"/>
      <c r="F725" s="91">
        <v>62757.49</v>
      </c>
      <c r="G725" s="17"/>
      <c r="H725" s="91">
        <f>J725-F725</f>
        <v>51812.51</v>
      </c>
      <c r="I725" s="17"/>
      <c r="J725" s="91">
        <v>114570</v>
      </c>
      <c r="K725" s="17"/>
      <c r="L725" s="92">
        <v>125570</v>
      </c>
      <c r="M725" s="26"/>
      <c r="N725" s="26"/>
      <c r="O725" s="26"/>
      <c r="P725" s="26"/>
      <c r="Q725" s="26"/>
      <c r="R725" s="26"/>
      <c r="S725" s="26"/>
      <c r="T725" s="26"/>
      <c r="U725" s="26"/>
      <c r="V725" s="26"/>
    </row>
    <row r="726" spans="1:24">
      <c r="A726" s="21" t="s">
        <v>151</v>
      </c>
      <c r="B726" s="16" t="s">
        <v>152</v>
      </c>
      <c r="C726" s="17"/>
      <c r="D726" s="91">
        <v>110000</v>
      </c>
      <c r="E726" s="17"/>
      <c r="F726" s="91">
        <v>78650</v>
      </c>
      <c r="G726" s="17"/>
      <c r="H726" s="91">
        <f>J726-F726</f>
        <v>31350</v>
      </c>
      <c r="I726" s="17"/>
      <c r="J726" s="91">
        <v>110000</v>
      </c>
      <c r="K726" s="17"/>
      <c r="L726" s="92">
        <v>110000</v>
      </c>
      <c r="M726" s="26"/>
      <c r="N726" s="26"/>
      <c r="O726" s="26"/>
      <c r="P726" s="26"/>
      <c r="Q726" s="26"/>
      <c r="R726" s="26"/>
      <c r="S726" s="26"/>
      <c r="T726" s="26"/>
      <c r="U726" s="26"/>
      <c r="V726" s="26"/>
    </row>
    <row r="727" spans="1:24">
      <c r="A727" s="21" t="s">
        <v>68</v>
      </c>
      <c r="B727" s="16" t="s">
        <v>69</v>
      </c>
      <c r="C727" s="17"/>
      <c r="D727" s="91">
        <v>2000</v>
      </c>
      <c r="E727" s="17"/>
      <c r="F727" s="91">
        <v>0</v>
      </c>
      <c r="G727" s="17"/>
      <c r="H727" s="91">
        <f>J727-F727</f>
        <v>5000</v>
      </c>
      <c r="I727" s="17"/>
      <c r="J727" s="91">
        <v>5000</v>
      </c>
      <c r="K727" s="17"/>
      <c r="L727" s="92">
        <v>5000</v>
      </c>
      <c r="M727" s="26"/>
      <c r="N727" s="26"/>
      <c r="O727" s="26"/>
      <c r="P727" s="26"/>
      <c r="Q727" s="26"/>
      <c r="R727" s="26"/>
      <c r="S727" s="26"/>
      <c r="T727" s="26"/>
      <c r="U727" s="26"/>
      <c r="V727" s="26"/>
    </row>
    <row r="728" spans="1:24">
      <c r="A728" s="21" t="s">
        <v>70</v>
      </c>
      <c r="B728" s="16" t="s">
        <v>71</v>
      </c>
      <c r="C728" s="17"/>
      <c r="D728" s="91">
        <v>60000</v>
      </c>
      <c r="E728" s="17"/>
      <c r="F728" s="91">
        <v>25000</v>
      </c>
      <c r="G728" s="17"/>
      <c r="H728" s="91">
        <f>J728-F728</f>
        <v>35000</v>
      </c>
      <c r="I728" s="17"/>
      <c r="J728" s="91">
        <v>60000</v>
      </c>
      <c r="K728" s="17"/>
      <c r="L728" s="92">
        <v>60000</v>
      </c>
      <c r="M728" s="26"/>
      <c r="N728" s="26"/>
      <c r="O728" s="26"/>
      <c r="P728" s="26"/>
      <c r="Q728" s="26"/>
      <c r="R728" s="26"/>
      <c r="S728" s="26"/>
      <c r="T728" s="26"/>
      <c r="U728" s="26"/>
      <c r="V728" s="26"/>
    </row>
    <row r="729" spans="1:24">
      <c r="A729" s="21" t="s">
        <v>72</v>
      </c>
      <c r="B729" s="16" t="s">
        <v>73</v>
      </c>
      <c r="C729" s="17"/>
      <c r="D729" s="91">
        <v>19364.15</v>
      </c>
      <c r="E729" s="17"/>
      <c r="F729" s="91">
        <v>7720.96</v>
      </c>
      <c r="G729" s="17"/>
      <c r="H729" s="91">
        <f>J729-F729</f>
        <v>22279.04</v>
      </c>
      <c r="I729" s="17"/>
      <c r="J729" s="91">
        <v>30000</v>
      </c>
      <c r="K729" s="17"/>
      <c r="L729" s="92">
        <v>30000</v>
      </c>
      <c r="M729" s="26"/>
      <c r="N729" s="26"/>
      <c r="O729" s="26"/>
      <c r="P729" s="26"/>
      <c r="Q729" s="26"/>
      <c r="R729" s="26"/>
      <c r="S729" s="26"/>
      <c r="T729" s="26"/>
      <c r="U729" s="26"/>
      <c r="V729" s="26"/>
    </row>
    <row r="730" spans="1:24">
      <c r="A730" s="21" t="s">
        <v>80</v>
      </c>
      <c r="B730" s="16" t="s">
        <v>81</v>
      </c>
      <c r="C730" s="17"/>
      <c r="D730" s="91">
        <v>35000</v>
      </c>
      <c r="E730" s="17"/>
      <c r="F730" s="91">
        <v>16480</v>
      </c>
      <c r="G730" s="17"/>
      <c r="H730" s="91">
        <f>J730-F730</f>
        <v>8520</v>
      </c>
      <c r="I730" s="17"/>
      <c r="J730" s="91">
        <v>25000</v>
      </c>
      <c r="K730" s="17"/>
      <c r="L730" s="92">
        <v>25000</v>
      </c>
      <c r="M730" s="26"/>
      <c r="N730" s="26"/>
      <c r="O730" s="26"/>
      <c r="P730" s="26"/>
      <c r="Q730" s="26"/>
      <c r="R730" s="26"/>
      <c r="S730" s="26"/>
      <c r="T730" s="26"/>
      <c r="U730" s="26"/>
      <c r="V730" s="26"/>
    </row>
    <row r="731" spans="1:24">
      <c r="A731" s="21" t="s">
        <v>84</v>
      </c>
      <c r="B731" s="16" t="s">
        <v>85</v>
      </c>
      <c r="C731" s="17"/>
      <c r="D731" s="91">
        <v>59272.5</v>
      </c>
      <c r="E731" s="17"/>
      <c r="F731" s="91">
        <v>57355</v>
      </c>
      <c r="G731" s="17"/>
      <c r="H731" s="91">
        <f>J731-F731</f>
        <v>13565</v>
      </c>
      <c r="I731" s="17"/>
      <c r="J731" s="91">
        <v>70920</v>
      </c>
      <c r="K731" s="17"/>
      <c r="L731" s="92">
        <v>70920</v>
      </c>
      <c r="M731" s="26"/>
      <c r="N731" s="26"/>
      <c r="O731" s="26"/>
      <c r="P731" s="26"/>
      <c r="Q731" s="26"/>
      <c r="R731" s="26"/>
      <c r="S731" s="26"/>
      <c r="T731" s="26"/>
      <c r="U731" s="26"/>
      <c r="V731" s="26"/>
    </row>
    <row r="732" spans="1:24" customHeight="1" ht="15">
      <c r="A732" s="21" t="s">
        <v>92</v>
      </c>
      <c r="B732" s="16" t="s">
        <v>93</v>
      </c>
      <c r="C732" s="17"/>
      <c r="D732" s="41">
        <v>22570</v>
      </c>
      <c r="E732" s="17"/>
      <c r="F732" s="41">
        <v>2000</v>
      </c>
      <c r="G732" s="17"/>
      <c r="H732" s="93">
        <f>J732-F732</f>
        <v>29000</v>
      </c>
      <c r="I732" s="17"/>
      <c r="J732" s="41">
        <v>31000</v>
      </c>
      <c r="K732" s="17"/>
      <c r="L732" s="55">
        <v>0</v>
      </c>
      <c r="M732" s="26"/>
      <c r="N732" s="26"/>
      <c r="O732" s="26"/>
      <c r="P732" s="26"/>
      <c r="Q732" s="26"/>
      <c r="R732" s="26"/>
      <c r="S732" s="26"/>
      <c r="T732" s="26"/>
      <c r="U732" s="26"/>
      <c r="V732" s="26"/>
    </row>
    <row r="733" spans="1:24" customHeight="1" ht="15">
      <c r="A733" s="27" t="s">
        <v>94</v>
      </c>
      <c r="B733" s="52"/>
      <c r="C733" s="56" t="s">
        <v>18</v>
      </c>
      <c r="D733" s="47">
        <f>SUM(D724:D732)</f>
        <v>583501.26</v>
      </c>
      <c r="E733" s="56" t="s">
        <v>18</v>
      </c>
      <c r="F733" s="47">
        <f>SUM(F724:F732)</f>
        <v>285437.64</v>
      </c>
      <c r="G733" s="56" t="s">
        <v>18</v>
      </c>
      <c r="H733" s="47">
        <f>SUM(H724:H732)</f>
        <v>305052.36</v>
      </c>
      <c r="I733" s="56" t="s">
        <v>18</v>
      </c>
      <c r="J733" s="47">
        <f>SUM(J724:J732)</f>
        <v>590490</v>
      </c>
      <c r="K733" s="56" t="s">
        <v>18</v>
      </c>
      <c r="L733" s="49">
        <f>SUM(L724:L732)</f>
        <v>530490</v>
      </c>
      <c r="M733" s="50"/>
      <c r="N733" s="50"/>
      <c r="O733" s="50"/>
      <c r="P733" s="50"/>
      <c r="Q733" s="50"/>
      <c r="R733" s="50"/>
      <c r="S733" s="50"/>
      <c r="T733" s="50"/>
      <c r="U733" s="50"/>
      <c r="V733" s="50"/>
    </row>
    <row r="734" spans="1:24">
      <c r="A734" s="27" t="s">
        <v>95</v>
      </c>
      <c r="B734" s="52"/>
      <c r="C734" s="17"/>
      <c r="D734" s="75"/>
      <c r="E734" s="17"/>
      <c r="F734" s="75"/>
      <c r="G734" s="17"/>
      <c r="H734" s="75"/>
      <c r="I734" s="17"/>
      <c r="J734" s="75"/>
      <c r="K734" s="17"/>
      <c r="L734" s="76"/>
      <c r="M734" s="26"/>
      <c r="N734" s="26"/>
      <c r="O734" s="26"/>
      <c r="P734" s="26"/>
      <c r="Q734" s="26"/>
      <c r="R734" s="26"/>
      <c r="S734" s="26"/>
      <c r="T734" s="26"/>
      <c r="U734" s="26"/>
      <c r="V734" s="26"/>
    </row>
    <row r="735" spans="1:24">
      <c r="A735" s="21" t="s">
        <v>153</v>
      </c>
      <c r="B735" s="16" t="s">
        <v>120</v>
      </c>
      <c r="C735" s="17" t="s">
        <v>18</v>
      </c>
      <c r="D735" s="28">
        <v>106820</v>
      </c>
      <c r="E735" s="17" t="s">
        <v>18</v>
      </c>
      <c r="F735" s="28">
        <v>0</v>
      </c>
      <c r="G735" s="17" t="s">
        <v>18</v>
      </c>
      <c r="H735" s="28">
        <v>0</v>
      </c>
      <c r="I735" s="17" t="s">
        <v>18</v>
      </c>
      <c r="J735" s="29">
        <v>0</v>
      </c>
      <c r="K735" s="17" t="s">
        <v>18</v>
      </c>
      <c r="L735" s="30">
        <v>0</v>
      </c>
      <c r="M735" s="26"/>
      <c r="N735" s="26"/>
      <c r="O735" s="26"/>
      <c r="P735" s="26"/>
      <c r="Q735" s="26"/>
      <c r="R735" s="26"/>
      <c r="S735" s="26"/>
      <c r="T735" s="26"/>
      <c r="U735" s="26"/>
      <c r="V735" s="26"/>
    </row>
    <row r="736" spans="1:24" customHeight="1" ht="15">
      <c r="A736" s="21" t="s">
        <v>96</v>
      </c>
      <c r="B736" s="16" t="s">
        <v>97</v>
      </c>
      <c r="C736" s="17"/>
      <c r="D736" s="28">
        <v>0</v>
      </c>
      <c r="E736" s="17"/>
      <c r="F736" s="28">
        <v>0</v>
      </c>
      <c r="G736" s="17"/>
      <c r="H736" s="28">
        <v>0</v>
      </c>
      <c r="I736" s="17"/>
      <c r="J736" s="28">
        <v>90000</v>
      </c>
      <c r="K736" s="17"/>
      <c r="L736" s="30">
        <v>150000</v>
      </c>
      <c r="M736" s="26"/>
      <c r="N736" s="26"/>
      <c r="O736" s="26"/>
      <c r="P736" s="26"/>
      <c r="Q736" s="26"/>
      <c r="R736" s="26"/>
      <c r="S736" s="26"/>
      <c r="T736" s="26"/>
      <c r="U736" s="26"/>
      <c r="V736" s="26"/>
    </row>
    <row r="737" spans="1:24" customHeight="1" ht="15">
      <c r="A737" s="27" t="s">
        <v>98</v>
      </c>
      <c r="B737" s="16"/>
      <c r="C737" s="56" t="s">
        <v>18</v>
      </c>
      <c r="D737" s="77">
        <f>SUM(D735:D736)</f>
        <v>106820</v>
      </c>
      <c r="E737" s="56" t="s">
        <v>18</v>
      </c>
      <c r="F737" s="77">
        <f>SUM(F735:F736)</f>
        <v>0</v>
      </c>
      <c r="G737" s="56" t="s">
        <v>18</v>
      </c>
      <c r="H737" s="77">
        <f>SUM(H735:H736)</f>
        <v>0</v>
      </c>
      <c r="I737" s="56" t="s">
        <v>18</v>
      </c>
      <c r="J737" s="77">
        <f>SUM(J735:J736)</f>
        <v>90000</v>
      </c>
      <c r="K737" s="56" t="s">
        <v>18</v>
      </c>
      <c r="L737" s="77">
        <f>SUM(L735:L736)</f>
        <v>150000</v>
      </c>
      <c r="M737" s="59"/>
      <c r="N737" s="50"/>
      <c r="O737" s="50"/>
      <c r="P737" s="50"/>
      <c r="Q737" s="50"/>
      <c r="R737" s="50"/>
      <c r="S737" s="50"/>
      <c r="T737" s="50"/>
      <c r="U737" s="50"/>
      <c r="V737" s="50"/>
    </row>
    <row r="738" spans="1:24" customHeight="1" ht="15">
      <c r="A738" s="79" t="s">
        <v>99</v>
      </c>
      <c r="B738" s="80"/>
      <c r="C738" s="81" t="s">
        <v>18</v>
      </c>
      <c r="D738" s="82">
        <f>D709+D733+D737</f>
        <v>3259669.94</v>
      </c>
      <c r="E738" s="83" t="s">
        <v>18</v>
      </c>
      <c r="F738" s="82">
        <f>F709+F733+F737</f>
        <v>1546481.19</v>
      </c>
      <c r="G738" s="83" t="s">
        <v>18</v>
      </c>
      <c r="H738" s="82">
        <f>H709+H733+H737</f>
        <v>3464720.81</v>
      </c>
      <c r="I738" s="83" t="s">
        <v>18</v>
      </c>
      <c r="J738" s="82">
        <f>J709+J733+J737</f>
        <v>5101202</v>
      </c>
      <c r="K738" s="83" t="s">
        <v>18</v>
      </c>
      <c r="L738" s="84">
        <f>L709+L733+L737</f>
        <v>5952211</v>
      </c>
      <c r="M738" s="50"/>
      <c r="N738" s="50"/>
      <c r="O738" s="50"/>
      <c r="P738" s="50"/>
      <c r="Q738" s="50"/>
      <c r="R738" s="50"/>
      <c r="S738" s="50"/>
      <c r="T738" s="50"/>
      <c r="U738" s="50"/>
      <c r="V738" s="50"/>
    </row>
    <row r="739" spans="1:24" customHeight="1" ht="15">
      <c r="A739" s="5"/>
      <c r="C739" s="56"/>
      <c r="D739" s="59"/>
      <c r="E739" s="56"/>
      <c r="F739" s="59"/>
      <c r="G739" s="56"/>
      <c r="H739" s="59"/>
      <c r="I739" s="56"/>
      <c r="J739" s="59"/>
      <c r="K739" s="56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</row>
    <row r="740" spans="1:24">
      <c r="A740" t="s">
        <v>100</v>
      </c>
      <c r="B740" t="s">
        <v>101</v>
      </c>
      <c r="G740" t="s">
        <v>102</v>
      </c>
    </row>
    <row r="742" spans="1:24">
      <c r="A742" t="s">
        <v>154</v>
      </c>
      <c r="D742" s="200" t="s">
        <v>112</v>
      </c>
      <c r="J742" s="200" t="s">
        <v>112</v>
      </c>
    </row>
    <row r="743" spans="1:24">
      <c r="A743" s="4" t="s">
        <v>155</v>
      </c>
      <c r="B743" s="231" t="s">
        <v>107</v>
      </c>
      <c r="C743" s="231"/>
      <c r="D743" s="231"/>
      <c r="E743" s="231"/>
      <c r="F743" s="231"/>
      <c r="H743" s="231" t="s">
        <v>106</v>
      </c>
      <c r="I743" s="231"/>
      <c r="J743" s="231"/>
      <c r="K743" s="231"/>
      <c r="L743" s="231"/>
      <c r="M743" s="4"/>
      <c r="N743" s="66"/>
      <c r="O743" s="66"/>
      <c r="P743" s="66"/>
      <c r="Q743" s="66"/>
      <c r="R743" s="66"/>
      <c r="S743" s="66"/>
      <c r="T743" s="66"/>
      <c r="U743" s="66"/>
      <c r="V743" s="66"/>
    </row>
    <row r="744" spans="1:24">
      <c r="A744" s="158" t="s">
        <v>156</v>
      </c>
      <c r="B744" s="232" t="s">
        <v>109</v>
      </c>
      <c r="C744" s="232"/>
      <c r="D744" s="232"/>
      <c r="E744" s="232"/>
      <c r="F744" s="232"/>
      <c r="H744" s="232" t="s">
        <v>108</v>
      </c>
      <c r="I744" s="232"/>
      <c r="J744" s="232"/>
      <c r="K744" s="232"/>
      <c r="L744" s="232"/>
      <c r="M744" s="158"/>
      <c r="N744" s="68"/>
      <c r="O744" s="68"/>
      <c r="P744" s="68"/>
      <c r="Q744" s="68"/>
      <c r="R744" s="68"/>
      <c r="S744" s="68"/>
      <c r="T744" s="68"/>
      <c r="U744" s="68"/>
      <c r="V744" s="68"/>
    </row>
    <row r="747" spans="1:24">
      <c r="A747" s="235" t="s">
        <v>0</v>
      </c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69"/>
      <c r="N747" s="69"/>
      <c r="O747" s="69"/>
      <c r="P747" s="69"/>
      <c r="Q747" s="69"/>
      <c r="R747" s="69"/>
      <c r="S747" s="69"/>
      <c r="T747" s="69"/>
      <c r="U747" s="69"/>
      <c r="V747" s="69"/>
    </row>
    <row r="749" spans="1:24" customHeight="1" ht="15.6">
      <c r="A749" s="236" t="s">
        <v>1</v>
      </c>
      <c r="B749" s="236"/>
      <c r="C749" s="236"/>
      <c r="D749" s="236"/>
      <c r="E749" s="236"/>
      <c r="F749" s="236"/>
      <c r="G749" s="236"/>
      <c r="H749" s="236"/>
      <c r="I749" s="236"/>
      <c r="J749" s="236"/>
      <c r="K749" s="236"/>
      <c r="L749" s="236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4">
      <c r="A750" s="231" t="s">
        <v>2</v>
      </c>
      <c r="B750" s="231"/>
      <c r="C750" s="231"/>
      <c r="D750" s="231"/>
      <c r="E750" s="231"/>
      <c r="F750" s="231"/>
      <c r="G750" s="231"/>
      <c r="H750" s="231"/>
      <c r="I750" s="231"/>
      <c r="J750" s="231"/>
      <c r="K750" s="231"/>
      <c r="L750" s="231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2" spans="1:24">
      <c r="A752" s="5" t="s">
        <v>157</v>
      </c>
    </row>
    <row r="753" spans="1:24" customHeight="1" ht="15"/>
    <row r="754" spans="1:24">
      <c r="A754" s="7"/>
      <c r="B754" s="8"/>
      <c r="C754" s="203" t="s">
        <v>4</v>
      </c>
      <c r="D754" s="204"/>
      <c r="E754" s="205" t="s">
        <v>5</v>
      </c>
      <c r="F754" s="206"/>
      <c r="G754" s="206"/>
      <c r="H754" s="206"/>
      <c r="I754" s="206"/>
      <c r="J754" s="207"/>
      <c r="K754" s="203" t="s">
        <v>6</v>
      </c>
      <c r="L754" s="22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4">
      <c r="A755" s="9" t="s">
        <v>7</v>
      </c>
      <c r="B755" s="10" t="s">
        <v>8</v>
      </c>
      <c r="C755" s="210">
        <v>2024</v>
      </c>
      <c r="D755" s="211"/>
      <c r="E755" s="212" t="s">
        <v>9</v>
      </c>
      <c r="F755" s="213"/>
      <c r="G755" s="212" t="s">
        <v>10</v>
      </c>
      <c r="H755" s="213"/>
      <c r="I755" s="214" t="s">
        <v>11</v>
      </c>
      <c r="J755" s="215"/>
      <c r="K755" s="210">
        <v>2026</v>
      </c>
      <c r="L755" s="229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4" customHeight="1" ht="15">
      <c r="A756" s="13"/>
      <c r="B756" s="14"/>
      <c r="C756" s="220" t="s">
        <v>12</v>
      </c>
      <c r="D756" s="221"/>
      <c r="E756" s="220" t="s">
        <v>12</v>
      </c>
      <c r="F756" s="221"/>
      <c r="G756" s="220" t="s">
        <v>13</v>
      </c>
      <c r="H756" s="221"/>
      <c r="I756" s="216"/>
      <c r="J756" s="217"/>
      <c r="K756" s="220" t="s">
        <v>14</v>
      </c>
      <c r="L756" s="230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4">
      <c r="A757" s="15" t="s">
        <v>15</v>
      </c>
      <c r="B757" s="16"/>
      <c r="C757" s="17"/>
      <c r="D757" s="18"/>
      <c r="E757" s="17"/>
      <c r="F757" s="18"/>
      <c r="G757" s="17"/>
      <c r="H757" s="18"/>
      <c r="I757" s="17"/>
      <c r="J757" s="18"/>
      <c r="K757" s="17"/>
      <c r="L757" s="19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spans="1:24">
      <c r="A758" s="21" t="s">
        <v>16</v>
      </c>
      <c r="B758" s="16" t="s">
        <v>17</v>
      </c>
      <c r="C758" s="17" t="s">
        <v>18</v>
      </c>
      <c r="D758" s="28">
        <v>1564537.23</v>
      </c>
      <c r="E758" s="17" t="s">
        <v>18</v>
      </c>
      <c r="F758" s="22">
        <v>814449.64</v>
      </c>
      <c r="G758" s="17" t="s">
        <v>18</v>
      </c>
      <c r="H758" s="22">
        <f>J758-F758</f>
        <v>838064.36</v>
      </c>
      <c r="I758" s="17" t="s">
        <v>18</v>
      </c>
      <c r="J758" s="22">
        <v>1652514</v>
      </c>
      <c r="K758" s="17" t="s">
        <v>18</v>
      </c>
      <c r="L758" s="25">
        <v>1872076</v>
      </c>
      <c r="M758" s="26"/>
      <c r="N758" s="26"/>
      <c r="O758" s="26"/>
      <c r="P758" s="26"/>
      <c r="Q758" s="26"/>
      <c r="R758" s="26"/>
      <c r="S758" s="26"/>
      <c r="T758" s="26"/>
      <c r="U758" s="26"/>
      <c r="V758" s="26"/>
    </row>
    <row r="759" spans="1:24">
      <c r="A759" s="27" t="s">
        <v>19</v>
      </c>
      <c r="B759" s="16"/>
      <c r="C759" s="17"/>
      <c r="D759" s="96"/>
      <c r="E759" s="17"/>
      <c r="F759" s="28"/>
      <c r="G759" s="17"/>
      <c r="H759" s="28"/>
      <c r="I759" s="17"/>
      <c r="J759" s="28"/>
      <c r="K759" s="17"/>
      <c r="L759" s="30"/>
      <c r="M759" s="26"/>
      <c r="N759" s="26"/>
      <c r="O759" s="26"/>
      <c r="P759" s="26"/>
      <c r="Q759" s="26"/>
      <c r="R759" s="26"/>
      <c r="S759" s="26"/>
      <c r="T759" s="26"/>
      <c r="U759" s="26"/>
      <c r="V759" s="26"/>
    </row>
    <row r="760" spans="1:24">
      <c r="A760" s="21" t="s">
        <v>20</v>
      </c>
      <c r="B760" s="16" t="s">
        <v>21</v>
      </c>
      <c r="C760" s="17"/>
      <c r="D760" s="22">
        <v>96000</v>
      </c>
      <c r="E760" s="17"/>
      <c r="F760" s="28">
        <v>48000</v>
      </c>
      <c r="G760" s="17"/>
      <c r="H760" s="22">
        <f>J760-F760</f>
        <v>48000</v>
      </c>
      <c r="I760" s="17"/>
      <c r="J760" s="28">
        <v>96000</v>
      </c>
      <c r="K760" s="17"/>
      <c r="L760" s="30">
        <v>96000</v>
      </c>
      <c r="M760" s="26"/>
      <c r="N760" s="26"/>
      <c r="O760" s="26"/>
      <c r="P760" s="26"/>
      <c r="Q760" s="26"/>
      <c r="R760" s="26"/>
      <c r="S760" s="26"/>
      <c r="T760" s="26"/>
      <c r="U760" s="26"/>
      <c r="V760" s="26"/>
    </row>
    <row r="761" spans="1:24">
      <c r="A761" s="21" t="s">
        <v>22</v>
      </c>
      <c r="B761" s="16" t="s">
        <v>23</v>
      </c>
      <c r="C761" s="17"/>
      <c r="D761" s="91">
        <v>81600</v>
      </c>
      <c r="E761" s="17"/>
      <c r="F761" s="91">
        <v>40800</v>
      </c>
      <c r="G761" s="17"/>
      <c r="H761" s="22">
        <f>J761-F761</f>
        <v>40800</v>
      </c>
      <c r="I761" s="17"/>
      <c r="J761" s="91">
        <v>81600</v>
      </c>
      <c r="K761" s="17"/>
      <c r="L761" s="92">
        <v>81600</v>
      </c>
      <c r="M761" s="26"/>
      <c r="N761" s="26"/>
      <c r="O761" s="26"/>
      <c r="P761" s="26"/>
      <c r="Q761" s="26"/>
      <c r="R761" s="26"/>
      <c r="S761" s="26"/>
      <c r="T761" s="26"/>
      <c r="U761" s="26"/>
      <c r="V761" s="26"/>
    </row>
    <row r="762" spans="1:24">
      <c r="A762" s="21" t="s">
        <v>24</v>
      </c>
      <c r="B762" s="16" t="s">
        <v>25</v>
      </c>
      <c r="C762" s="17"/>
      <c r="D762" s="91">
        <v>81600</v>
      </c>
      <c r="E762" s="17"/>
      <c r="F762" s="91">
        <v>40800</v>
      </c>
      <c r="G762" s="17"/>
      <c r="H762" s="22">
        <f>J762-F762</f>
        <v>40800</v>
      </c>
      <c r="I762" s="17"/>
      <c r="J762" s="91">
        <v>81600</v>
      </c>
      <c r="K762" s="17"/>
      <c r="L762" s="92">
        <v>81600</v>
      </c>
      <c r="M762" s="26"/>
      <c r="N762" s="26"/>
      <c r="O762" s="26"/>
      <c r="P762" s="26"/>
      <c r="Q762" s="26"/>
      <c r="R762" s="26"/>
      <c r="S762" s="26"/>
      <c r="T762" s="26"/>
      <c r="U762" s="26"/>
      <c r="V762" s="26"/>
    </row>
    <row r="763" spans="1:24">
      <c r="A763" s="21" t="s">
        <v>26</v>
      </c>
      <c r="B763" s="16" t="s">
        <v>27</v>
      </c>
      <c r="C763" s="17"/>
      <c r="D763" s="91">
        <v>28000</v>
      </c>
      <c r="E763" s="17"/>
      <c r="F763" s="91">
        <v>28000</v>
      </c>
      <c r="G763" s="17"/>
      <c r="H763" s="22">
        <f>J763-F763</f>
        <v>0</v>
      </c>
      <c r="I763" s="17"/>
      <c r="J763" s="91">
        <v>28000</v>
      </c>
      <c r="K763" s="17"/>
      <c r="L763" s="92">
        <v>28000</v>
      </c>
      <c r="M763" s="26"/>
      <c r="N763" s="26"/>
      <c r="O763" s="26"/>
      <c r="P763" s="26"/>
      <c r="Q763" s="26"/>
      <c r="R763" s="26"/>
      <c r="S763" s="26"/>
      <c r="T763" s="26"/>
      <c r="U763" s="26"/>
      <c r="V763" s="26"/>
    </row>
    <row r="764" spans="1:24">
      <c r="A764" s="21" t="s">
        <v>28</v>
      </c>
      <c r="B764" s="16" t="s">
        <v>29</v>
      </c>
      <c r="C764" s="17"/>
      <c r="D764" s="91">
        <v>20000</v>
      </c>
      <c r="E764" s="17"/>
      <c r="F764" s="91">
        <v>0</v>
      </c>
      <c r="G764" s="17"/>
      <c r="H764" s="22">
        <f>J764-F764</f>
        <v>20000</v>
      </c>
      <c r="I764" s="17"/>
      <c r="J764" s="91">
        <v>20000</v>
      </c>
      <c r="K764" s="17"/>
      <c r="L764" s="92">
        <v>0</v>
      </c>
      <c r="M764" s="26"/>
      <c r="N764" s="26"/>
      <c r="O764" s="26"/>
      <c r="P764" s="26"/>
      <c r="Q764" s="26"/>
      <c r="R764" s="26"/>
      <c r="S764" s="26"/>
      <c r="T764" s="26"/>
      <c r="U764" s="26"/>
      <c r="V764" s="26"/>
    </row>
    <row r="765" spans="1:24">
      <c r="A765" s="21" t="s">
        <v>30</v>
      </c>
      <c r="B765" s="16" t="s">
        <v>31</v>
      </c>
      <c r="C765" s="17"/>
      <c r="D765" s="91">
        <v>80000</v>
      </c>
      <c r="E765" s="17"/>
      <c r="F765" s="91">
        <v>0</v>
      </c>
      <c r="G765" s="17"/>
      <c r="H765" s="22">
        <f>J765-F765</f>
        <v>80000</v>
      </c>
      <c r="I765" s="17"/>
      <c r="J765" s="91">
        <v>80000</v>
      </c>
      <c r="K765" s="17"/>
      <c r="L765" s="92">
        <v>0</v>
      </c>
      <c r="M765" s="26"/>
      <c r="N765" s="26"/>
      <c r="O765" s="26"/>
      <c r="P765" s="26"/>
      <c r="Q765" s="26"/>
      <c r="R765" s="26"/>
      <c r="S765" s="26"/>
      <c r="T765" s="26"/>
      <c r="U765" s="26"/>
      <c r="V765" s="26"/>
    </row>
    <row r="766" spans="1:24">
      <c r="A766" s="21" t="s">
        <v>32</v>
      </c>
      <c r="B766" s="16" t="s">
        <v>33</v>
      </c>
      <c r="C766" s="17"/>
      <c r="D766" s="91">
        <v>134177</v>
      </c>
      <c r="E766" s="17"/>
      <c r="F766" s="91">
        <v>0</v>
      </c>
      <c r="G766" s="17"/>
      <c r="H766" s="22">
        <f>J766-F766</f>
        <v>141562</v>
      </c>
      <c r="I766" s="17"/>
      <c r="J766" s="91">
        <v>141562</v>
      </c>
      <c r="K766" s="17"/>
      <c r="L766" s="92">
        <v>184895</v>
      </c>
      <c r="M766" s="26"/>
      <c r="N766" s="26"/>
      <c r="O766" s="26"/>
      <c r="P766" s="26"/>
      <c r="Q766" s="26"/>
      <c r="R766" s="26"/>
      <c r="S766" s="26"/>
      <c r="T766" s="26"/>
      <c r="U766" s="26"/>
      <c r="V766" s="26"/>
    </row>
    <row r="767" spans="1:24">
      <c r="A767" s="21" t="s">
        <v>34</v>
      </c>
      <c r="B767" s="16" t="s">
        <v>35</v>
      </c>
      <c r="C767" s="17"/>
      <c r="D767" s="91">
        <v>20000</v>
      </c>
      <c r="E767" s="17"/>
      <c r="F767" s="91">
        <v>0</v>
      </c>
      <c r="G767" s="17"/>
      <c r="H767" s="22">
        <f>J767-F767</f>
        <v>20000</v>
      </c>
      <c r="I767" s="17"/>
      <c r="J767" s="91">
        <v>20000</v>
      </c>
      <c r="K767" s="17"/>
      <c r="L767" s="92">
        <v>20000</v>
      </c>
      <c r="M767" s="26"/>
      <c r="N767" s="26"/>
      <c r="O767" s="26"/>
      <c r="P767" s="26"/>
      <c r="Q767" s="26"/>
      <c r="R767" s="26"/>
      <c r="S767" s="26"/>
      <c r="T767" s="26"/>
      <c r="U767" s="26"/>
      <c r="V767" s="26"/>
    </row>
    <row r="768" spans="1:24">
      <c r="A768" s="21" t="s">
        <v>36</v>
      </c>
      <c r="B768" s="16" t="s">
        <v>37</v>
      </c>
      <c r="C768" s="17"/>
      <c r="D768" s="91">
        <v>128306</v>
      </c>
      <c r="E768" s="17"/>
      <c r="F768" s="91">
        <v>135823</v>
      </c>
      <c r="G768" s="17"/>
      <c r="H768" s="22">
        <f>J768-F768</f>
        <v>0</v>
      </c>
      <c r="I768" s="17"/>
      <c r="J768" s="91">
        <v>135823</v>
      </c>
      <c r="K768" s="17"/>
      <c r="L768" s="92">
        <v>141562</v>
      </c>
      <c r="M768" s="26"/>
      <c r="N768" s="26"/>
      <c r="O768" s="26"/>
      <c r="P768" s="26"/>
      <c r="Q768" s="26"/>
      <c r="R768" s="26"/>
      <c r="S768" s="26"/>
      <c r="T768" s="26"/>
      <c r="U768" s="26"/>
      <c r="V768" s="26"/>
    </row>
    <row r="769" spans="1:24">
      <c r="A769" s="27" t="s">
        <v>38</v>
      </c>
      <c r="B769" s="16"/>
      <c r="C769" s="17"/>
      <c r="D769" s="28"/>
      <c r="E769" s="17"/>
      <c r="F769" s="28"/>
      <c r="G769" s="17"/>
      <c r="H769" s="28"/>
      <c r="I769" s="17"/>
      <c r="J769" s="28"/>
      <c r="K769" s="17"/>
      <c r="L769" s="30"/>
      <c r="M769" s="26"/>
      <c r="N769" s="26"/>
      <c r="O769" s="26"/>
      <c r="P769" s="26"/>
      <c r="Q769" s="26"/>
      <c r="R769" s="26"/>
      <c r="S769" s="26"/>
      <c r="T769" s="26"/>
      <c r="U769" s="26"/>
      <c r="V769" s="26"/>
    </row>
    <row r="770" spans="1:24">
      <c r="A770" s="21" t="s">
        <v>39</v>
      </c>
      <c r="B770" s="16" t="s">
        <v>40</v>
      </c>
      <c r="C770" s="17"/>
      <c r="D770" s="28">
        <v>187744.47</v>
      </c>
      <c r="E770" s="17"/>
      <c r="F770" s="28">
        <v>97733.96</v>
      </c>
      <c r="G770" s="17"/>
      <c r="H770" s="22">
        <f>J770-F770</f>
        <v>100568.04</v>
      </c>
      <c r="I770" s="17"/>
      <c r="J770" s="28">
        <v>198302</v>
      </c>
      <c r="K770" s="17"/>
      <c r="L770" s="30">
        <v>224690</v>
      </c>
      <c r="M770" s="26"/>
      <c r="N770" s="26"/>
      <c r="O770" s="26"/>
      <c r="P770" s="26"/>
      <c r="Q770" s="26"/>
      <c r="R770" s="26"/>
      <c r="S770" s="26"/>
      <c r="T770" s="26"/>
      <c r="U770" s="26"/>
      <c r="V770" s="26"/>
    </row>
    <row r="771" spans="1:24">
      <c r="A771" s="21" t="s">
        <v>41</v>
      </c>
      <c r="B771" s="16" t="s">
        <v>42</v>
      </c>
      <c r="C771" s="17"/>
      <c r="D771" s="91">
        <v>9200</v>
      </c>
      <c r="E771" s="17"/>
      <c r="F771" s="91">
        <v>4800</v>
      </c>
      <c r="G771" s="17"/>
      <c r="H771" s="22">
        <f>J771-F771</f>
        <v>4800</v>
      </c>
      <c r="I771" s="17"/>
      <c r="J771" s="91">
        <v>9600</v>
      </c>
      <c r="K771" s="17"/>
      <c r="L771" s="92">
        <v>9600</v>
      </c>
      <c r="M771" s="26"/>
      <c r="N771" s="26"/>
      <c r="O771" s="26"/>
      <c r="P771" s="26"/>
      <c r="Q771" s="26"/>
      <c r="R771" s="26"/>
      <c r="S771" s="26"/>
      <c r="T771" s="26"/>
      <c r="U771" s="26"/>
      <c r="V771" s="26"/>
    </row>
    <row r="772" spans="1:24">
      <c r="A772" s="21" t="s">
        <v>43</v>
      </c>
      <c r="B772" s="16" t="s">
        <v>44</v>
      </c>
      <c r="C772" s="17"/>
      <c r="D772" s="91">
        <v>39113.53</v>
      </c>
      <c r="E772" s="17"/>
      <c r="F772" s="91">
        <v>20361.27</v>
      </c>
      <c r="G772" s="17"/>
      <c r="H772" s="22">
        <f>J772-F772</f>
        <v>20951.73</v>
      </c>
      <c r="I772" s="17"/>
      <c r="J772" s="91">
        <v>41313</v>
      </c>
      <c r="K772" s="17"/>
      <c r="L772" s="92">
        <v>46840</v>
      </c>
      <c r="M772" s="26"/>
      <c r="N772" s="26"/>
      <c r="O772" s="26"/>
      <c r="P772" s="26"/>
      <c r="Q772" s="26"/>
      <c r="R772" s="26"/>
      <c r="S772" s="26"/>
      <c r="T772" s="26"/>
      <c r="U772" s="26"/>
      <c r="V772" s="26"/>
    </row>
    <row r="773" spans="1:24">
      <c r="A773" s="21" t="s">
        <v>45</v>
      </c>
      <c r="B773" s="16" t="s">
        <v>46</v>
      </c>
      <c r="C773" s="17"/>
      <c r="D773" s="91">
        <v>4800</v>
      </c>
      <c r="E773" s="17"/>
      <c r="F773" s="91">
        <v>2400</v>
      </c>
      <c r="G773" s="17"/>
      <c r="H773" s="22">
        <f>J773-F773</f>
        <v>2400</v>
      </c>
      <c r="I773" s="17"/>
      <c r="J773" s="91">
        <v>4800</v>
      </c>
      <c r="K773" s="17"/>
      <c r="L773" s="92">
        <v>4800</v>
      </c>
      <c r="M773" s="26"/>
      <c r="N773" s="26"/>
      <c r="O773" s="26"/>
      <c r="P773" s="26"/>
      <c r="Q773" s="26"/>
      <c r="R773" s="26"/>
      <c r="S773" s="26"/>
      <c r="T773" s="26"/>
      <c r="U773" s="26"/>
      <c r="V773" s="26"/>
    </row>
    <row r="774" spans="1:24">
      <c r="A774" s="27" t="s">
        <v>47</v>
      </c>
      <c r="B774" s="16"/>
      <c r="C774" s="23"/>
      <c r="D774" s="28"/>
      <c r="E774" s="17"/>
      <c r="F774" s="28"/>
      <c r="G774" s="17"/>
      <c r="H774" s="28"/>
      <c r="I774" s="17"/>
      <c r="J774" s="28"/>
      <c r="K774" s="17"/>
      <c r="L774" s="30"/>
      <c r="M774" s="26"/>
      <c r="N774" s="26"/>
      <c r="O774" s="26"/>
      <c r="P774" s="26"/>
      <c r="Q774" s="26"/>
      <c r="R774" s="26"/>
      <c r="S774" s="26"/>
      <c r="T774" s="26"/>
      <c r="U774" s="26"/>
      <c r="V774" s="26"/>
    </row>
    <row r="775" spans="1:24">
      <c r="A775" s="21" t="s">
        <v>48</v>
      </c>
      <c r="B775" s="16" t="s">
        <v>49</v>
      </c>
      <c r="C775" s="17"/>
      <c r="D775" s="22">
        <v>0</v>
      </c>
      <c r="E775" s="17"/>
      <c r="F775" s="22">
        <v>0</v>
      </c>
      <c r="G775" s="17"/>
      <c r="H775" s="22">
        <f>J775-F775</f>
        <v>0</v>
      </c>
      <c r="I775" s="17"/>
      <c r="J775" s="22">
        <v>0</v>
      </c>
      <c r="K775" s="17"/>
      <c r="L775" s="25">
        <v>0</v>
      </c>
      <c r="M775" s="26"/>
      <c r="N775" s="26"/>
      <c r="O775" s="26"/>
      <c r="P775" s="26"/>
      <c r="Q775" s="26"/>
      <c r="R775" s="26"/>
      <c r="S775" s="26"/>
      <c r="T775" s="26"/>
      <c r="U775" s="26"/>
      <c r="V775" s="26"/>
    </row>
    <row r="776" spans="1:24" customHeight="1" ht="15">
      <c r="A776" s="21" t="s">
        <v>50</v>
      </c>
      <c r="B776" s="16" t="s">
        <v>51</v>
      </c>
      <c r="C776" s="17"/>
      <c r="D776" s="41">
        <v>20000</v>
      </c>
      <c r="E776" s="17"/>
      <c r="F776" s="41">
        <v>28000</v>
      </c>
      <c r="G776" s="17"/>
      <c r="H776" s="22">
        <f>J776-F776</f>
        <v>0</v>
      </c>
      <c r="I776" s="17"/>
      <c r="J776" s="41">
        <v>28000</v>
      </c>
      <c r="K776" s="17"/>
      <c r="L776" s="55">
        <v>28000</v>
      </c>
      <c r="M776" s="26"/>
      <c r="N776" s="26"/>
      <c r="O776" s="26"/>
      <c r="P776" s="26"/>
      <c r="Q776" s="26"/>
      <c r="R776" s="26"/>
      <c r="S776" s="26"/>
      <c r="T776" s="26"/>
      <c r="U776" s="26"/>
      <c r="V776" s="26"/>
    </row>
    <row r="777" spans="1:24" customHeight="1" ht="15">
      <c r="A777" s="44" t="s">
        <v>52</v>
      </c>
      <c r="B777" s="45"/>
      <c r="C777" s="46" t="s">
        <v>18</v>
      </c>
      <c r="D777" s="47">
        <f>SUM(D758:D776)</f>
        <v>2495078.23</v>
      </c>
      <c r="E777" s="48" t="s">
        <v>18</v>
      </c>
      <c r="F777" s="47">
        <f>SUM(F758:F776)</f>
        <v>1261167.87</v>
      </c>
      <c r="G777" s="48" t="s">
        <v>18</v>
      </c>
      <c r="H777" s="47">
        <f>SUM(H758:H776)</f>
        <v>1357946.13</v>
      </c>
      <c r="I777" s="48" t="s">
        <v>18</v>
      </c>
      <c r="J777" s="47">
        <f>SUM(J758:J776)</f>
        <v>2619114</v>
      </c>
      <c r="K777" s="48" t="s">
        <v>18</v>
      </c>
      <c r="L777" s="95">
        <f>SUM(L758:L776)</f>
        <v>2819663</v>
      </c>
      <c r="M777" s="50"/>
      <c r="N777" s="50"/>
      <c r="O777" s="50"/>
      <c r="P777" s="50"/>
      <c r="Q777" s="50"/>
      <c r="R777" s="50"/>
      <c r="S777" s="50"/>
      <c r="T777" s="50"/>
      <c r="U777" s="50"/>
      <c r="V777" s="50"/>
    </row>
    <row r="781" spans="1:24">
      <c r="A781" s="235" t="s">
        <v>0</v>
      </c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69"/>
      <c r="N781" s="69"/>
      <c r="O781" s="69"/>
      <c r="P781" s="69"/>
      <c r="Q781" s="69"/>
      <c r="R781" s="69"/>
      <c r="S781" s="69"/>
      <c r="T781" s="69"/>
      <c r="U781" s="69"/>
      <c r="V781" s="69"/>
    </row>
    <row r="783" spans="1:24" customHeight="1" ht="15.6">
      <c r="A783" s="236" t="s">
        <v>1</v>
      </c>
      <c r="B783" s="236"/>
      <c r="C783" s="236"/>
      <c r="D783" s="236"/>
      <c r="E783" s="236"/>
      <c r="F783" s="236"/>
      <c r="G783" s="236"/>
      <c r="H783" s="236"/>
      <c r="I783" s="236"/>
      <c r="J783" s="236"/>
      <c r="K783" s="236"/>
      <c r="L783" s="236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4">
      <c r="A784" s="231" t="s">
        <v>2</v>
      </c>
      <c r="B784" s="231"/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6" spans="1:24">
      <c r="A786" s="5" t="s">
        <v>157</v>
      </c>
    </row>
    <row r="787" spans="1:24" customHeight="1" ht="15"/>
    <row r="788" spans="1:24">
      <c r="A788" s="7"/>
      <c r="B788" s="8"/>
      <c r="C788" s="203" t="s">
        <v>4</v>
      </c>
      <c r="D788" s="204"/>
      <c r="E788" s="205" t="s">
        <v>5</v>
      </c>
      <c r="F788" s="206"/>
      <c r="G788" s="206"/>
      <c r="H788" s="206"/>
      <c r="I788" s="206"/>
      <c r="J788" s="207"/>
      <c r="K788" s="203" t="s">
        <v>6</v>
      </c>
      <c r="L788" s="22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4">
      <c r="A789" s="9" t="s">
        <v>7</v>
      </c>
      <c r="B789" s="10" t="s">
        <v>8</v>
      </c>
      <c r="C789" s="210">
        <v>2024</v>
      </c>
      <c r="D789" s="211"/>
      <c r="E789" s="212" t="s">
        <v>9</v>
      </c>
      <c r="F789" s="213"/>
      <c r="G789" s="212" t="s">
        <v>10</v>
      </c>
      <c r="H789" s="213"/>
      <c r="I789" s="214" t="s">
        <v>11</v>
      </c>
      <c r="J789" s="215"/>
      <c r="K789" s="210">
        <v>2026</v>
      </c>
      <c r="L789" s="229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4" customHeight="1" ht="15">
      <c r="A790" s="13"/>
      <c r="B790" s="14"/>
      <c r="C790" s="220" t="s">
        <v>12</v>
      </c>
      <c r="D790" s="221"/>
      <c r="E790" s="220" t="s">
        <v>12</v>
      </c>
      <c r="F790" s="221"/>
      <c r="G790" s="220" t="s">
        <v>13</v>
      </c>
      <c r="H790" s="221"/>
      <c r="I790" s="216"/>
      <c r="J790" s="217"/>
      <c r="K790" s="220" t="s">
        <v>14</v>
      </c>
      <c r="L790" s="230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4">
      <c r="A791" s="27" t="s">
        <v>53</v>
      </c>
      <c r="B791" s="52"/>
      <c r="C791" s="17"/>
      <c r="D791" s="18"/>
      <c r="E791" s="17"/>
      <c r="F791" s="18"/>
      <c r="G791" s="17"/>
      <c r="H791" s="18"/>
      <c r="I791" s="17"/>
      <c r="J791" s="18"/>
      <c r="K791" s="17"/>
      <c r="L791" s="19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spans="1:24">
      <c r="A792" s="21" t="s">
        <v>54</v>
      </c>
      <c r="B792" s="16" t="s">
        <v>55</v>
      </c>
      <c r="C792" s="17" t="s">
        <v>18</v>
      </c>
      <c r="D792" s="28">
        <v>125483.4</v>
      </c>
      <c r="E792" s="17" t="s">
        <v>18</v>
      </c>
      <c r="F792" s="28">
        <v>34983.4</v>
      </c>
      <c r="G792" s="17" t="s">
        <v>18</v>
      </c>
      <c r="H792" s="28">
        <f>J792-F792</f>
        <v>99016.6</v>
      </c>
      <c r="I792" s="17" t="s">
        <v>18</v>
      </c>
      <c r="J792" s="28">
        <v>134000</v>
      </c>
      <c r="K792" s="17" t="s">
        <v>18</v>
      </c>
      <c r="L792" s="30">
        <v>141500</v>
      </c>
      <c r="M792" s="26"/>
      <c r="N792" s="26"/>
      <c r="O792" s="26"/>
      <c r="P792" s="26"/>
      <c r="Q792" s="26"/>
      <c r="R792" s="26"/>
      <c r="S792" s="26"/>
      <c r="T792" s="26"/>
      <c r="U792" s="26"/>
      <c r="V792" s="26"/>
    </row>
    <row r="793" spans="1:24">
      <c r="A793" s="21" t="s">
        <v>58</v>
      </c>
      <c r="B793" s="16" t="s">
        <v>59</v>
      </c>
      <c r="C793" s="17"/>
      <c r="D793" s="91">
        <v>40602</v>
      </c>
      <c r="E793" s="17"/>
      <c r="F793" s="91">
        <v>6653.85</v>
      </c>
      <c r="G793" s="17"/>
      <c r="H793" s="91">
        <f>J793-F793</f>
        <v>60843.65</v>
      </c>
      <c r="I793" s="17"/>
      <c r="J793" s="91">
        <v>67497.5</v>
      </c>
      <c r="K793" s="17"/>
      <c r="L793" s="92">
        <v>68000</v>
      </c>
      <c r="M793" s="26"/>
      <c r="N793" s="26"/>
      <c r="O793" s="26"/>
      <c r="P793" s="26"/>
      <c r="Q793" s="26"/>
      <c r="R793" s="26"/>
      <c r="S793" s="26"/>
      <c r="T793" s="26"/>
      <c r="U793" s="26"/>
      <c r="V793" s="26"/>
    </row>
    <row r="794" spans="1:24">
      <c r="A794" s="21" t="s">
        <v>68</v>
      </c>
      <c r="B794" s="16" t="s">
        <v>69</v>
      </c>
      <c r="C794" s="17"/>
      <c r="D794" s="91">
        <v>0</v>
      </c>
      <c r="E794" s="17"/>
      <c r="F794" s="91">
        <v>0</v>
      </c>
      <c r="G794" s="17"/>
      <c r="H794" s="91">
        <f>J794-F794</f>
        <v>500</v>
      </c>
      <c r="I794" s="17"/>
      <c r="J794" s="91">
        <v>500</v>
      </c>
      <c r="K794" s="17"/>
      <c r="L794" s="92">
        <v>500</v>
      </c>
      <c r="M794" s="26"/>
      <c r="N794" s="26"/>
      <c r="O794" s="26"/>
      <c r="P794" s="26"/>
      <c r="Q794" s="26"/>
      <c r="R794" s="26"/>
      <c r="S794" s="26"/>
      <c r="T794" s="26"/>
      <c r="U794" s="26"/>
      <c r="V794" s="26"/>
    </row>
    <row r="795" spans="1:24">
      <c r="A795" s="21" t="s">
        <v>70</v>
      </c>
      <c r="B795" s="16" t="s">
        <v>71</v>
      </c>
      <c r="C795" s="17"/>
      <c r="D795" s="91">
        <v>60000</v>
      </c>
      <c r="E795" s="17"/>
      <c r="F795" s="91">
        <v>25000</v>
      </c>
      <c r="G795" s="17"/>
      <c r="H795" s="91">
        <f>J795-F795</f>
        <v>35000</v>
      </c>
      <c r="I795" s="17"/>
      <c r="J795" s="91">
        <v>60000</v>
      </c>
      <c r="K795" s="17"/>
      <c r="L795" s="92">
        <v>60000</v>
      </c>
      <c r="M795" s="26"/>
      <c r="N795" s="26"/>
      <c r="O795" s="26"/>
      <c r="P795" s="26"/>
      <c r="Q795" s="26"/>
      <c r="R795" s="26"/>
      <c r="S795" s="26"/>
      <c r="T795" s="26"/>
      <c r="U795" s="26"/>
      <c r="V795" s="26"/>
    </row>
    <row r="796" spans="1:24">
      <c r="A796" s="21" t="s">
        <v>72</v>
      </c>
      <c r="B796" s="16" t="s">
        <v>73</v>
      </c>
      <c r="C796" s="17"/>
      <c r="D796" s="91">
        <v>23889.12</v>
      </c>
      <c r="E796" s="17"/>
      <c r="F796" s="91">
        <v>13141.9</v>
      </c>
      <c r="G796" s="17"/>
      <c r="H796" s="91">
        <f>J796-F796</f>
        <v>13858.1</v>
      </c>
      <c r="I796" s="17"/>
      <c r="J796" s="91">
        <v>27000</v>
      </c>
      <c r="K796" s="17"/>
      <c r="L796" s="92">
        <v>27000</v>
      </c>
      <c r="M796" s="26"/>
      <c r="N796" s="26"/>
      <c r="O796" s="26"/>
      <c r="P796" s="26"/>
      <c r="Q796" s="26"/>
      <c r="R796" s="26"/>
      <c r="S796" s="26"/>
      <c r="T796" s="26"/>
      <c r="U796" s="26"/>
      <c r="V796" s="26"/>
    </row>
    <row r="797" spans="1:24">
      <c r="A797" s="21" t="s">
        <v>80</v>
      </c>
      <c r="B797" s="16" t="s">
        <v>81</v>
      </c>
      <c r="C797" s="17"/>
      <c r="D797" s="91">
        <v>5050</v>
      </c>
      <c r="E797" s="17"/>
      <c r="F797" s="91">
        <v>7900</v>
      </c>
      <c r="G797" s="17"/>
      <c r="H797" s="91">
        <f>J797-F797</f>
        <v>7100</v>
      </c>
      <c r="I797" s="17"/>
      <c r="J797" s="91">
        <v>15000</v>
      </c>
      <c r="K797" s="17"/>
      <c r="L797" s="92">
        <v>15000</v>
      </c>
      <c r="M797" s="26"/>
      <c r="N797" s="26"/>
      <c r="O797" s="26"/>
      <c r="P797" s="26"/>
      <c r="Q797" s="26"/>
      <c r="R797" s="26"/>
      <c r="S797" s="26"/>
      <c r="T797" s="26"/>
      <c r="U797" s="26"/>
      <c r="V797" s="26"/>
    </row>
    <row r="798" spans="1:24" customHeight="1" ht="15">
      <c r="A798" s="21" t="s">
        <v>92</v>
      </c>
      <c r="B798" s="16" t="s">
        <v>93</v>
      </c>
      <c r="C798" s="17"/>
      <c r="D798" s="41">
        <v>0</v>
      </c>
      <c r="E798" s="17"/>
      <c r="F798" s="41">
        <v>2000</v>
      </c>
      <c r="G798" s="17"/>
      <c r="H798" s="93">
        <f>J798-F798</f>
        <v>6000</v>
      </c>
      <c r="I798" s="17"/>
      <c r="J798" s="41">
        <v>8000</v>
      </c>
      <c r="K798" s="17"/>
      <c r="L798" s="55">
        <v>0</v>
      </c>
      <c r="M798" s="26"/>
      <c r="N798" s="26"/>
      <c r="O798" s="26"/>
      <c r="P798" s="26"/>
      <c r="Q798" s="26"/>
      <c r="R798" s="26"/>
      <c r="S798" s="26"/>
      <c r="T798" s="26"/>
      <c r="U798" s="26"/>
      <c r="V798" s="26"/>
    </row>
    <row r="799" spans="1:24" customHeight="1" ht="15">
      <c r="A799" s="27" t="s">
        <v>94</v>
      </c>
      <c r="B799" s="52"/>
      <c r="C799" s="56" t="s">
        <v>18</v>
      </c>
      <c r="D799" s="47">
        <f>SUM(D792:D798)</f>
        <v>255024.52</v>
      </c>
      <c r="E799" s="56" t="s">
        <v>18</v>
      </c>
      <c r="F799" s="47">
        <f>SUM(F792:F798)</f>
        <v>89679.15</v>
      </c>
      <c r="G799" s="56" t="s">
        <v>18</v>
      </c>
      <c r="H799" s="47">
        <f>SUM(H792:H798)</f>
        <v>222318.35</v>
      </c>
      <c r="I799" s="56" t="s">
        <v>18</v>
      </c>
      <c r="J799" s="47">
        <f>SUM(J792:J798)</f>
        <v>311997.5</v>
      </c>
      <c r="K799" s="56" t="s">
        <v>18</v>
      </c>
      <c r="L799" s="49">
        <f>SUM(L792:L798)</f>
        <v>312000</v>
      </c>
      <c r="M799" s="50"/>
      <c r="N799" s="50"/>
      <c r="O799" s="50"/>
      <c r="P799" s="50"/>
      <c r="Q799" s="50"/>
      <c r="R799" s="50"/>
      <c r="S799" s="50"/>
      <c r="T799" s="50"/>
      <c r="U799" s="50"/>
      <c r="V799" s="50"/>
    </row>
    <row r="800" spans="1:24">
      <c r="A800" s="27" t="s">
        <v>95</v>
      </c>
      <c r="B800" s="52"/>
      <c r="C800" s="17"/>
      <c r="D800" s="75"/>
      <c r="E800" s="17"/>
      <c r="F800" s="75"/>
      <c r="G800" s="17"/>
      <c r="H800" s="75"/>
      <c r="I800" s="17"/>
      <c r="J800" s="75"/>
      <c r="K800" s="17"/>
      <c r="L800" s="76"/>
      <c r="M800" s="26"/>
      <c r="N800" s="26"/>
      <c r="O800" s="26"/>
      <c r="P800" s="26"/>
      <c r="Q800" s="26"/>
      <c r="R800" s="26"/>
      <c r="S800" s="26"/>
      <c r="T800" s="26"/>
      <c r="U800" s="26"/>
      <c r="V800" s="26"/>
    </row>
    <row r="801" spans="1:24" customHeight="1" ht="15">
      <c r="A801" s="21" t="s">
        <v>96</v>
      </c>
      <c r="B801" s="16" t="s">
        <v>97</v>
      </c>
      <c r="C801" s="17" t="s">
        <v>18</v>
      </c>
      <c r="D801" s="28">
        <v>0</v>
      </c>
      <c r="E801" s="17" t="s">
        <v>18</v>
      </c>
      <c r="F801" s="28">
        <v>0</v>
      </c>
      <c r="G801" s="17" t="s">
        <v>18</v>
      </c>
      <c r="H801" s="28">
        <v>0</v>
      </c>
      <c r="I801" s="17" t="s">
        <v>18</v>
      </c>
      <c r="J801" s="28">
        <v>55000</v>
      </c>
      <c r="K801" s="17" t="s">
        <v>18</v>
      </c>
      <c r="L801" s="30">
        <v>55000</v>
      </c>
      <c r="M801" s="26"/>
      <c r="N801" s="26"/>
      <c r="O801" s="26"/>
      <c r="P801" s="26"/>
      <c r="Q801" s="26"/>
      <c r="R801" s="26"/>
      <c r="S801" s="26"/>
      <c r="T801" s="26"/>
      <c r="U801" s="26"/>
      <c r="V801" s="26"/>
    </row>
    <row r="802" spans="1:24" customHeight="1" ht="15">
      <c r="A802" s="27" t="s">
        <v>98</v>
      </c>
      <c r="B802" s="16"/>
      <c r="C802" s="56" t="s">
        <v>18</v>
      </c>
      <c r="D802" s="77">
        <f>SUM(D801)</f>
        <v>0</v>
      </c>
      <c r="E802" s="56" t="s">
        <v>18</v>
      </c>
      <c r="F802" s="77">
        <f>SUM(F801)</f>
        <v>0</v>
      </c>
      <c r="G802" s="56" t="s">
        <v>18</v>
      </c>
      <c r="H802" s="77">
        <f>SUM(H801)</f>
        <v>0</v>
      </c>
      <c r="I802" s="56" t="s">
        <v>18</v>
      </c>
      <c r="J802" s="77">
        <f>SUM(J801)</f>
        <v>55000</v>
      </c>
      <c r="K802" s="56" t="s">
        <v>18</v>
      </c>
      <c r="L802" s="78">
        <f>SUM(L801)</f>
        <v>55000</v>
      </c>
      <c r="M802" s="50"/>
      <c r="N802" s="50"/>
      <c r="O802" s="50"/>
      <c r="P802" s="50"/>
      <c r="Q802" s="50"/>
      <c r="R802" s="50"/>
      <c r="S802" s="50"/>
      <c r="T802" s="50"/>
      <c r="U802" s="50"/>
      <c r="V802" s="50"/>
    </row>
    <row r="803" spans="1:24" customHeight="1" ht="15">
      <c r="A803" s="79" t="s">
        <v>99</v>
      </c>
      <c r="B803" s="80"/>
      <c r="C803" s="81" t="s">
        <v>18</v>
      </c>
      <c r="D803" s="82">
        <f>D777+D799+D802</f>
        <v>2750102.75</v>
      </c>
      <c r="E803" s="83" t="s">
        <v>18</v>
      </c>
      <c r="F803" s="82">
        <f>F777+F799+F802</f>
        <v>1350847.02</v>
      </c>
      <c r="G803" s="83" t="s">
        <v>18</v>
      </c>
      <c r="H803" s="82">
        <f>H777+H799+H802</f>
        <v>1580264.48</v>
      </c>
      <c r="I803" s="83" t="s">
        <v>18</v>
      </c>
      <c r="J803" s="82">
        <f>J777+J799+J802</f>
        <v>2986111.5</v>
      </c>
      <c r="K803" s="83" t="s">
        <v>18</v>
      </c>
      <c r="L803" s="84">
        <f>L777+L799+L802</f>
        <v>3186663</v>
      </c>
      <c r="M803" s="50"/>
      <c r="N803" s="50"/>
      <c r="O803" s="50"/>
      <c r="P803" s="50"/>
      <c r="Q803" s="50"/>
      <c r="R803" s="50"/>
      <c r="S803" s="50"/>
      <c r="T803" s="50"/>
      <c r="U803" s="50"/>
      <c r="V803" s="50"/>
    </row>
    <row r="804" spans="1:24" customHeight="1" ht="15">
      <c r="A804" s="5"/>
      <c r="C804" s="56"/>
      <c r="D804" s="59"/>
      <c r="E804" s="56"/>
      <c r="F804" s="59"/>
      <c r="G804" s="56"/>
      <c r="H804" s="59"/>
      <c r="I804" s="56"/>
      <c r="J804" s="59"/>
      <c r="K804" s="56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</row>
    <row r="805" spans="1:24">
      <c r="A805" t="s">
        <v>100</v>
      </c>
      <c r="B805" t="s">
        <v>101</v>
      </c>
      <c r="G805" t="s">
        <v>102</v>
      </c>
    </row>
    <row r="807" spans="1:24">
      <c r="A807" t="s">
        <v>158</v>
      </c>
      <c r="D807" s="200" t="s">
        <v>112</v>
      </c>
      <c r="J807" s="200" t="s">
        <v>112</v>
      </c>
    </row>
    <row r="808" spans="1:24">
      <c r="A808" s="4" t="s">
        <v>159</v>
      </c>
      <c r="B808" s="231" t="s">
        <v>107</v>
      </c>
      <c r="C808" s="231"/>
      <c r="D808" s="231"/>
      <c r="E808" s="231"/>
      <c r="F808" s="231"/>
      <c r="H808" s="231" t="s">
        <v>106</v>
      </c>
      <c r="I808" s="231"/>
      <c r="J808" s="231"/>
      <c r="K808" s="231"/>
      <c r="L808" s="231"/>
      <c r="M808" s="4"/>
      <c r="N808" s="66"/>
      <c r="O808" s="66"/>
      <c r="P808" s="66"/>
      <c r="Q808" s="66"/>
      <c r="R808" s="66"/>
      <c r="S808" s="66"/>
      <c r="T808" s="66"/>
      <c r="U808" s="66"/>
      <c r="V808" s="66"/>
    </row>
    <row r="809" spans="1:24">
      <c r="A809" s="158" t="s">
        <v>160</v>
      </c>
      <c r="B809" s="232" t="s">
        <v>109</v>
      </c>
      <c r="C809" s="232"/>
      <c r="D809" s="232"/>
      <c r="E809" s="232"/>
      <c r="F809" s="232"/>
      <c r="H809" s="232" t="s">
        <v>108</v>
      </c>
      <c r="I809" s="232"/>
      <c r="J809" s="232"/>
      <c r="K809" s="232"/>
      <c r="L809" s="232"/>
      <c r="M809" s="158"/>
      <c r="N809" s="68"/>
      <c r="O809" s="68"/>
      <c r="P809" s="68"/>
      <c r="Q809" s="68"/>
      <c r="R809" s="68"/>
      <c r="S809" s="68"/>
      <c r="T809" s="68"/>
      <c r="U809" s="68"/>
      <c r="V809" s="68"/>
    </row>
    <row r="814" spans="1:24">
      <c r="J814" s="17"/>
    </row>
    <row r="815" spans="1:24">
      <c r="A815" s="235" t="s">
        <v>0</v>
      </c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69"/>
      <c r="N815" s="69"/>
      <c r="O815" s="69"/>
      <c r="P815" s="69"/>
      <c r="Q815" s="69"/>
      <c r="R815" s="69"/>
      <c r="S815" s="69"/>
      <c r="T815" s="69"/>
      <c r="U815" s="69"/>
      <c r="V815" s="69"/>
    </row>
    <row r="817" spans="1:24" customHeight="1" ht="15.6">
      <c r="A817" s="236" t="s">
        <v>1</v>
      </c>
      <c r="B817" s="236"/>
      <c r="C817" s="236"/>
      <c r="D817" s="236"/>
      <c r="E817" s="236"/>
      <c r="F817" s="236"/>
      <c r="G817" s="236"/>
      <c r="H817" s="236"/>
      <c r="I817" s="236"/>
      <c r="J817" s="236"/>
      <c r="K817" s="236"/>
      <c r="L817" s="236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4">
      <c r="A818" s="231" t="s">
        <v>2</v>
      </c>
      <c r="B818" s="231"/>
      <c r="C818" s="231"/>
      <c r="D818" s="231"/>
      <c r="E818" s="231"/>
      <c r="F818" s="231"/>
      <c r="G818" s="231"/>
      <c r="H818" s="231"/>
      <c r="I818" s="231"/>
      <c r="J818" s="231"/>
      <c r="K818" s="231"/>
      <c r="L818" s="231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20" spans="1:24">
      <c r="A820" s="5" t="s">
        <v>161</v>
      </c>
    </row>
    <row r="821" spans="1:24" customHeight="1" ht="15"/>
    <row r="822" spans="1:24">
      <c r="A822" s="7"/>
      <c r="B822" s="8"/>
      <c r="C822" s="203" t="s">
        <v>4</v>
      </c>
      <c r="D822" s="204"/>
      <c r="E822" s="205" t="s">
        <v>5</v>
      </c>
      <c r="F822" s="206"/>
      <c r="G822" s="206"/>
      <c r="H822" s="206"/>
      <c r="I822" s="206"/>
      <c r="J822" s="207"/>
      <c r="K822" s="203" t="s">
        <v>6</v>
      </c>
      <c r="L822" s="22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4">
      <c r="A823" s="9" t="s">
        <v>7</v>
      </c>
      <c r="B823" s="10" t="s">
        <v>8</v>
      </c>
      <c r="C823" s="210">
        <v>2024</v>
      </c>
      <c r="D823" s="211"/>
      <c r="E823" s="212" t="s">
        <v>9</v>
      </c>
      <c r="F823" s="213"/>
      <c r="G823" s="212" t="s">
        <v>10</v>
      </c>
      <c r="H823" s="213"/>
      <c r="I823" s="214" t="s">
        <v>11</v>
      </c>
      <c r="J823" s="215"/>
      <c r="K823" s="210">
        <v>2026</v>
      </c>
      <c r="L823" s="229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4" customHeight="1" ht="15">
      <c r="A824" s="13"/>
      <c r="B824" s="14"/>
      <c r="C824" s="220" t="s">
        <v>12</v>
      </c>
      <c r="D824" s="221"/>
      <c r="E824" s="220" t="s">
        <v>12</v>
      </c>
      <c r="F824" s="221"/>
      <c r="G824" s="220" t="s">
        <v>13</v>
      </c>
      <c r="H824" s="221"/>
      <c r="I824" s="216"/>
      <c r="J824" s="217"/>
      <c r="K824" s="220" t="s">
        <v>14</v>
      </c>
      <c r="L824" s="230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4">
      <c r="A825" s="15" t="s">
        <v>15</v>
      </c>
      <c r="B825" s="16"/>
      <c r="C825" s="17"/>
      <c r="D825" s="18"/>
      <c r="E825" s="17"/>
      <c r="F825" s="18"/>
      <c r="G825" s="17"/>
      <c r="H825" s="18"/>
      <c r="I825" s="17"/>
      <c r="J825" s="18"/>
      <c r="K825" s="17"/>
      <c r="L825" s="19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spans="1:24">
      <c r="A826" s="21" t="s">
        <v>16</v>
      </c>
      <c r="B826" s="16" t="s">
        <v>17</v>
      </c>
      <c r="C826" s="17" t="s">
        <v>18</v>
      </c>
      <c r="D826" s="22">
        <v>5964875.27</v>
      </c>
      <c r="E826" s="17" t="s">
        <v>18</v>
      </c>
      <c r="F826" s="22">
        <v>2703326.1</v>
      </c>
      <c r="G826" s="17" t="s">
        <v>18</v>
      </c>
      <c r="H826" s="22">
        <f>J826-F826</f>
        <v>3289175.9</v>
      </c>
      <c r="I826" s="17" t="s">
        <v>18</v>
      </c>
      <c r="J826" s="22">
        <v>5992502</v>
      </c>
      <c r="K826" s="17" t="s">
        <v>18</v>
      </c>
      <c r="L826" s="25">
        <v>6321022</v>
      </c>
      <c r="M826" s="26"/>
      <c r="N826" s="26"/>
      <c r="O826" s="26"/>
      <c r="P826" s="26"/>
      <c r="Q826" s="26"/>
      <c r="R826" s="26"/>
      <c r="S826" s="26"/>
      <c r="T826" s="26"/>
      <c r="U826" s="26"/>
      <c r="V826" s="26"/>
    </row>
    <row r="827" spans="1:24">
      <c r="A827" s="27" t="s">
        <v>19</v>
      </c>
      <c r="B827" s="16"/>
      <c r="C827" s="17"/>
      <c r="D827" s="28"/>
      <c r="E827" s="17"/>
      <c r="F827" s="28"/>
      <c r="G827" s="17"/>
      <c r="H827" s="28"/>
      <c r="I827" s="17"/>
      <c r="J827" s="28"/>
      <c r="K827" s="17"/>
      <c r="L827" s="30"/>
      <c r="M827" s="26"/>
      <c r="N827" s="26"/>
      <c r="O827" s="26"/>
      <c r="P827" s="26"/>
      <c r="Q827" s="26"/>
      <c r="R827" s="26"/>
      <c r="S827" s="26"/>
      <c r="T827" s="26"/>
      <c r="U827" s="26"/>
      <c r="V827" s="26"/>
    </row>
    <row r="828" spans="1:24">
      <c r="A828" s="21" t="s">
        <v>20</v>
      </c>
      <c r="B828" s="16" t="s">
        <v>21</v>
      </c>
      <c r="C828" s="17"/>
      <c r="D828" s="28">
        <v>384933.33</v>
      </c>
      <c r="E828" s="17"/>
      <c r="F828" s="28">
        <v>160000</v>
      </c>
      <c r="G828" s="17"/>
      <c r="H828" s="22">
        <f>J828-F828</f>
        <v>224000</v>
      </c>
      <c r="I828" s="17"/>
      <c r="J828" s="28">
        <v>384000</v>
      </c>
      <c r="K828" s="17"/>
      <c r="L828" s="30">
        <v>384000</v>
      </c>
      <c r="M828" s="26"/>
      <c r="N828" s="26"/>
      <c r="O828" s="26"/>
      <c r="P828" s="26"/>
      <c r="Q828" s="26"/>
      <c r="R828" s="26"/>
      <c r="S828" s="26"/>
      <c r="T828" s="26"/>
      <c r="U828" s="26"/>
      <c r="V828" s="26"/>
    </row>
    <row r="829" spans="1:24">
      <c r="A829" s="21" t="s">
        <v>22</v>
      </c>
      <c r="B829" s="16" t="s">
        <v>23</v>
      </c>
      <c r="C829" s="17"/>
      <c r="D829" s="91">
        <v>81373.33</v>
      </c>
      <c r="E829" s="17"/>
      <c r="F829" s="91">
        <v>34000</v>
      </c>
      <c r="G829" s="17"/>
      <c r="H829" s="22">
        <f>J829-F829</f>
        <v>47600</v>
      </c>
      <c r="I829" s="17"/>
      <c r="J829" s="91">
        <v>81600</v>
      </c>
      <c r="K829" s="17"/>
      <c r="L829" s="92">
        <v>81600</v>
      </c>
      <c r="M829" s="26"/>
      <c r="N829" s="26"/>
      <c r="O829" s="26"/>
      <c r="P829" s="26"/>
      <c r="Q829" s="26"/>
      <c r="R829" s="26"/>
      <c r="S829" s="26"/>
      <c r="T829" s="26"/>
      <c r="U829" s="26"/>
      <c r="V829" s="26"/>
    </row>
    <row r="830" spans="1:24">
      <c r="A830" s="21" t="s">
        <v>24</v>
      </c>
      <c r="B830" s="16" t="s">
        <v>25</v>
      </c>
      <c r="C830" s="17"/>
      <c r="D830" s="91">
        <v>81373.33</v>
      </c>
      <c r="E830" s="17"/>
      <c r="F830" s="91">
        <v>34000</v>
      </c>
      <c r="G830" s="17"/>
      <c r="H830" s="22">
        <f>J830-F830</f>
        <v>47600</v>
      </c>
      <c r="I830" s="17"/>
      <c r="J830" s="91">
        <v>81600</v>
      </c>
      <c r="K830" s="17"/>
      <c r="L830" s="92">
        <v>81600</v>
      </c>
      <c r="M830" s="26"/>
      <c r="N830" s="26"/>
      <c r="O830" s="26"/>
      <c r="P830" s="26"/>
      <c r="Q830" s="26"/>
      <c r="R830" s="26"/>
      <c r="S830" s="26"/>
      <c r="T830" s="26"/>
      <c r="U830" s="26"/>
      <c r="V830" s="26"/>
    </row>
    <row r="831" spans="1:24">
      <c r="A831" s="21" t="s">
        <v>26</v>
      </c>
      <c r="B831" s="16" t="s">
        <v>27</v>
      </c>
      <c r="C831" s="17"/>
      <c r="D831" s="91">
        <v>112000</v>
      </c>
      <c r="E831" s="17"/>
      <c r="F831" s="91">
        <v>112000</v>
      </c>
      <c r="G831" s="17"/>
      <c r="H831" s="22">
        <f>J831-F831</f>
        <v>0</v>
      </c>
      <c r="I831" s="17"/>
      <c r="J831" s="91">
        <v>112000</v>
      </c>
      <c r="K831" s="17"/>
      <c r="L831" s="92">
        <v>112000</v>
      </c>
      <c r="M831" s="26"/>
      <c r="N831" s="26"/>
      <c r="O831" s="26"/>
      <c r="P831" s="26"/>
      <c r="Q831" s="26"/>
      <c r="R831" s="26"/>
      <c r="S831" s="26"/>
      <c r="T831" s="26"/>
      <c r="U831" s="26"/>
      <c r="V831" s="26"/>
    </row>
    <row r="832" spans="1:24">
      <c r="A832" s="21" t="s">
        <v>162</v>
      </c>
      <c r="B832" s="16" t="s">
        <v>163</v>
      </c>
      <c r="C832" s="17"/>
      <c r="D832" s="91">
        <v>249750</v>
      </c>
      <c r="E832" s="17"/>
      <c r="F832" s="91">
        <v>105000</v>
      </c>
      <c r="G832" s="17"/>
      <c r="H832" s="22">
        <f>J832-F832</f>
        <v>4200</v>
      </c>
      <c r="I832" s="17"/>
      <c r="J832" s="91">
        <v>109200</v>
      </c>
      <c r="K832" s="17"/>
      <c r="L832" s="92">
        <v>109200</v>
      </c>
      <c r="M832" s="26"/>
      <c r="N832" s="26"/>
      <c r="O832" s="26"/>
      <c r="P832" s="26"/>
      <c r="Q832" s="26"/>
      <c r="R832" s="26"/>
      <c r="S832" s="26"/>
      <c r="T832" s="26"/>
      <c r="U832" s="26"/>
      <c r="V832" s="26"/>
    </row>
    <row r="833" spans="1:24">
      <c r="A833" s="21" t="s">
        <v>164</v>
      </c>
      <c r="B833" s="16" t="s">
        <v>165</v>
      </c>
      <c r="C833" s="17"/>
      <c r="D833" s="91">
        <v>24975</v>
      </c>
      <c r="E833" s="17"/>
      <c r="F833" s="91">
        <v>10500</v>
      </c>
      <c r="G833" s="17"/>
      <c r="H833" s="22">
        <f>J833-F833</f>
        <v>157500</v>
      </c>
      <c r="I833" s="17"/>
      <c r="J833" s="91">
        <v>168000</v>
      </c>
      <c r="K833" s="17"/>
      <c r="L833" s="92">
        <v>168000</v>
      </c>
      <c r="M833" s="26"/>
      <c r="N833" s="26"/>
      <c r="O833" s="26"/>
      <c r="P833" s="26"/>
      <c r="Q833" s="26"/>
      <c r="R833" s="26"/>
      <c r="S833" s="26"/>
      <c r="T833" s="26"/>
      <c r="U833" s="26"/>
      <c r="V833" s="26"/>
    </row>
    <row r="834" spans="1:24">
      <c r="A834" s="21" t="s">
        <v>28</v>
      </c>
      <c r="B834" s="16" t="s">
        <v>29</v>
      </c>
      <c r="C834" s="17"/>
      <c r="D834" s="91">
        <v>80000</v>
      </c>
      <c r="E834" s="17"/>
      <c r="F834" s="91">
        <v>0</v>
      </c>
      <c r="G834" s="17"/>
      <c r="H834" s="22">
        <f>J834-F834</f>
        <v>80000</v>
      </c>
      <c r="I834" s="17"/>
      <c r="J834" s="91">
        <v>80000</v>
      </c>
      <c r="K834" s="17"/>
      <c r="L834" s="92">
        <v>0</v>
      </c>
      <c r="M834" s="26"/>
      <c r="N834" s="26"/>
      <c r="O834" s="26"/>
      <c r="P834" s="26"/>
      <c r="Q834" s="26"/>
      <c r="R834" s="26"/>
      <c r="S834" s="26"/>
      <c r="T834" s="26"/>
      <c r="U834" s="26"/>
      <c r="V834" s="26"/>
    </row>
    <row r="835" spans="1:24">
      <c r="A835" s="21" t="s">
        <v>30</v>
      </c>
      <c r="B835" s="16" t="s">
        <v>31</v>
      </c>
      <c r="C835" s="17"/>
      <c r="D835" s="91">
        <v>320000</v>
      </c>
      <c r="E835" s="17"/>
      <c r="F835" s="91">
        <v>0</v>
      </c>
      <c r="G835" s="17"/>
      <c r="H835" s="22">
        <f>J835-F835</f>
        <v>320000</v>
      </c>
      <c r="I835" s="17"/>
      <c r="J835" s="91">
        <v>320000</v>
      </c>
      <c r="K835" s="17"/>
      <c r="L835" s="92">
        <v>0</v>
      </c>
      <c r="M835" s="26"/>
      <c r="N835" s="26"/>
      <c r="O835" s="26"/>
      <c r="P835" s="26"/>
      <c r="Q835" s="26"/>
      <c r="R835" s="26"/>
      <c r="S835" s="26"/>
      <c r="T835" s="26"/>
      <c r="U835" s="26"/>
      <c r="V835" s="26"/>
    </row>
    <row r="836" spans="1:24">
      <c r="A836" s="21" t="s">
        <v>166</v>
      </c>
      <c r="B836" s="16" t="s">
        <v>167</v>
      </c>
      <c r="C836" s="17"/>
      <c r="D836" s="91">
        <v>399913.95</v>
      </c>
      <c r="E836" s="17"/>
      <c r="F836" s="91">
        <v>325397.54</v>
      </c>
      <c r="G836" s="17"/>
      <c r="H836" s="22">
        <f>J836-F836</f>
        <v>525546.46</v>
      </c>
      <c r="I836" s="17"/>
      <c r="J836" s="91">
        <v>850944</v>
      </c>
      <c r="K836" s="17"/>
      <c r="L836" s="92">
        <v>1307990</v>
      </c>
      <c r="M836" s="26"/>
      <c r="N836" s="26"/>
      <c r="O836" s="26"/>
      <c r="P836" s="26"/>
      <c r="Q836" s="26"/>
      <c r="R836" s="26"/>
      <c r="S836" s="26"/>
      <c r="T836" s="26"/>
      <c r="U836" s="26"/>
      <c r="V836" s="26"/>
    </row>
    <row r="837" spans="1:24">
      <c r="A837" s="21" t="s">
        <v>32</v>
      </c>
      <c r="B837" s="16" t="s">
        <v>33</v>
      </c>
      <c r="C837" s="17"/>
      <c r="D837" s="91">
        <v>490772</v>
      </c>
      <c r="E837" s="17"/>
      <c r="F837" s="91">
        <v>0</v>
      </c>
      <c r="G837" s="17"/>
      <c r="H837" s="22">
        <f>J837-F837</f>
        <v>514815</v>
      </c>
      <c r="I837" s="17"/>
      <c r="J837" s="91">
        <v>514815</v>
      </c>
      <c r="K837" s="17"/>
      <c r="L837" s="92">
        <v>547781</v>
      </c>
      <c r="M837" s="26"/>
      <c r="N837" s="26"/>
      <c r="O837" s="26"/>
      <c r="P837" s="26"/>
      <c r="Q837" s="26"/>
      <c r="R837" s="26"/>
      <c r="S837" s="26"/>
      <c r="T837" s="26"/>
      <c r="U837" s="26"/>
      <c r="V837" s="26"/>
    </row>
    <row r="838" spans="1:24">
      <c r="A838" s="21" t="s">
        <v>34</v>
      </c>
      <c r="B838" s="16" t="s">
        <v>35</v>
      </c>
      <c r="C838" s="17"/>
      <c r="D838" s="91">
        <v>80000</v>
      </c>
      <c r="E838" s="17"/>
      <c r="F838" s="91">
        <v>0</v>
      </c>
      <c r="G838" s="17"/>
      <c r="H838" s="22">
        <f>J838-F838</f>
        <v>80000</v>
      </c>
      <c r="I838" s="17"/>
      <c r="J838" s="91">
        <v>80000</v>
      </c>
      <c r="K838" s="17"/>
      <c r="L838" s="92">
        <v>80000</v>
      </c>
      <c r="M838" s="26"/>
      <c r="N838" s="26"/>
      <c r="O838" s="26"/>
      <c r="P838" s="26"/>
      <c r="Q838" s="26"/>
      <c r="R838" s="26"/>
      <c r="S838" s="26"/>
      <c r="T838" s="26"/>
      <c r="U838" s="26"/>
      <c r="V838" s="26"/>
    </row>
    <row r="839" spans="1:24">
      <c r="A839" s="21" t="s">
        <v>36</v>
      </c>
      <c r="B839" s="16" t="s">
        <v>37</v>
      </c>
      <c r="C839" s="17"/>
      <c r="D839" s="91">
        <v>405229</v>
      </c>
      <c r="E839" s="17"/>
      <c r="F839" s="91">
        <v>491554</v>
      </c>
      <c r="G839" s="17"/>
      <c r="H839" s="22">
        <f>J839-F839</f>
        <v>0</v>
      </c>
      <c r="I839" s="17"/>
      <c r="J839" s="91">
        <v>491554</v>
      </c>
      <c r="K839" s="17"/>
      <c r="L839" s="92">
        <v>516166</v>
      </c>
      <c r="M839" s="26"/>
      <c r="N839" s="26"/>
      <c r="O839" s="26"/>
      <c r="P839" s="26"/>
      <c r="Q839" s="26"/>
      <c r="R839" s="26"/>
      <c r="S839" s="26"/>
      <c r="T839" s="26"/>
      <c r="U839" s="26"/>
      <c r="V839" s="26"/>
    </row>
    <row r="840" spans="1:24">
      <c r="A840" s="27" t="s">
        <v>38</v>
      </c>
      <c r="B840" s="16"/>
      <c r="C840" s="17"/>
      <c r="D840" s="28"/>
      <c r="E840" s="17"/>
      <c r="F840" s="28"/>
      <c r="G840" s="17"/>
      <c r="H840" s="28"/>
      <c r="I840" s="17"/>
      <c r="J840" s="28"/>
      <c r="K840" s="17"/>
      <c r="L840" s="30"/>
      <c r="M840" s="26"/>
      <c r="N840" s="26"/>
      <c r="O840" s="26"/>
      <c r="P840" s="26"/>
      <c r="Q840" s="26"/>
      <c r="R840" s="26"/>
      <c r="S840" s="26"/>
      <c r="T840" s="26"/>
      <c r="U840" s="26"/>
      <c r="V840" s="26"/>
    </row>
    <row r="841" spans="1:24">
      <c r="A841" s="21" t="s">
        <v>39</v>
      </c>
      <c r="B841" s="16" t="s">
        <v>40</v>
      </c>
      <c r="C841" s="17"/>
      <c r="D841" s="28">
        <v>676626.12</v>
      </c>
      <c r="E841" s="17"/>
      <c r="F841" s="28">
        <v>294934.03</v>
      </c>
      <c r="G841" s="17"/>
      <c r="H841" s="22">
        <f>J841-F841</f>
        <v>424167.97</v>
      </c>
      <c r="I841" s="17"/>
      <c r="J841" s="28">
        <v>719102</v>
      </c>
      <c r="K841" s="17"/>
      <c r="L841" s="30">
        <v>758720</v>
      </c>
      <c r="M841" s="26"/>
      <c r="N841" s="26"/>
      <c r="O841" s="26"/>
      <c r="P841" s="26"/>
      <c r="Q841" s="26"/>
      <c r="R841" s="26"/>
      <c r="S841" s="26"/>
      <c r="T841" s="26"/>
      <c r="U841" s="26"/>
      <c r="V841" s="26"/>
    </row>
    <row r="842" spans="1:24">
      <c r="A842" s="21" t="s">
        <v>41</v>
      </c>
      <c r="B842" s="16" t="s">
        <v>42</v>
      </c>
      <c r="C842" s="17"/>
      <c r="D842" s="91">
        <v>36500</v>
      </c>
      <c r="E842" s="17"/>
      <c r="F842" s="91">
        <v>16000</v>
      </c>
      <c r="G842" s="17"/>
      <c r="H842" s="22">
        <f>J842-F842</f>
        <v>22400</v>
      </c>
      <c r="I842" s="17"/>
      <c r="J842" s="91">
        <v>38400</v>
      </c>
      <c r="K842" s="17"/>
      <c r="L842" s="92">
        <v>38400</v>
      </c>
      <c r="M842" s="26"/>
      <c r="N842" s="26"/>
      <c r="O842" s="26"/>
      <c r="P842" s="26"/>
      <c r="Q842" s="26"/>
      <c r="R842" s="26"/>
      <c r="S842" s="26"/>
      <c r="T842" s="26"/>
      <c r="U842" s="26"/>
      <c r="V842" s="26"/>
    </row>
    <row r="843" spans="1:24">
      <c r="A843" s="21" t="s">
        <v>43</v>
      </c>
      <c r="B843" s="16" t="s">
        <v>44</v>
      </c>
      <c r="C843" s="17"/>
      <c r="D843" s="91">
        <v>140964.14</v>
      </c>
      <c r="E843" s="17"/>
      <c r="F843" s="91">
        <v>61444.75</v>
      </c>
      <c r="G843" s="17"/>
      <c r="H843" s="22">
        <f>J843-F843</f>
        <v>88371.25</v>
      </c>
      <c r="I843" s="17"/>
      <c r="J843" s="91">
        <v>149816</v>
      </c>
      <c r="K843" s="17"/>
      <c r="L843" s="92">
        <v>158220</v>
      </c>
      <c r="M843" s="26"/>
      <c r="N843" s="26"/>
      <c r="O843" s="26"/>
      <c r="P843" s="26"/>
      <c r="Q843" s="26"/>
      <c r="R843" s="26"/>
      <c r="S843" s="26"/>
      <c r="T843" s="26"/>
      <c r="U843" s="26"/>
      <c r="V843" s="26"/>
    </row>
    <row r="844" spans="1:24">
      <c r="A844" s="21" t="s">
        <v>45</v>
      </c>
      <c r="B844" s="16" t="s">
        <v>46</v>
      </c>
      <c r="C844" s="17"/>
      <c r="D844" s="91">
        <v>18900</v>
      </c>
      <c r="E844" s="17"/>
      <c r="F844" s="91">
        <v>8000</v>
      </c>
      <c r="G844" s="17"/>
      <c r="H844" s="22">
        <f>J844-F844</f>
        <v>11200</v>
      </c>
      <c r="I844" s="17"/>
      <c r="J844" s="91">
        <v>19200</v>
      </c>
      <c r="K844" s="17"/>
      <c r="L844" s="92">
        <v>19200</v>
      </c>
      <c r="M844" s="26"/>
      <c r="N844" s="26"/>
      <c r="O844" s="26"/>
      <c r="P844" s="26"/>
      <c r="Q844" s="26"/>
      <c r="R844" s="26"/>
      <c r="S844" s="26"/>
      <c r="T844" s="26"/>
      <c r="U844" s="26"/>
      <c r="V844" s="26"/>
    </row>
    <row r="845" spans="1:24">
      <c r="A845" s="27" t="s">
        <v>47</v>
      </c>
      <c r="B845" s="16"/>
      <c r="C845" s="23"/>
      <c r="D845" s="28"/>
      <c r="E845" s="17"/>
      <c r="F845" s="28"/>
      <c r="G845" s="17"/>
      <c r="H845" s="28"/>
      <c r="I845" s="17"/>
      <c r="J845" s="28"/>
      <c r="K845" s="17"/>
      <c r="L845" s="30"/>
      <c r="M845" s="26"/>
      <c r="N845" s="26"/>
      <c r="O845" s="26"/>
      <c r="P845" s="26"/>
      <c r="Q845" s="26"/>
      <c r="R845" s="26"/>
      <c r="S845" s="26"/>
      <c r="T845" s="26"/>
      <c r="U845" s="26"/>
      <c r="V845" s="26"/>
    </row>
    <row r="846" spans="1:24">
      <c r="A846" s="21" t="s">
        <v>149</v>
      </c>
      <c r="B846" s="16" t="s">
        <v>49</v>
      </c>
      <c r="C846" s="17"/>
      <c r="D846" s="22">
        <v>0</v>
      </c>
      <c r="E846" s="17"/>
      <c r="F846" s="22">
        <v>0</v>
      </c>
      <c r="G846" s="17"/>
      <c r="H846" s="22">
        <v>0</v>
      </c>
      <c r="I846" s="17"/>
      <c r="J846" s="22">
        <v>291713</v>
      </c>
      <c r="K846" s="17"/>
      <c r="L846" s="25">
        <v>0</v>
      </c>
      <c r="M846" s="26"/>
      <c r="N846" s="26"/>
      <c r="O846" s="26"/>
      <c r="P846" s="26"/>
      <c r="Q846" s="26"/>
      <c r="R846" s="26"/>
      <c r="S846" s="26"/>
      <c r="T846" s="26"/>
      <c r="U846" s="26"/>
      <c r="V846" s="26"/>
    </row>
    <row r="847" spans="1:24" customHeight="1" ht="15">
      <c r="A847" s="21" t="s">
        <v>168</v>
      </c>
      <c r="B847" s="16" t="s">
        <v>51</v>
      </c>
      <c r="C847" s="17"/>
      <c r="D847" s="41">
        <v>15000</v>
      </c>
      <c r="E847" s="17"/>
      <c r="F847" s="41">
        <v>112000</v>
      </c>
      <c r="G847" s="17"/>
      <c r="H847" s="22">
        <f>J847-F847</f>
        <v>10000</v>
      </c>
      <c r="I847" s="17"/>
      <c r="J847" s="41">
        <v>122000</v>
      </c>
      <c r="K847" s="17"/>
      <c r="L847" s="55">
        <v>122000</v>
      </c>
      <c r="M847" s="26"/>
      <c r="N847" s="26"/>
      <c r="O847" s="26"/>
      <c r="P847" s="26"/>
      <c r="Q847" s="26"/>
      <c r="R847" s="26"/>
      <c r="S847" s="26"/>
      <c r="T847" s="26"/>
      <c r="U847" s="26"/>
      <c r="V847" s="26"/>
    </row>
    <row r="848" spans="1:24" customHeight="1" ht="15">
      <c r="A848" s="44" t="s">
        <v>52</v>
      </c>
      <c r="B848" s="45"/>
      <c r="C848" s="46" t="s">
        <v>18</v>
      </c>
      <c r="D848" s="47">
        <f>SUM(D826:D847)</f>
        <v>9563185.47</v>
      </c>
      <c r="E848" s="48" t="s">
        <v>18</v>
      </c>
      <c r="F848" s="47">
        <f>SUM(F826:F847)</f>
        <v>4468156.42</v>
      </c>
      <c r="G848" s="48" t="s">
        <v>18</v>
      </c>
      <c r="H848" s="47">
        <f>SUM(H826:H847)</f>
        <v>5846576.58</v>
      </c>
      <c r="I848" s="48" t="s">
        <v>18</v>
      </c>
      <c r="J848" s="47">
        <f>SUM(J826:J847)</f>
        <v>10606446</v>
      </c>
      <c r="K848" s="48" t="s">
        <v>18</v>
      </c>
      <c r="L848" s="49">
        <f>SUM(L826:L847)</f>
        <v>10805899</v>
      </c>
      <c r="M848" s="50"/>
      <c r="N848" s="50"/>
      <c r="O848" s="50"/>
      <c r="P848" s="50"/>
      <c r="Q848" s="50"/>
      <c r="R848" s="50"/>
      <c r="S848" s="50"/>
      <c r="T848" s="50"/>
      <c r="U848" s="50"/>
      <c r="V848" s="50"/>
    </row>
    <row r="849" spans="1:24">
      <c r="A849" s="235" t="s">
        <v>0</v>
      </c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69"/>
      <c r="N849" s="69"/>
      <c r="O849" s="69"/>
      <c r="P849" s="69"/>
      <c r="Q849" s="69"/>
      <c r="R849" s="69"/>
      <c r="S849" s="69"/>
      <c r="T849" s="69"/>
      <c r="U849" s="69"/>
      <c r="V849" s="69"/>
    </row>
    <row r="851" spans="1:24" customHeight="1" ht="15.6">
      <c r="A851" s="236" t="s">
        <v>1</v>
      </c>
      <c r="B851" s="236"/>
      <c r="C851" s="236"/>
      <c r="D851" s="236"/>
      <c r="E851" s="236"/>
      <c r="F851" s="236"/>
      <c r="G851" s="236"/>
      <c r="H851" s="236"/>
      <c r="I851" s="236"/>
      <c r="J851" s="236"/>
      <c r="K851" s="236"/>
      <c r="L851" s="236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4">
      <c r="A852" s="231" t="s">
        <v>2</v>
      </c>
      <c r="B852" s="231"/>
      <c r="C852" s="231"/>
      <c r="D852" s="231"/>
      <c r="E852" s="231"/>
      <c r="F852" s="231"/>
      <c r="G852" s="231"/>
      <c r="H852" s="231"/>
      <c r="I852" s="231"/>
      <c r="J852" s="231"/>
      <c r="K852" s="231"/>
      <c r="L852" s="231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4" spans="1:24">
      <c r="A854" s="5" t="s">
        <v>161</v>
      </c>
    </row>
    <row r="855" spans="1:24" customHeight="1" ht="15"/>
    <row r="856" spans="1:24">
      <c r="A856" s="7"/>
      <c r="B856" s="8"/>
      <c r="C856" s="203" t="s">
        <v>4</v>
      </c>
      <c r="D856" s="204"/>
      <c r="E856" s="205" t="s">
        <v>5</v>
      </c>
      <c r="F856" s="206"/>
      <c r="G856" s="206"/>
      <c r="H856" s="206"/>
      <c r="I856" s="206"/>
      <c r="J856" s="207"/>
      <c r="K856" s="203" t="s">
        <v>6</v>
      </c>
      <c r="L856" s="22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4">
      <c r="A857" s="9" t="s">
        <v>7</v>
      </c>
      <c r="B857" s="10" t="s">
        <v>8</v>
      </c>
      <c r="C857" s="210">
        <v>2024</v>
      </c>
      <c r="D857" s="211"/>
      <c r="E857" s="212" t="s">
        <v>9</v>
      </c>
      <c r="F857" s="213"/>
      <c r="G857" s="212" t="s">
        <v>10</v>
      </c>
      <c r="H857" s="213"/>
      <c r="I857" s="214" t="s">
        <v>11</v>
      </c>
      <c r="J857" s="215"/>
      <c r="K857" s="210">
        <v>2026</v>
      </c>
      <c r="L857" s="229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4" customHeight="1" ht="15">
      <c r="A858" s="13"/>
      <c r="B858" s="14"/>
      <c r="C858" s="220" t="s">
        <v>12</v>
      </c>
      <c r="D858" s="221"/>
      <c r="E858" s="220" t="s">
        <v>12</v>
      </c>
      <c r="F858" s="221"/>
      <c r="G858" s="220" t="s">
        <v>13</v>
      </c>
      <c r="H858" s="221"/>
      <c r="I858" s="216"/>
      <c r="J858" s="217"/>
      <c r="K858" s="220" t="s">
        <v>14</v>
      </c>
      <c r="L858" s="230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4">
      <c r="A859" s="27" t="s">
        <v>53</v>
      </c>
      <c r="B859" s="52"/>
      <c r="C859" s="17"/>
      <c r="D859" s="18"/>
      <c r="E859" s="17"/>
      <c r="F859" s="18"/>
      <c r="G859" s="17"/>
      <c r="H859" s="18"/>
      <c r="I859" s="17"/>
      <c r="J859" s="18"/>
      <c r="K859" s="17"/>
      <c r="L859" s="19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spans="1:24">
      <c r="A860" s="21" t="s">
        <v>54</v>
      </c>
      <c r="B860" s="16" t="s">
        <v>55</v>
      </c>
      <c r="C860" s="17" t="s">
        <v>18</v>
      </c>
      <c r="D860" s="28">
        <v>175320</v>
      </c>
      <c r="E860" s="17" t="s">
        <v>18</v>
      </c>
      <c r="F860" s="28">
        <v>69116.12</v>
      </c>
      <c r="G860" s="17" t="s">
        <v>18</v>
      </c>
      <c r="H860" s="22">
        <f>J860-F860</f>
        <v>130883.88</v>
      </c>
      <c r="I860" s="17" t="s">
        <v>18</v>
      </c>
      <c r="J860" s="29">
        <v>200000</v>
      </c>
      <c r="K860" s="17" t="s">
        <v>18</v>
      </c>
      <c r="L860" s="30">
        <v>300000</v>
      </c>
      <c r="M860" s="26"/>
      <c r="N860" s="26"/>
      <c r="O860" s="26"/>
      <c r="P860" s="26"/>
      <c r="Q860" s="26"/>
      <c r="R860" s="26"/>
      <c r="S860" s="26"/>
      <c r="T860" s="26"/>
      <c r="U860" s="26"/>
      <c r="V860" s="26"/>
    </row>
    <row r="861" spans="1:24">
      <c r="A861" s="21" t="s">
        <v>58</v>
      </c>
      <c r="B861" s="16" t="s">
        <v>59</v>
      </c>
      <c r="C861" s="17"/>
      <c r="D861" s="91">
        <v>264000</v>
      </c>
      <c r="E861" s="17"/>
      <c r="F861" s="91">
        <v>132612.54</v>
      </c>
      <c r="G861" s="17"/>
      <c r="H861" s="22">
        <f>J861-F861</f>
        <v>367387.46</v>
      </c>
      <c r="I861" s="17"/>
      <c r="J861" s="148">
        <v>500000</v>
      </c>
      <c r="K861" s="17"/>
      <c r="L861" s="92">
        <v>400000</v>
      </c>
      <c r="M861" s="26"/>
      <c r="N861" s="26"/>
      <c r="O861" s="26"/>
      <c r="P861" s="26"/>
      <c r="Q861" s="26"/>
      <c r="R861" s="26"/>
      <c r="S861" s="26"/>
      <c r="T861" s="26"/>
      <c r="U861" s="26"/>
      <c r="V861" s="26"/>
    </row>
    <row r="862" spans="1:24">
      <c r="A862" s="21" t="s">
        <v>169</v>
      </c>
      <c r="B862" s="16" t="s">
        <v>170</v>
      </c>
      <c r="C862" s="17"/>
      <c r="D862" s="91">
        <v>143090</v>
      </c>
      <c r="E862" s="17"/>
      <c r="F862" s="91">
        <v>177360</v>
      </c>
      <c r="G862" s="17"/>
      <c r="H862" s="22">
        <f>J862-F862</f>
        <v>122640</v>
      </c>
      <c r="I862" s="17"/>
      <c r="J862" s="148">
        <v>300000</v>
      </c>
      <c r="K862" s="17"/>
      <c r="L862" s="92">
        <v>300000</v>
      </c>
      <c r="M862" s="26"/>
      <c r="N862" s="26"/>
      <c r="O862" s="26"/>
      <c r="P862" s="26"/>
      <c r="Q862" s="26"/>
      <c r="R862" s="26"/>
      <c r="S862" s="26"/>
      <c r="T862" s="26"/>
      <c r="U862" s="26"/>
      <c r="V862" s="26"/>
    </row>
    <row r="863" spans="1:24">
      <c r="A863" s="21" t="s">
        <v>171</v>
      </c>
      <c r="B863" s="16" t="s">
        <v>63</v>
      </c>
      <c r="C863" s="17"/>
      <c r="D863" s="91">
        <v>136000</v>
      </c>
      <c r="E863" s="17"/>
      <c r="F863" s="91">
        <v>24701.82</v>
      </c>
      <c r="G863" s="17"/>
      <c r="H863" s="22">
        <f>J863-F863</f>
        <v>125298.18</v>
      </c>
      <c r="I863" s="17"/>
      <c r="J863" s="148">
        <v>150000</v>
      </c>
      <c r="K863" s="17"/>
      <c r="L863" s="92">
        <v>150000</v>
      </c>
      <c r="M863" s="26"/>
      <c r="N863" s="26"/>
      <c r="O863" s="26"/>
      <c r="P863" s="26"/>
      <c r="Q863" s="26"/>
      <c r="R863" s="26"/>
      <c r="S863" s="26"/>
      <c r="T863" s="26"/>
      <c r="U863" s="26"/>
      <c r="V863" s="26"/>
    </row>
    <row r="864" spans="1:24">
      <c r="A864" s="21" t="s">
        <v>70</v>
      </c>
      <c r="B864" s="16" t="s">
        <v>71</v>
      </c>
      <c r="C864" s="17"/>
      <c r="D864" s="91">
        <v>60000</v>
      </c>
      <c r="E864" s="17"/>
      <c r="F864" s="91">
        <v>25000</v>
      </c>
      <c r="G864" s="17"/>
      <c r="H864" s="22">
        <f>J864-F864</f>
        <v>35000</v>
      </c>
      <c r="I864" s="17"/>
      <c r="J864" s="148">
        <v>60000</v>
      </c>
      <c r="K864" s="17"/>
      <c r="L864" s="92">
        <v>60000</v>
      </c>
      <c r="M864" s="26"/>
      <c r="N864" s="26"/>
      <c r="O864" s="26"/>
      <c r="P864" s="26"/>
      <c r="Q864" s="26"/>
      <c r="R864" s="26"/>
      <c r="S864" s="26"/>
      <c r="T864" s="26"/>
      <c r="U864" s="26"/>
      <c r="V864" s="26"/>
    </row>
    <row r="865" spans="1:24">
      <c r="A865" s="21" t="s">
        <v>72</v>
      </c>
      <c r="B865" s="16" t="s">
        <v>73</v>
      </c>
      <c r="C865" s="17"/>
      <c r="D865" s="91">
        <v>25000</v>
      </c>
      <c r="E865" s="17"/>
      <c r="F865" s="91">
        <v>10480.56</v>
      </c>
      <c r="G865" s="17"/>
      <c r="H865" s="22">
        <f>J865-F865</f>
        <v>14519.44</v>
      </c>
      <c r="I865" s="17"/>
      <c r="J865" s="148">
        <v>25000</v>
      </c>
      <c r="K865" s="17"/>
      <c r="L865" s="92">
        <v>25000</v>
      </c>
      <c r="M865" s="26"/>
      <c r="N865" s="26"/>
      <c r="O865" s="26"/>
      <c r="P865" s="26"/>
      <c r="Q865" s="26"/>
      <c r="R865" s="26"/>
      <c r="S865" s="26"/>
      <c r="T865" s="26"/>
      <c r="U865" s="26"/>
      <c r="V865" s="26"/>
    </row>
    <row r="866" spans="1:24">
      <c r="A866" s="21" t="s">
        <v>172</v>
      </c>
      <c r="B866" s="16" t="s">
        <v>173</v>
      </c>
      <c r="C866" s="17"/>
      <c r="D866" s="91">
        <v>145175.98</v>
      </c>
      <c r="E866" s="17"/>
      <c r="F866" s="91">
        <v>0</v>
      </c>
      <c r="G866" s="17"/>
      <c r="H866" s="22">
        <f>J866-F866</f>
        <v>250000</v>
      </c>
      <c r="I866" s="17"/>
      <c r="J866" s="148">
        <v>250000</v>
      </c>
      <c r="K866" s="17"/>
      <c r="L866" s="92">
        <v>0</v>
      </c>
      <c r="M866" s="26"/>
      <c r="N866" s="26"/>
      <c r="O866" s="26"/>
      <c r="P866" s="26"/>
      <c r="Q866" s="26"/>
      <c r="R866" s="26"/>
      <c r="S866" s="26"/>
      <c r="T866" s="26"/>
      <c r="U866" s="26"/>
      <c r="V866" s="26"/>
    </row>
    <row r="867" spans="1:24">
      <c r="A867" s="21" t="s">
        <v>80</v>
      </c>
      <c r="B867" s="16" t="s">
        <v>81</v>
      </c>
      <c r="C867" s="17"/>
      <c r="D867" s="91">
        <v>5000</v>
      </c>
      <c r="E867" s="17"/>
      <c r="F867" s="91">
        <v>13480</v>
      </c>
      <c r="G867" s="17"/>
      <c r="H867" s="22">
        <f>J867-F867</f>
        <v>16520</v>
      </c>
      <c r="I867" s="17"/>
      <c r="J867" s="148">
        <v>30000</v>
      </c>
      <c r="K867" s="17"/>
      <c r="L867" s="92">
        <v>30000</v>
      </c>
      <c r="M867" s="26"/>
      <c r="N867" s="26"/>
      <c r="O867" s="26"/>
      <c r="P867" s="26"/>
      <c r="Q867" s="26"/>
      <c r="R867" s="26"/>
      <c r="S867" s="26"/>
      <c r="T867" s="26"/>
      <c r="U867" s="26"/>
      <c r="V867" s="26"/>
    </row>
    <row r="868" spans="1:24">
      <c r="A868" s="21" t="s">
        <v>174</v>
      </c>
      <c r="B868" s="16" t="s">
        <v>83</v>
      </c>
      <c r="C868" s="17"/>
      <c r="D868" s="91">
        <v>75680</v>
      </c>
      <c r="E868" s="17"/>
      <c r="F868" s="91">
        <v>17810</v>
      </c>
      <c r="G868" s="17"/>
      <c r="H868" s="22">
        <f>J868-F868</f>
        <v>32190</v>
      </c>
      <c r="I868" s="17"/>
      <c r="J868" s="148">
        <v>50000</v>
      </c>
      <c r="K868" s="17"/>
      <c r="L868" s="92">
        <v>100000</v>
      </c>
      <c r="M868" s="26"/>
      <c r="N868" s="26"/>
      <c r="O868" s="26"/>
      <c r="P868" s="26"/>
      <c r="Q868" s="26"/>
      <c r="R868" s="26"/>
      <c r="S868" s="26"/>
      <c r="T868" s="26"/>
      <c r="U868" s="26"/>
      <c r="V868" s="26"/>
    </row>
    <row r="869" spans="1:24" customHeight="1" ht="15">
      <c r="A869" s="21" t="s">
        <v>92</v>
      </c>
      <c r="B869" s="16" t="s">
        <v>93</v>
      </c>
      <c r="C869" s="17"/>
      <c r="D869" s="41">
        <v>256998.53</v>
      </c>
      <c r="E869" s="17"/>
      <c r="F869" s="41">
        <v>76650</v>
      </c>
      <c r="G869" s="17"/>
      <c r="H869" s="93">
        <f>J869-F869</f>
        <v>293350</v>
      </c>
      <c r="I869" s="17"/>
      <c r="J869" s="54">
        <v>370000</v>
      </c>
      <c r="K869" s="17"/>
      <c r="L869" s="55">
        <v>0</v>
      </c>
      <c r="M869" s="26"/>
      <c r="N869" s="26"/>
      <c r="O869" s="26"/>
      <c r="P869" s="26"/>
      <c r="Q869" s="26"/>
      <c r="R869" s="26"/>
      <c r="S869" s="26"/>
      <c r="T869" s="26"/>
      <c r="U869" s="26"/>
      <c r="V869" s="26"/>
    </row>
    <row r="870" spans="1:24" customHeight="1" ht="15">
      <c r="A870" s="27" t="s">
        <v>94</v>
      </c>
      <c r="B870" s="52"/>
      <c r="C870" s="56" t="s">
        <v>18</v>
      </c>
      <c r="D870" s="47">
        <f>SUM(D860:D869)</f>
        <v>1286264.51</v>
      </c>
      <c r="E870" s="56" t="s">
        <v>18</v>
      </c>
      <c r="F870" s="47">
        <f>SUM(F860:F869)</f>
        <v>547211.04</v>
      </c>
      <c r="G870" s="56" t="s">
        <v>18</v>
      </c>
      <c r="H870" s="47">
        <f>SUM(H860:H869)</f>
        <v>1387788.96</v>
      </c>
      <c r="I870" s="56" t="s">
        <v>18</v>
      </c>
      <c r="J870" s="47">
        <f>SUM(J860:J869)</f>
        <v>1935000</v>
      </c>
      <c r="K870" s="56" t="s">
        <v>18</v>
      </c>
      <c r="L870" s="49">
        <f>SUM(L860:L869)</f>
        <v>1365000</v>
      </c>
      <c r="M870" s="50"/>
      <c r="N870" s="50"/>
      <c r="O870" s="50"/>
      <c r="P870" s="50"/>
      <c r="Q870" s="50"/>
      <c r="R870" s="50"/>
      <c r="S870" s="50"/>
      <c r="T870" s="50"/>
      <c r="U870" s="50"/>
      <c r="V870" s="50"/>
    </row>
    <row r="871" spans="1:24">
      <c r="A871" s="27" t="s">
        <v>95</v>
      </c>
      <c r="B871" s="52"/>
      <c r="C871" s="17"/>
      <c r="D871" s="75"/>
      <c r="E871" s="17"/>
      <c r="F871" s="75"/>
      <c r="G871" s="17"/>
      <c r="H871" s="75"/>
      <c r="I871" s="17"/>
      <c r="J871" s="75"/>
      <c r="K871" s="17"/>
      <c r="L871" s="76"/>
      <c r="M871" s="26"/>
      <c r="N871" s="26"/>
      <c r="O871" s="26"/>
      <c r="P871" s="26"/>
      <c r="Q871" s="26"/>
      <c r="R871" s="26"/>
      <c r="S871" s="26"/>
      <c r="T871" s="26"/>
      <c r="U871" s="26"/>
      <c r="V871" s="26"/>
    </row>
    <row r="872" spans="1:24" hidden="true">
      <c r="A872" s="21" t="s">
        <v>175</v>
      </c>
      <c r="B872" s="16" t="s">
        <v>176</v>
      </c>
      <c r="C872" s="17" t="s">
        <v>18</v>
      </c>
      <c r="D872" s="22">
        <v>0</v>
      </c>
      <c r="E872" s="17" t="s">
        <v>18</v>
      </c>
      <c r="F872" s="22">
        <v>0</v>
      </c>
      <c r="G872" s="17" t="s">
        <v>18</v>
      </c>
      <c r="H872" s="22">
        <f>J872-F872</f>
        <v>0</v>
      </c>
      <c r="I872" s="17" t="s">
        <v>18</v>
      </c>
      <c r="J872" s="24">
        <v>0</v>
      </c>
      <c r="K872" s="17" t="s">
        <v>18</v>
      </c>
      <c r="L872" s="25">
        <v>0</v>
      </c>
      <c r="M872" s="26"/>
      <c r="N872" s="26"/>
      <c r="O872" s="26"/>
      <c r="P872" s="26"/>
      <c r="Q872" s="26"/>
      <c r="R872" s="26"/>
      <c r="S872" s="26"/>
      <c r="T872" s="26"/>
      <c r="U872" s="26"/>
      <c r="V872" s="26"/>
    </row>
    <row r="873" spans="1:24" hidden="true">
      <c r="A873" s="21" t="s">
        <v>177</v>
      </c>
      <c r="B873" s="16" t="s">
        <v>178</v>
      </c>
      <c r="C873" s="17"/>
      <c r="D873" s="22">
        <v>0</v>
      </c>
      <c r="E873" s="17"/>
      <c r="F873" s="22">
        <v>0</v>
      </c>
      <c r="G873" s="17"/>
      <c r="H873" s="22">
        <v>0</v>
      </c>
      <c r="I873" s="17"/>
      <c r="J873" s="24">
        <v>0</v>
      </c>
      <c r="K873" s="17"/>
      <c r="L873" s="25">
        <v>0</v>
      </c>
      <c r="M873" s="26"/>
      <c r="N873" s="26"/>
      <c r="O873" s="26"/>
      <c r="P873" s="26"/>
      <c r="Q873" s="26"/>
      <c r="R873" s="26"/>
      <c r="S873" s="26"/>
      <c r="T873" s="26"/>
      <c r="U873" s="26"/>
      <c r="V873" s="26"/>
    </row>
    <row r="874" spans="1:24" customHeight="1" ht="15">
      <c r="A874" s="21" t="s">
        <v>96</v>
      </c>
      <c r="B874" s="16" t="s">
        <v>97</v>
      </c>
      <c r="C874" s="17"/>
      <c r="D874" s="91">
        <v>220000</v>
      </c>
      <c r="E874" s="17"/>
      <c r="F874" s="91">
        <v>57500</v>
      </c>
      <c r="G874" s="17"/>
      <c r="H874" s="22">
        <f>J874-F874</f>
        <v>442500</v>
      </c>
      <c r="I874" s="17"/>
      <c r="J874" s="148">
        <v>500000</v>
      </c>
      <c r="K874" s="17"/>
      <c r="L874" s="92">
        <v>500000</v>
      </c>
      <c r="M874" s="26"/>
      <c r="N874" s="26"/>
      <c r="O874" s="26"/>
      <c r="P874" s="26"/>
      <c r="Q874" s="26"/>
      <c r="R874" s="26"/>
      <c r="S874" s="26"/>
      <c r="T874" s="26"/>
      <c r="U874" s="26"/>
      <c r="V874" s="26"/>
    </row>
    <row r="875" spans="1:24" customHeight="1" ht="15" hidden="true">
      <c r="A875" s="21" t="s">
        <v>119</v>
      </c>
      <c r="B875" s="16" t="s">
        <v>120</v>
      </c>
      <c r="C875" s="17"/>
      <c r="D875" s="91">
        <v>0</v>
      </c>
      <c r="E875" s="17"/>
      <c r="F875" s="91">
        <v>0</v>
      </c>
      <c r="G875" s="17"/>
      <c r="H875" s="91">
        <f>J875-F875</f>
        <v>0</v>
      </c>
      <c r="I875" s="17"/>
      <c r="J875" s="148">
        <v>0</v>
      </c>
      <c r="K875" s="17"/>
      <c r="L875" s="92">
        <v>0</v>
      </c>
      <c r="M875" s="26"/>
      <c r="N875" s="26"/>
      <c r="O875" s="26"/>
      <c r="P875" s="26"/>
      <c r="Q875" s="26"/>
      <c r="R875" s="26"/>
      <c r="S875" s="26"/>
      <c r="T875" s="26"/>
      <c r="U875" s="26"/>
      <c r="V875" s="26"/>
    </row>
    <row r="876" spans="1:24" customHeight="1" ht="15">
      <c r="A876" s="27" t="s">
        <v>98</v>
      </c>
      <c r="B876" s="16"/>
      <c r="C876" s="56" t="s">
        <v>18</v>
      </c>
      <c r="D876" s="150">
        <f>SUM(D872:D875)</f>
        <v>220000</v>
      </c>
      <c r="E876" s="56" t="s">
        <v>18</v>
      </c>
      <c r="F876" s="150">
        <f>SUM(F872:F875)</f>
        <v>57500</v>
      </c>
      <c r="G876" s="56" t="s">
        <v>18</v>
      </c>
      <c r="H876" s="150">
        <f>SUM(H872:H875)</f>
        <v>442500</v>
      </c>
      <c r="I876" s="56" t="s">
        <v>18</v>
      </c>
      <c r="J876" s="150">
        <f>SUM(J872:J875)</f>
        <v>500000</v>
      </c>
      <c r="K876" s="56" t="s">
        <v>18</v>
      </c>
      <c r="L876" s="78">
        <f>SUM(L872:L875)</f>
        <v>500000</v>
      </c>
      <c r="M876" s="50"/>
      <c r="N876" s="50"/>
      <c r="O876" s="50"/>
      <c r="P876" s="50"/>
      <c r="Q876" s="50"/>
      <c r="R876" s="50"/>
      <c r="S876" s="50"/>
      <c r="T876" s="50"/>
      <c r="U876" s="50"/>
      <c r="V876" s="50"/>
    </row>
    <row r="877" spans="1:24" customHeight="1" ht="15">
      <c r="A877" s="79" t="s">
        <v>99</v>
      </c>
      <c r="B877" s="80"/>
      <c r="C877" s="81" t="s">
        <v>18</v>
      </c>
      <c r="D877" s="82">
        <f>D848+D870+D876</f>
        <v>11069449.98</v>
      </c>
      <c r="E877" s="83" t="s">
        <v>18</v>
      </c>
      <c r="F877" s="82">
        <f>F848+F870+F876</f>
        <v>5072867.46</v>
      </c>
      <c r="G877" s="83" t="s">
        <v>18</v>
      </c>
      <c r="H877" s="82">
        <f>H848+H870+H876</f>
        <v>7676865.54</v>
      </c>
      <c r="I877" s="83" t="s">
        <v>18</v>
      </c>
      <c r="J877" s="82">
        <f>J848+J870+J876</f>
        <v>13041446</v>
      </c>
      <c r="K877" s="83" t="s">
        <v>18</v>
      </c>
      <c r="L877" s="84">
        <f>L848+L870+L876</f>
        <v>12670899</v>
      </c>
      <c r="M877" s="50"/>
      <c r="N877" s="50"/>
      <c r="O877" s="50"/>
      <c r="P877" s="50"/>
      <c r="Q877" s="50"/>
      <c r="R877" s="50"/>
      <c r="S877" s="50"/>
      <c r="T877" s="50"/>
      <c r="U877" s="50"/>
      <c r="V877" s="50"/>
    </row>
    <row r="878" spans="1:24" customHeight="1" ht="15">
      <c r="A878" t="s">
        <v>100</v>
      </c>
      <c r="B878" t="s">
        <v>101</v>
      </c>
      <c r="G878" t="s">
        <v>102</v>
      </c>
    </row>
    <row r="880" spans="1:24">
      <c r="A880" s="200" t="s">
        <v>179</v>
      </c>
      <c r="D880" s="200" t="s">
        <v>112</v>
      </c>
      <c r="J880" s="200" t="s">
        <v>112</v>
      </c>
    </row>
    <row r="881" spans="1:24">
      <c r="A881" s="4" t="s">
        <v>180</v>
      </c>
      <c r="B881" s="231" t="s">
        <v>107</v>
      </c>
      <c r="C881" s="231"/>
      <c r="D881" s="231"/>
      <c r="E881" s="231"/>
      <c r="F881" s="231"/>
      <c r="H881" s="231" t="s">
        <v>106</v>
      </c>
      <c r="I881" s="231"/>
      <c r="J881" s="231"/>
      <c r="K881" s="231"/>
      <c r="L881" s="231"/>
      <c r="M881" s="4"/>
      <c r="N881" s="4"/>
      <c r="O881" s="4"/>
      <c r="P881" s="66"/>
      <c r="Q881" s="66"/>
      <c r="R881" s="66"/>
      <c r="S881" s="66"/>
      <c r="T881" s="66"/>
      <c r="U881" s="66"/>
      <c r="V881" s="66"/>
    </row>
    <row r="882" spans="1:24">
      <c r="A882" s="158" t="s">
        <v>181</v>
      </c>
      <c r="B882" s="232" t="s">
        <v>109</v>
      </c>
      <c r="C882" s="232"/>
      <c r="D882" s="232"/>
      <c r="E882" s="232"/>
      <c r="F882" s="232"/>
      <c r="H882" s="232" t="s">
        <v>108</v>
      </c>
      <c r="I882" s="232"/>
      <c r="J882" s="232"/>
      <c r="K882" s="232"/>
      <c r="L882" s="232"/>
      <c r="M882" s="158"/>
      <c r="N882" s="158"/>
      <c r="O882" s="158"/>
      <c r="P882" s="68"/>
      <c r="Q882" s="68"/>
      <c r="R882" s="68"/>
      <c r="S882" s="68"/>
      <c r="T882" s="68"/>
      <c r="U882" s="68"/>
      <c r="V882" s="68"/>
    </row>
    <row r="883" spans="1:24">
      <c r="A883" s="68"/>
      <c r="B883" s="68"/>
      <c r="C883" s="68"/>
      <c r="D883" s="68"/>
      <c r="E883" s="68"/>
      <c r="F883" s="68"/>
      <c r="G883" s="17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</row>
    <row r="884" spans="1:24">
      <c r="A884" s="68"/>
      <c r="B884" s="68"/>
      <c r="C884" s="68"/>
      <c r="D884" s="68"/>
      <c r="E884" s="68"/>
      <c r="F884" s="68"/>
      <c r="G884" s="17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</row>
    <row r="885" spans="1:24">
      <c r="A885" s="68"/>
      <c r="B885" s="68"/>
      <c r="C885" s="68"/>
      <c r="D885" s="68"/>
      <c r="E885" s="68"/>
      <c r="F885" s="68"/>
      <c r="G885" s="17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</row>
    <row r="886" spans="1:24">
      <c r="A886" s="235" t="s">
        <v>0</v>
      </c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69"/>
      <c r="N886" s="69"/>
      <c r="O886" s="69"/>
      <c r="P886" s="69"/>
      <c r="Q886" s="69"/>
      <c r="R886" s="69"/>
      <c r="S886" s="69"/>
      <c r="T886" s="69"/>
      <c r="U886" s="69"/>
      <c r="V886" s="69"/>
    </row>
    <row r="888" spans="1:24" customHeight="1" ht="15.6">
      <c r="A888" s="236" t="s">
        <v>1</v>
      </c>
      <c r="B888" s="236"/>
      <c r="C888" s="236"/>
      <c r="D888" s="236"/>
      <c r="E888" s="236"/>
      <c r="F888" s="236"/>
      <c r="G888" s="236"/>
      <c r="H888" s="236"/>
      <c r="I888" s="236"/>
      <c r="J888" s="236"/>
      <c r="K888" s="236"/>
      <c r="L888" s="236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4">
      <c r="A889" s="231" t="s">
        <v>2</v>
      </c>
      <c r="B889" s="231"/>
      <c r="C889" s="231"/>
      <c r="D889" s="231"/>
      <c r="E889" s="231"/>
      <c r="F889" s="231"/>
      <c r="G889" s="231"/>
      <c r="H889" s="231"/>
      <c r="I889" s="231"/>
      <c r="J889" s="231"/>
      <c r="K889" s="231"/>
      <c r="L889" s="231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1" spans="1:24">
      <c r="A891" s="5" t="s">
        <v>182</v>
      </c>
    </row>
    <row r="892" spans="1:24" customHeight="1" ht="15"/>
    <row r="893" spans="1:24">
      <c r="A893" s="7"/>
      <c r="B893" s="8"/>
      <c r="C893" s="203" t="s">
        <v>4</v>
      </c>
      <c r="D893" s="204"/>
      <c r="E893" s="205" t="s">
        <v>5</v>
      </c>
      <c r="F893" s="206"/>
      <c r="G893" s="206"/>
      <c r="H893" s="206"/>
      <c r="I893" s="206"/>
      <c r="J893" s="207"/>
      <c r="K893" s="203" t="s">
        <v>6</v>
      </c>
      <c r="L893" s="22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4">
      <c r="A894" s="9" t="s">
        <v>7</v>
      </c>
      <c r="B894" s="10" t="s">
        <v>8</v>
      </c>
      <c r="C894" s="210">
        <v>2024</v>
      </c>
      <c r="D894" s="211"/>
      <c r="E894" s="212" t="s">
        <v>9</v>
      </c>
      <c r="F894" s="213"/>
      <c r="G894" s="212" t="s">
        <v>10</v>
      </c>
      <c r="H894" s="213"/>
      <c r="I894" s="214" t="s">
        <v>11</v>
      </c>
      <c r="J894" s="215"/>
      <c r="K894" s="210">
        <v>2026</v>
      </c>
      <c r="L894" s="229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4" customHeight="1" ht="15">
      <c r="A895" s="13"/>
      <c r="B895" s="14"/>
      <c r="C895" s="220" t="s">
        <v>12</v>
      </c>
      <c r="D895" s="221"/>
      <c r="E895" s="220" t="s">
        <v>12</v>
      </c>
      <c r="F895" s="221"/>
      <c r="G895" s="220" t="s">
        <v>13</v>
      </c>
      <c r="H895" s="221"/>
      <c r="I895" s="216"/>
      <c r="J895" s="217"/>
      <c r="K895" s="220" t="s">
        <v>14</v>
      </c>
      <c r="L895" s="230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4">
      <c r="A896" s="15" t="s">
        <v>15</v>
      </c>
      <c r="B896" s="16"/>
      <c r="C896" s="17"/>
      <c r="D896" s="18"/>
      <c r="E896" s="17"/>
      <c r="F896" s="18"/>
      <c r="G896" s="17"/>
      <c r="H896" s="18"/>
      <c r="I896" s="17"/>
      <c r="J896" s="18"/>
      <c r="K896" s="17"/>
      <c r="L896" s="19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spans="1:24">
      <c r="A897" s="21" t="s">
        <v>16</v>
      </c>
      <c r="B897" s="16" t="s">
        <v>17</v>
      </c>
      <c r="C897" s="17" t="s">
        <v>18</v>
      </c>
      <c r="D897" s="97">
        <v>1556852.13</v>
      </c>
      <c r="E897" s="17" t="s">
        <v>18</v>
      </c>
      <c r="F897" s="97">
        <v>934094.19</v>
      </c>
      <c r="G897" s="17" t="s">
        <v>18</v>
      </c>
      <c r="H897" s="97">
        <f>J897-F897</f>
        <v>964541.81</v>
      </c>
      <c r="I897" s="17" t="s">
        <v>18</v>
      </c>
      <c r="J897" s="97">
        <v>1898636</v>
      </c>
      <c r="K897" s="17" t="s">
        <v>18</v>
      </c>
      <c r="L897" s="98">
        <v>2162433</v>
      </c>
      <c r="M897" s="87"/>
      <c r="N897" s="87"/>
      <c r="O897" s="87"/>
      <c r="P897" s="87"/>
      <c r="Q897" s="87"/>
      <c r="R897" s="87"/>
      <c r="S897" s="87"/>
      <c r="T897" s="87"/>
      <c r="U897" s="87"/>
      <c r="V897" s="87"/>
    </row>
    <row r="898" spans="1:24">
      <c r="A898" s="27" t="s">
        <v>19</v>
      </c>
      <c r="B898" s="16"/>
      <c r="C898" s="17"/>
      <c r="D898" s="99"/>
      <c r="E898" s="17"/>
      <c r="F898" s="99"/>
      <c r="G898" s="17"/>
      <c r="H898" s="99"/>
      <c r="I898" s="17"/>
      <c r="J898" s="99"/>
      <c r="K898" s="17"/>
      <c r="L898" s="100"/>
      <c r="M898" s="87"/>
      <c r="N898" s="87"/>
      <c r="O898" s="87"/>
      <c r="P898" s="87"/>
      <c r="Q898" s="87"/>
      <c r="R898" s="87"/>
      <c r="S898" s="87"/>
      <c r="T898" s="87"/>
      <c r="U898" s="87"/>
      <c r="V898" s="87"/>
    </row>
    <row r="899" spans="1:24">
      <c r="A899" s="21" t="s">
        <v>20</v>
      </c>
      <c r="B899" s="16" t="s">
        <v>21</v>
      </c>
      <c r="C899" s="17"/>
      <c r="D899" s="99">
        <v>90064.52</v>
      </c>
      <c r="E899" s="17"/>
      <c r="F899" s="99">
        <v>60000</v>
      </c>
      <c r="G899" s="17"/>
      <c r="H899" s="97">
        <f>J899-F899</f>
        <v>60000</v>
      </c>
      <c r="I899" s="17"/>
      <c r="J899" s="99">
        <v>120000</v>
      </c>
      <c r="K899" s="17"/>
      <c r="L899" s="100">
        <v>120000</v>
      </c>
      <c r="M899" s="87"/>
      <c r="N899" s="87"/>
      <c r="O899" s="87"/>
      <c r="P899" s="87"/>
      <c r="Q899" s="87"/>
      <c r="R899" s="87"/>
      <c r="S899" s="87"/>
      <c r="T899" s="87"/>
      <c r="U899" s="87"/>
      <c r="V899" s="87"/>
    </row>
    <row r="900" spans="1:24">
      <c r="A900" s="21" t="s">
        <v>22</v>
      </c>
      <c r="B900" s="16" t="s">
        <v>23</v>
      </c>
      <c r="C900" s="17"/>
      <c r="D900" s="101">
        <v>81600</v>
      </c>
      <c r="E900" s="17"/>
      <c r="F900" s="101">
        <v>40800</v>
      </c>
      <c r="G900" s="17"/>
      <c r="H900" s="97">
        <f>J900-F900</f>
        <v>40800</v>
      </c>
      <c r="I900" s="17"/>
      <c r="J900" s="101">
        <v>81600</v>
      </c>
      <c r="K900" s="17"/>
      <c r="L900" s="102">
        <v>81600</v>
      </c>
      <c r="M900" s="87"/>
      <c r="N900" s="87"/>
      <c r="O900" s="87"/>
      <c r="P900" s="87"/>
      <c r="Q900" s="87"/>
      <c r="R900" s="87"/>
      <c r="S900" s="87"/>
      <c r="T900" s="87"/>
      <c r="U900" s="87"/>
      <c r="V900" s="87"/>
    </row>
    <row r="901" spans="1:24">
      <c r="A901" s="21" t="s">
        <v>24</v>
      </c>
      <c r="B901" s="16" t="s">
        <v>25</v>
      </c>
      <c r="C901" s="17"/>
      <c r="D901" s="101">
        <v>81600</v>
      </c>
      <c r="E901" s="17"/>
      <c r="F901" s="101">
        <v>40800</v>
      </c>
      <c r="G901" s="17"/>
      <c r="H901" s="97">
        <f>J901-F901</f>
        <v>40800</v>
      </c>
      <c r="I901" s="17"/>
      <c r="J901" s="101">
        <v>81600</v>
      </c>
      <c r="K901" s="17"/>
      <c r="L901" s="102">
        <v>81600</v>
      </c>
      <c r="M901" s="87"/>
      <c r="N901" s="87"/>
      <c r="O901" s="87"/>
      <c r="P901" s="87"/>
      <c r="Q901" s="87"/>
      <c r="R901" s="87"/>
      <c r="S901" s="87"/>
      <c r="T901" s="87"/>
      <c r="U901" s="87"/>
      <c r="V901" s="87"/>
    </row>
    <row r="902" spans="1:24">
      <c r="A902" s="21" t="s">
        <v>26</v>
      </c>
      <c r="B902" s="16" t="s">
        <v>27</v>
      </c>
      <c r="C902" s="17"/>
      <c r="D902" s="101">
        <v>21000</v>
      </c>
      <c r="E902" s="17"/>
      <c r="F902" s="101">
        <v>35000</v>
      </c>
      <c r="G902" s="17"/>
      <c r="H902" s="97">
        <f>J902-F902</f>
        <v>0</v>
      </c>
      <c r="I902" s="17"/>
      <c r="J902" s="101">
        <v>35000</v>
      </c>
      <c r="K902" s="17"/>
      <c r="L902" s="102">
        <v>35000</v>
      </c>
      <c r="M902" s="87"/>
      <c r="N902" s="87"/>
      <c r="O902" s="87"/>
      <c r="P902" s="87"/>
      <c r="Q902" s="87"/>
      <c r="R902" s="87"/>
      <c r="S902" s="87"/>
      <c r="T902" s="87"/>
      <c r="U902" s="87"/>
      <c r="V902" s="87"/>
    </row>
    <row r="903" spans="1:24">
      <c r="A903" s="21" t="s">
        <v>162</v>
      </c>
      <c r="B903" s="16" t="s">
        <v>163</v>
      </c>
      <c r="C903" s="17"/>
      <c r="D903" s="101">
        <v>12000</v>
      </c>
      <c r="E903" s="17"/>
      <c r="F903" s="101">
        <v>6000</v>
      </c>
      <c r="G903" s="17"/>
      <c r="H903" s="97">
        <f>J903-F903</f>
        <v>18000</v>
      </c>
      <c r="I903" s="17"/>
      <c r="J903" s="101">
        <v>24000</v>
      </c>
      <c r="K903" s="17"/>
      <c r="L903" s="102">
        <v>24000</v>
      </c>
      <c r="M903" s="87"/>
      <c r="N903" s="87"/>
      <c r="O903" s="87"/>
      <c r="P903" s="87"/>
      <c r="Q903" s="87"/>
      <c r="R903" s="87"/>
      <c r="S903" s="87"/>
      <c r="T903" s="87"/>
      <c r="U903" s="87"/>
      <c r="V903" s="87"/>
    </row>
    <row r="904" spans="1:24">
      <c r="A904" s="21" t="s">
        <v>28</v>
      </c>
      <c r="B904" s="16" t="s">
        <v>29</v>
      </c>
      <c r="C904" s="17"/>
      <c r="D904" s="101">
        <v>20000</v>
      </c>
      <c r="E904" s="17"/>
      <c r="F904" s="101">
        <v>0</v>
      </c>
      <c r="G904" s="17"/>
      <c r="H904" s="97">
        <f>J904-F904</f>
        <v>25000</v>
      </c>
      <c r="I904" s="17"/>
      <c r="J904" s="101">
        <v>25000</v>
      </c>
      <c r="K904" s="17"/>
      <c r="L904" s="102">
        <v>0</v>
      </c>
      <c r="M904" s="87"/>
      <c r="N904" s="87"/>
      <c r="O904" s="87"/>
      <c r="P904" s="87"/>
      <c r="Q904" s="87"/>
      <c r="R904" s="87"/>
      <c r="S904" s="87"/>
      <c r="T904" s="87"/>
      <c r="U904" s="87"/>
      <c r="V904" s="87"/>
    </row>
    <row r="905" spans="1:24">
      <c r="A905" s="21" t="s">
        <v>30</v>
      </c>
      <c r="B905" s="16" t="s">
        <v>31</v>
      </c>
      <c r="C905" s="17"/>
      <c r="D905" s="101">
        <v>76000</v>
      </c>
      <c r="E905" s="17"/>
      <c r="F905" s="101">
        <v>0</v>
      </c>
      <c r="G905" s="17"/>
      <c r="H905" s="97">
        <f>J905-F905</f>
        <v>100000</v>
      </c>
      <c r="I905" s="17"/>
      <c r="J905" s="101">
        <v>100000</v>
      </c>
      <c r="K905" s="17"/>
      <c r="L905" s="102">
        <v>0</v>
      </c>
      <c r="M905" s="87"/>
      <c r="N905" s="87"/>
      <c r="O905" s="87"/>
      <c r="P905" s="87"/>
      <c r="Q905" s="87"/>
      <c r="R905" s="87"/>
      <c r="S905" s="87"/>
      <c r="T905" s="87"/>
      <c r="U905" s="87"/>
      <c r="V905" s="87"/>
    </row>
    <row r="906" spans="1:24">
      <c r="A906" s="21" t="s">
        <v>166</v>
      </c>
      <c r="B906" s="16" t="s">
        <v>167</v>
      </c>
      <c r="C906" s="17"/>
      <c r="D906" s="101">
        <v>50608</v>
      </c>
      <c r="E906" s="17"/>
      <c r="F906" s="101">
        <v>29771.5</v>
      </c>
      <c r="G906" s="17"/>
      <c r="H906" s="97">
        <f>J906-F906</f>
        <v>91222.5</v>
      </c>
      <c r="I906" s="17"/>
      <c r="J906" s="101">
        <v>120994</v>
      </c>
      <c r="K906" s="17"/>
      <c r="L906" s="102">
        <v>137610</v>
      </c>
      <c r="M906" s="87"/>
      <c r="N906" s="87"/>
      <c r="O906" s="87"/>
      <c r="P906" s="87"/>
      <c r="Q906" s="87"/>
      <c r="R906" s="87"/>
      <c r="S906" s="87"/>
      <c r="T906" s="87"/>
      <c r="U906" s="87"/>
      <c r="V906" s="87"/>
    </row>
    <row r="907" spans="1:24">
      <c r="A907" s="21" t="s">
        <v>32</v>
      </c>
      <c r="B907" s="16" t="s">
        <v>33</v>
      </c>
      <c r="C907" s="17"/>
      <c r="D907" s="101">
        <v>120926</v>
      </c>
      <c r="E907" s="17"/>
      <c r="F907" s="101">
        <v>0</v>
      </c>
      <c r="G907" s="17"/>
      <c r="H907" s="97">
        <f>J907-F907</f>
        <v>163083</v>
      </c>
      <c r="I907" s="17"/>
      <c r="J907" s="101">
        <v>163083</v>
      </c>
      <c r="K907" s="17"/>
      <c r="L907" s="102">
        <v>214073</v>
      </c>
      <c r="M907" s="87"/>
      <c r="N907" s="87"/>
      <c r="O907" s="87"/>
      <c r="P907" s="87"/>
      <c r="Q907" s="87"/>
      <c r="R907" s="87"/>
      <c r="S907" s="87"/>
      <c r="T907" s="87"/>
      <c r="U907" s="87"/>
      <c r="V907" s="87"/>
    </row>
    <row r="908" spans="1:24">
      <c r="A908" s="21" t="s">
        <v>34</v>
      </c>
      <c r="B908" s="16" t="s">
        <v>35</v>
      </c>
      <c r="C908" s="17"/>
      <c r="D908" s="101">
        <v>18000</v>
      </c>
      <c r="E908" s="17"/>
      <c r="F908" s="101">
        <v>0</v>
      </c>
      <c r="G908" s="17"/>
      <c r="H908" s="97">
        <f>J908-F908</f>
        <v>25000</v>
      </c>
      <c r="I908" s="17"/>
      <c r="J908" s="101">
        <v>25000</v>
      </c>
      <c r="K908" s="17"/>
      <c r="L908" s="102">
        <v>25000</v>
      </c>
      <c r="M908" s="87"/>
      <c r="N908" s="87"/>
      <c r="O908" s="87"/>
      <c r="P908" s="87"/>
      <c r="Q908" s="87"/>
      <c r="R908" s="87"/>
      <c r="S908" s="87"/>
      <c r="T908" s="87"/>
      <c r="U908" s="87"/>
      <c r="V908" s="87"/>
    </row>
    <row r="909" spans="1:24">
      <c r="A909" s="21" t="s">
        <v>36</v>
      </c>
      <c r="B909" s="16" t="s">
        <v>37</v>
      </c>
      <c r="C909" s="17"/>
      <c r="D909" s="101">
        <v>115262</v>
      </c>
      <c r="E909" s="17"/>
      <c r="F909" s="101">
        <v>155788</v>
      </c>
      <c r="G909" s="17"/>
      <c r="H909" s="97">
        <f>J909-F909</f>
        <v>0</v>
      </c>
      <c r="I909" s="17"/>
      <c r="J909" s="101">
        <v>155788</v>
      </c>
      <c r="K909" s="17"/>
      <c r="L909" s="102">
        <v>163310</v>
      </c>
      <c r="M909" s="87"/>
      <c r="N909" s="87"/>
      <c r="O909" s="87"/>
      <c r="P909" s="87"/>
      <c r="Q909" s="87"/>
      <c r="R909" s="87"/>
      <c r="S909" s="87"/>
      <c r="T909" s="87"/>
      <c r="U909" s="87"/>
      <c r="V909" s="87"/>
    </row>
    <row r="910" spans="1:24">
      <c r="A910" s="27" t="s">
        <v>38</v>
      </c>
      <c r="B910" s="16"/>
      <c r="C910" s="17"/>
      <c r="D910" s="99"/>
      <c r="E910" s="17"/>
      <c r="F910" s="99"/>
      <c r="G910" s="17"/>
      <c r="H910" s="99"/>
      <c r="I910" s="17"/>
      <c r="J910" s="99"/>
      <c r="K910" s="17"/>
      <c r="L910" s="100"/>
      <c r="M910" s="87"/>
      <c r="N910" s="87"/>
      <c r="O910" s="87"/>
      <c r="P910" s="87"/>
      <c r="Q910" s="87"/>
      <c r="R910" s="87"/>
      <c r="S910" s="87"/>
      <c r="T910" s="87"/>
      <c r="U910" s="87"/>
      <c r="V910" s="87"/>
    </row>
    <row r="911" spans="1:24">
      <c r="A911" s="21" t="s">
        <v>39</v>
      </c>
      <c r="B911" s="16" t="s">
        <v>40</v>
      </c>
      <c r="C911" s="17"/>
      <c r="D911" s="99">
        <v>186822.26</v>
      </c>
      <c r="E911" s="17"/>
      <c r="F911" s="99">
        <v>112091.3</v>
      </c>
      <c r="G911" s="17"/>
      <c r="H911" s="97">
        <f>J911-F911</f>
        <v>115746.7</v>
      </c>
      <c r="I911" s="17"/>
      <c r="J911" s="99">
        <v>227838</v>
      </c>
      <c r="K911" s="17"/>
      <c r="L911" s="100">
        <v>259540</v>
      </c>
      <c r="M911" s="87"/>
      <c r="N911" s="87"/>
      <c r="O911" s="87"/>
      <c r="P911" s="87"/>
      <c r="Q911" s="87"/>
      <c r="R911" s="87"/>
      <c r="S911" s="87"/>
      <c r="T911" s="87"/>
      <c r="U911" s="87"/>
      <c r="V911" s="87"/>
    </row>
    <row r="912" spans="1:24">
      <c r="A912" s="21" t="s">
        <v>41</v>
      </c>
      <c r="B912" s="16" t="s">
        <v>42</v>
      </c>
      <c r="C912" s="17"/>
      <c r="D912" s="101">
        <v>8600</v>
      </c>
      <c r="E912" s="17"/>
      <c r="F912" s="101">
        <v>6000</v>
      </c>
      <c r="G912" s="17"/>
      <c r="H912" s="97">
        <f>J912-F912</f>
        <v>6000</v>
      </c>
      <c r="I912" s="17"/>
      <c r="J912" s="101">
        <v>12000</v>
      </c>
      <c r="K912" s="17"/>
      <c r="L912" s="102">
        <v>12000</v>
      </c>
      <c r="M912" s="87"/>
      <c r="N912" s="87"/>
      <c r="O912" s="87"/>
      <c r="P912" s="87"/>
      <c r="Q912" s="87"/>
      <c r="R912" s="87"/>
      <c r="S912" s="87"/>
      <c r="T912" s="87"/>
      <c r="U912" s="87"/>
      <c r="V912" s="87"/>
    </row>
    <row r="913" spans="1:24">
      <c r="A913" s="21" t="s">
        <v>43</v>
      </c>
      <c r="B913" s="16" t="s">
        <v>44</v>
      </c>
      <c r="C913" s="17"/>
      <c r="D913" s="101">
        <v>38921.31</v>
      </c>
      <c r="E913" s="17"/>
      <c r="F913" s="101">
        <v>23352.35</v>
      </c>
      <c r="G913" s="17"/>
      <c r="H913" s="97">
        <f>J913-F913</f>
        <v>24114.65</v>
      </c>
      <c r="I913" s="17"/>
      <c r="J913" s="101">
        <v>47467</v>
      </c>
      <c r="K913" s="17"/>
      <c r="L913" s="102">
        <v>54130</v>
      </c>
      <c r="M913" s="87"/>
      <c r="N913" s="87"/>
      <c r="O913" s="87"/>
      <c r="P913" s="87"/>
      <c r="Q913" s="87"/>
      <c r="R913" s="87"/>
      <c r="S913" s="87"/>
      <c r="T913" s="87"/>
      <c r="U913" s="87"/>
      <c r="V913" s="87"/>
    </row>
    <row r="914" spans="1:24">
      <c r="A914" s="21" t="s">
        <v>45</v>
      </c>
      <c r="B914" s="16" t="s">
        <v>46</v>
      </c>
      <c r="C914" s="17"/>
      <c r="D914" s="101">
        <v>4600</v>
      </c>
      <c r="E914" s="17"/>
      <c r="F914" s="101">
        <v>3000</v>
      </c>
      <c r="G914" s="17"/>
      <c r="H914" s="97">
        <f>J914-F914</f>
        <v>3000</v>
      </c>
      <c r="I914" s="17"/>
      <c r="J914" s="101">
        <v>6000</v>
      </c>
      <c r="K914" s="17"/>
      <c r="L914" s="102">
        <v>6000</v>
      </c>
      <c r="M914" s="87"/>
      <c r="N914" s="87"/>
      <c r="O914" s="87"/>
      <c r="P914" s="87"/>
      <c r="Q914" s="87"/>
      <c r="R914" s="87"/>
      <c r="S914" s="87"/>
      <c r="T914" s="87"/>
      <c r="U914" s="87"/>
      <c r="V914" s="87"/>
    </row>
    <row r="915" spans="1:24">
      <c r="A915" s="27" t="s">
        <v>47</v>
      </c>
      <c r="B915" s="16"/>
      <c r="C915" s="23"/>
      <c r="D915" s="99"/>
      <c r="E915" s="17"/>
      <c r="F915" s="99"/>
      <c r="G915" s="17"/>
      <c r="H915" s="99"/>
      <c r="I915" s="17"/>
      <c r="J915" s="99"/>
      <c r="K915" s="17"/>
      <c r="L915" s="100"/>
      <c r="M915" s="87"/>
      <c r="N915" s="87"/>
      <c r="O915" s="87"/>
      <c r="P915" s="87"/>
      <c r="Q915" s="87"/>
      <c r="R915" s="87"/>
      <c r="S915" s="87"/>
      <c r="T915" s="87"/>
      <c r="U915" s="87"/>
      <c r="V915" s="87"/>
    </row>
    <row r="916" spans="1:24">
      <c r="A916" s="21" t="s">
        <v>149</v>
      </c>
      <c r="B916" s="16" t="s">
        <v>49</v>
      </c>
      <c r="C916" s="17"/>
      <c r="D916" s="99">
        <v>0</v>
      </c>
      <c r="E916" s="17"/>
      <c r="F916" s="97">
        <v>0</v>
      </c>
      <c r="G916" s="17"/>
      <c r="H916" s="97">
        <f>J916-F916</f>
        <v>0</v>
      </c>
      <c r="I916" s="17"/>
      <c r="J916" s="97">
        <v>0</v>
      </c>
      <c r="K916" s="17"/>
      <c r="L916" s="98">
        <v>0</v>
      </c>
      <c r="M916" s="87"/>
      <c r="N916" s="87"/>
      <c r="O916" s="87"/>
      <c r="P916" s="87"/>
      <c r="Q916" s="87"/>
      <c r="R916" s="87"/>
      <c r="S916" s="87"/>
      <c r="T916" s="87"/>
      <c r="U916" s="87"/>
      <c r="V916" s="87"/>
    </row>
    <row r="917" spans="1:24" customHeight="1" ht="15">
      <c r="A917" s="21" t="s">
        <v>150</v>
      </c>
      <c r="B917" s="16" t="s">
        <v>51</v>
      </c>
      <c r="C917" s="17"/>
      <c r="D917" s="103">
        <v>0</v>
      </c>
      <c r="E917" s="17"/>
      <c r="F917" s="103">
        <v>35000</v>
      </c>
      <c r="G917" s="17"/>
      <c r="H917" s="103">
        <f>J917-F917</f>
        <v>0</v>
      </c>
      <c r="I917" s="17"/>
      <c r="J917" s="103">
        <v>35000</v>
      </c>
      <c r="K917" s="17"/>
      <c r="L917" s="104">
        <v>35000</v>
      </c>
      <c r="M917" s="87"/>
      <c r="N917" s="87"/>
      <c r="O917" s="87"/>
      <c r="P917" s="87"/>
      <c r="Q917" s="87"/>
      <c r="R917" s="87"/>
      <c r="S917" s="87"/>
      <c r="T917" s="87"/>
      <c r="U917" s="87"/>
      <c r="V917" s="87"/>
    </row>
    <row r="918" spans="1:24" customHeight="1" ht="15">
      <c r="A918" s="44" t="s">
        <v>52</v>
      </c>
      <c r="B918" s="45"/>
      <c r="C918" s="46" t="s">
        <v>18</v>
      </c>
      <c r="D918" s="105">
        <f>SUM(D897:D917)</f>
        <v>2482856.22</v>
      </c>
      <c r="E918" s="48" t="s">
        <v>18</v>
      </c>
      <c r="F918" s="105">
        <f>SUM(F897:F917)</f>
        <v>1481697.34</v>
      </c>
      <c r="G918" s="48" t="s">
        <v>18</v>
      </c>
      <c r="H918" s="105">
        <f>SUM(H897:H917)</f>
        <v>1677308.66</v>
      </c>
      <c r="I918" s="48" t="s">
        <v>18</v>
      </c>
      <c r="J918" s="105">
        <f>SUM(J897:J917)</f>
        <v>3159006</v>
      </c>
      <c r="K918" s="48" t="s">
        <v>18</v>
      </c>
      <c r="L918" s="106">
        <f>SUM(L897:L917)</f>
        <v>3411296</v>
      </c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</row>
    <row r="919" spans="1:24">
      <c r="H919" s="51"/>
    </row>
    <row r="920" spans="1:24">
      <c r="A920" s="235" t="s">
        <v>0</v>
      </c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69"/>
      <c r="N920" s="69"/>
      <c r="O920" s="69"/>
      <c r="P920" s="69"/>
      <c r="Q920" s="69"/>
      <c r="R920" s="69"/>
      <c r="S920" s="69"/>
      <c r="T920" s="69"/>
      <c r="U920" s="69"/>
      <c r="V920" s="69"/>
    </row>
    <row r="921" spans="1:24" customHeight="1" ht="15.6">
      <c r="A921" s="236" t="s">
        <v>1</v>
      </c>
      <c r="B921" s="236"/>
      <c r="C921" s="236"/>
      <c r="D921" s="236"/>
      <c r="E921" s="236"/>
      <c r="F921" s="236"/>
      <c r="G921" s="236"/>
      <c r="H921" s="236"/>
      <c r="I921" s="236"/>
      <c r="J921" s="236"/>
      <c r="K921" s="236"/>
      <c r="L921" s="236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4">
      <c r="A922" s="231" t="s">
        <v>2</v>
      </c>
      <c r="B922" s="231"/>
      <c r="C922" s="231"/>
      <c r="D922" s="231"/>
      <c r="E922" s="231"/>
      <c r="F922" s="231"/>
      <c r="G922" s="231"/>
      <c r="H922" s="231"/>
      <c r="I922" s="231"/>
      <c r="J922" s="231"/>
      <c r="K922" s="231"/>
      <c r="L922" s="231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4" spans="1:24">
      <c r="A924" s="5" t="s">
        <v>182</v>
      </c>
    </row>
    <row r="925" spans="1:24" customHeight="1" ht="15"/>
    <row r="926" spans="1:24">
      <c r="A926" s="7"/>
      <c r="B926" s="8"/>
      <c r="C926" s="203" t="s">
        <v>4</v>
      </c>
      <c r="D926" s="204"/>
      <c r="E926" s="205" t="s">
        <v>5</v>
      </c>
      <c r="F926" s="206"/>
      <c r="G926" s="206"/>
      <c r="H926" s="206"/>
      <c r="I926" s="206"/>
      <c r="J926" s="207"/>
      <c r="K926" s="203" t="s">
        <v>6</v>
      </c>
      <c r="L926" s="22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4">
      <c r="A927" s="9" t="s">
        <v>7</v>
      </c>
      <c r="B927" s="10" t="s">
        <v>8</v>
      </c>
      <c r="C927" s="210">
        <v>2024</v>
      </c>
      <c r="D927" s="211"/>
      <c r="E927" s="212" t="s">
        <v>9</v>
      </c>
      <c r="F927" s="213"/>
      <c r="G927" s="212" t="s">
        <v>10</v>
      </c>
      <c r="H927" s="213"/>
      <c r="I927" s="214" t="s">
        <v>11</v>
      </c>
      <c r="J927" s="215"/>
      <c r="K927" s="210">
        <v>2026</v>
      </c>
      <c r="L927" s="229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4" customHeight="1" ht="15">
      <c r="A928" s="13"/>
      <c r="B928" s="14"/>
      <c r="C928" s="220" t="s">
        <v>12</v>
      </c>
      <c r="D928" s="221"/>
      <c r="E928" s="220" t="s">
        <v>12</v>
      </c>
      <c r="F928" s="221"/>
      <c r="G928" s="220" t="s">
        <v>13</v>
      </c>
      <c r="H928" s="221"/>
      <c r="I928" s="216"/>
      <c r="J928" s="217"/>
      <c r="K928" s="220" t="s">
        <v>14</v>
      </c>
      <c r="L928" s="230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4">
      <c r="A929" s="27" t="s">
        <v>53</v>
      </c>
      <c r="B929" s="52"/>
      <c r="C929" s="17"/>
      <c r="D929" s="18"/>
      <c r="E929" s="17"/>
      <c r="F929" s="18"/>
      <c r="G929" s="17"/>
      <c r="H929" s="18"/>
      <c r="I929" s="17"/>
      <c r="J929" s="18"/>
      <c r="K929" s="17"/>
      <c r="L929" s="74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spans="1:24">
      <c r="A930" s="21" t="s">
        <v>54</v>
      </c>
      <c r="B930" s="16" t="s">
        <v>55</v>
      </c>
      <c r="C930" s="17" t="s">
        <v>18</v>
      </c>
      <c r="D930" s="28">
        <v>207000</v>
      </c>
      <c r="E930" s="17" t="s">
        <v>18</v>
      </c>
      <c r="F930" s="28">
        <v>85941</v>
      </c>
      <c r="G930" s="17" t="s">
        <v>18</v>
      </c>
      <c r="H930" s="28">
        <f>J930-F930</f>
        <v>64059</v>
      </c>
      <c r="I930" s="17" t="s">
        <v>18</v>
      </c>
      <c r="J930" s="29">
        <v>150000</v>
      </c>
      <c r="K930" s="17" t="s">
        <v>18</v>
      </c>
      <c r="L930" s="30">
        <v>250000</v>
      </c>
      <c r="M930" s="26"/>
      <c r="N930" s="26"/>
      <c r="O930" s="26"/>
      <c r="P930" s="26"/>
      <c r="Q930" s="26"/>
      <c r="R930" s="26"/>
      <c r="S930" s="26"/>
      <c r="T930" s="26"/>
      <c r="U930" s="26"/>
      <c r="V930" s="26"/>
    </row>
    <row r="931" spans="1:24">
      <c r="A931" s="21" t="s">
        <v>58</v>
      </c>
      <c r="B931" s="16" t="s">
        <v>59</v>
      </c>
      <c r="C931" s="17"/>
      <c r="D931" s="91">
        <v>143341.72</v>
      </c>
      <c r="E931" s="17"/>
      <c r="F931" s="91">
        <v>27411.86</v>
      </c>
      <c r="G931" s="17"/>
      <c r="H931" s="91">
        <f>J931-F931</f>
        <v>92588.14</v>
      </c>
      <c r="I931" s="17"/>
      <c r="J931" s="108">
        <v>120000</v>
      </c>
      <c r="K931" s="17"/>
      <c r="L931" s="151">
        <v>302040</v>
      </c>
      <c r="M931" s="26"/>
      <c r="N931" s="26"/>
      <c r="O931" s="26"/>
      <c r="P931" s="26"/>
      <c r="Q931" s="26"/>
      <c r="R931" s="26"/>
      <c r="S931" s="26"/>
      <c r="T931" s="26"/>
      <c r="U931" s="26"/>
      <c r="V931" s="26"/>
    </row>
    <row r="932" spans="1:24">
      <c r="A932" s="21" t="s">
        <v>70</v>
      </c>
      <c r="B932" s="16" t="s">
        <v>71</v>
      </c>
      <c r="C932" s="17"/>
      <c r="D932" s="91">
        <v>60000</v>
      </c>
      <c r="E932" s="17"/>
      <c r="F932" s="91">
        <v>25000</v>
      </c>
      <c r="G932" s="17"/>
      <c r="H932" s="91">
        <f>J932-F932</f>
        <v>35000</v>
      </c>
      <c r="I932" s="17"/>
      <c r="J932" s="108">
        <v>60000</v>
      </c>
      <c r="K932" s="17"/>
      <c r="L932" s="151">
        <v>60000</v>
      </c>
      <c r="M932" s="26"/>
      <c r="N932" s="26"/>
      <c r="O932" s="26"/>
      <c r="P932" s="26"/>
      <c r="Q932" s="26"/>
      <c r="R932" s="26"/>
      <c r="S932" s="26"/>
      <c r="T932" s="26"/>
      <c r="U932" s="26"/>
      <c r="V932" s="26"/>
    </row>
    <row r="933" spans="1:24">
      <c r="A933" s="21" t="s">
        <v>72</v>
      </c>
      <c r="B933" s="16" t="s">
        <v>73</v>
      </c>
      <c r="C933" s="17"/>
      <c r="D933" s="91">
        <v>24268.8</v>
      </c>
      <c r="E933" s="17"/>
      <c r="F933" s="91">
        <v>15156.84</v>
      </c>
      <c r="G933" s="17"/>
      <c r="H933" s="91">
        <f>J933-F933</f>
        <v>9843.16</v>
      </c>
      <c r="I933" s="17"/>
      <c r="J933" s="108">
        <v>25000</v>
      </c>
      <c r="K933" s="17"/>
      <c r="L933" s="151">
        <v>75000</v>
      </c>
      <c r="M933" s="26"/>
      <c r="N933" s="26"/>
      <c r="O933" s="26"/>
      <c r="P933" s="26"/>
      <c r="Q933" s="26"/>
      <c r="R933" s="26"/>
      <c r="S933" s="26"/>
      <c r="T933" s="26"/>
      <c r="U933" s="26"/>
      <c r="V933" s="26"/>
    </row>
    <row r="934" spans="1:24">
      <c r="A934" s="21" t="s">
        <v>80</v>
      </c>
      <c r="B934" s="16" t="s">
        <v>81</v>
      </c>
      <c r="C934" s="17"/>
      <c r="D934" s="91">
        <v>0</v>
      </c>
      <c r="E934" s="17"/>
      <c r="F934" s="91">
        <v>0</v>
      </c>
      <c r="G934" s="17"/>
      <c r="H934" s="91">
        <f>J934-F934</f>
        <v>20000</v>
      </c>
      <c r="I934" s="17"/>
      <c r="J934" s="108">
        <v>20000</v>
      </c>
      <c r="K934" s="17"/>
      <c r="L934" s="151">
        <v>20000</v>
      </c>
      <c r="M934" s="26"/>
      <c r="N934" s="26"/>
      <c r="O934" s="26"/>
      <c r="P934" s="26"/>
      <c r="Q934" s="26"/>
      <c r="R934" s="26"/>
      <c r="S934" s="26"/>
      <c r="T934" s="26"/>
      <c r="U934" s="26"/>
      <c r="V934" s="26"/>
    </row>
    <row r="935" spans="1:24">
      <c r="A935" s="21" t="s">
        <v>92</v>
      </c>
      <c r="B935" s="16" t="s">
        <v>93</v>
      </c>
      <c r="C935" s="17"/>
      <c r="D935" s="91">
        <v>209454.13</v>
      </c>
      <c r="E935" s="17"/>
      <c r="F935" s="91">
        <v>11002</v>
      </c>
      <c r="G935" s="17"/>
      <c r="H935" s="91">
        <f>J935-F935</f>
        <v>316038</v>
      </c>
      <c r="I935" s="17"/>
      <c r="J935" s="108">
        <v>327040</v>
      </c>
      <c r="K935" s="17"/>
      <c r="L935" s="151">
        <v>0</v>
      </c>
      <c r="M935" s="26"/>
      <c r="N935" s="26"/>
      <c r="O935" s="26"/>
      <c r="P935" s="26"/>
      <c r="Q935" s="26"/>
      <c r="R935" s="26"/>
      <c r="S935" s="26"/>
      <c r="T935" s="26"/>
      <c r="U935" s="26"/>
      <c r="V935" s="26"/>
    </row>
    <row r="936" spans="1:24" customHeight="1" ht="15">
      <c r="A936" s="27" t="s">
        <v>94</v>
      </c>
      <c r="B936" s="16"/>
      <c r="C936" s="56" t="s">
        <v>18</v>
      </c>
      <c r="D936" s="47">
        <f>SUM(D930:D935)</f>
        <v>644064.65</v>
      </c>
      <c r="E936" s="56" t="s">
        <v>18</v>
      </c>
      <c r="F936" s="47">
        <f>SUM(F930:F935)</f>
        <v>164511.7</v>
      </c>
      <c r="G936" s="56" t="s">
        <v>18</v>
      </c>
      <c r="H936" s="47">
        <f>SUM(H930:H935)</f>
        <v>537528.3</v>
      </c>
      <c r="I936" s="56" t="s">
        <v>18</v>
      </c>
      <c r="J936" s="47">
        <f>SUM(J930:J935)</f>
        <v>702040</v>
      </c>
      <c r="K936" s="56" t="s">
        <v>18</v>
      </c>
      <c r="L936" s="49">
        <f>SUM(L930:L935)</f>
        <v>707040</v>
      </c>
      <c r="M936" s="50"/>
      <c r="N936" s="50"/>
      <c r="O936" s="50"/>
      <c r="P936" s="50"/>
      <c r="Q936" s="50"/>
      <c r="R936" s="50"/>
      <c r="S936" s="50"/>
      <c r="T936" s="109"/>
      <c r="U936" s="50"/>
      <c r="V936" s="50"/>
    </row>
    <row r="937" spans="1:24">
      <c r="A937" s="27" t="s">
        <v>95</v>
      </c>
      <c r="B937" s="52"/>
      <c r="C937" s="17"/>
      <c r="D937" s="75"/>
      <c r="E937" s="17"/>
      <c r="F937" s="75"/>
      <c r="G937" s="17"/>
      <c r="H937" s="75"/>
      <c r="I937" s="17"/>
      <c r="J937" s="75"/>
      <c r="K937" s="17"/>
      <c r="L937" s="76"/>
      <c r="M937" s="26"/>
      <c r="N937" s="26"/>
      <c r="O937" s="26"/>
      <c r="P937" s="26"/>
      <c r="Q937" s="26"/>
      <c r="R937" s="26"/>
      <c r="S937" s="26"/>
      <c r="T937" s="26"/>
      <c r="U937" s="26"/>
      <c r="V937" s="26"/>
    </row>
    <row r="938" spans="1:24">
      <c r="A938" s="21" t="s">
        <v>96</v>
      </c>
      <c r="B938" s="16" t="s">
        <v>97</v>
      </c>
      <c r="C938" s="17" t="s">
        <v>18</v>
      </c>
      <c r="D938" s="22">
        <v>0</v>
      </c>
      <c r="E938" s="17" t="s">
        <v>18</v>
      </c>
      <c r="F938" s="22">
        <v>86000</v>
      </c>
      <c r="G938" s="17" t="s">
        <v>18</v>
      </c>
      <c r="H938" s="22">
        <f>J938-F938</f>
        <v>364000</v>
      </c>
      <c r="I938" s="17" t="s">
        <v>18</v>
      </c>
      <c r="J938" s="22">
        <v>450000</v>
      </c>
      <c r="K938" s="17" t="s">
        <v>18</v>
      </c>
      <c r="L938" s="25">
        <v>400000</v>
      </c>
      <c r="M938" s="26"/>
      <c r="N938" s="26"/>
      <c r="O938" s="26"/>
      <c r="P938" s="26"/>
      <c r="Q938" s="26"/>
      <c r="R938" s="26"/>
      <c r="S938" s="26"/>
      <c r="T938" s="26"/>
      <c r="U938" s="26"/>
      <c r="V938" s="26"/>
    </row>
    <row r="939" spans="1:24" customHeight="1" ht="15">
      <c r="A939" s="110" t="s">
        <v>183</v>
      </c>
      <c r="B939" s="16" t="s">
        <v>184</v>
      </c>
      <c r="C939" s="17"/>
      <c r="D939" s="28">
        <v>0</v>
      </c>
      <c r="E939" s="17"/>
      <c r="F939" s="93">
        <v>0</v>
      </c>
      <c r="G939" s="17"/>
      <c r="H939" s="22">
        <v>0</v>
      </c>
      <c r="I939" s="17"/>
      <c r="J939" s="93">
        <v>1825000</v>
      </c>
      <c r="K939" s="17"/>
      <c r="L939" s="30">
        <v>0</v>
      </c>
      <c r="M939" s="26"/>
      <c r="N939" s="26"/>
      <c r="O939" s="26"/>
      <c r="P939" s="26"/>
      <c r="Q939" s="26"/>
      <c r="R939" s="26"/>
      <c r="S939" s="26"/>
      <c r="T939" s="26"/>
      <c r="U939" s="26"/>
      <c r="V939" s="26"/>
    </row>
    <row r="940" spans="1:24" customHeight="1" ht="15">
      <c r="A940" s="27" t="s">
        <v>98</v>
      </c>
      <c r="B940" s="16"/>
      <c r="C940" s="56" t="s">
        <v>18</v>
      </c>
      <c r="D940" s="111">
        <f>SUM(D938:D939)</f>
        <v>0</v>
      </c>
      <c r="E940" s="56" t="s">
        <v>18</v>
      </c>
      <c r="F940" s="111">
        <f>SUM(F938:F939)</f>
        <v>86000</v>
      </c>
      <c r="G940" s="56" t="s">
        <v>18</v>
      </c>
      <c r="H940" s="111">
        <f>SUM(H938:H939)</f>
        <v>364000</v>
      </c>
      <c r="I940" s="56" t="s">
        <v>18</v>
      </c>
      <c r="J940" s="111">
        <f>SUM(J938:J939)</f>
        <v>2275000</v>
      </c>
      <c r="K940" s="56" t="s">
        <v>18</v>
      </c>
      <c r="L940" s="78">
        <f>SUM(L938:L939)</f>
        <v>400000</v>
      </c>
      <c r="M940" s="50"/>
      <c r="N940" s="50"/>
      <c r="O940" s="50"/>
      <c r="P940" s="50"/>
      <c r="Q940" s="50"/>
      <c r="R940" s="50"/>
      <c r="S940" s="50"/>
      <c r="T940" s="50"/>
      <c r="U940" s="50"/>
      <c r="V940" s="50"/>
    </row>
    <row r="941" spans="1:24" customHeight="1" ht="15">
      <c r="A941" s="79" t="s">
        <v>99</v>
      </c>
      <c r="B941" s="80"/>
      <c r="C941" s="81" t="s">
        <v>18</v>
      </c>
      <c r="D941" s="82">
        <f>D918+D936+D940</f>
        <v>3126920.87</v>
      </c>
      <c r="E941" s="83" t="s">
        <v>18</v>
      </c>
      <c r="F941" s="82">
        <f>F918+F936+F940</f>
        <v>1732209.04</v>
      </c>
      <c r="G941" s="83" t="s">
        <v>18</v>
      </c>
      <c r="H941" s="82">
        <f>H918+H936+H940</f>
        <v>2578836.96</v>
      </c>
      <c r="I941" s="83" t="s">
        <v>18</v>
      </c>
      <c r="J941" s="82">
        <f>J918+J936+J940</f>
        <v>6136046</v>
      </c>
      <c r="K941" s="83" t="s">
        <v>18</v>
      </c>
      <c r="L941" s="84">
        <f>L918+L936+L940</f>
        <v>4518336</v>
      </c>
      <c r="M941" s="50"/>
      <c r="N941" s="50"/>
      <c r="O941" s="50"/>
      <c r="P941" s="50"/>
      <c r="Q941" s="50"/>
      <c r="R941" s="50"/>
      <c r="S941" s="50"/>
      <c r="T941" s="50"/>
      <c r="U941" s="50"/>
      <c r="V941" s="50"/>
    </row>
    <row r="942" spans="1:24" customHeight="1" ht="15">
      <c r="A942" s="17" t="s">
        <v>100</v>
      </c>
      <c r="B942" s="17" t="s">
        <v>101</v>
      </c>
      <c r="C942" s="17"/>
      <c r="D942" s="17"/>
      <c r="E942" s="17"/>
      <c r="F942" s="17"/>
      <c r="G942" s="17" t="s">
        <v>102</v>
      </c>
      <c r="H942" s="17"/>
      <c r="P942" s="134"/>
    </row>
    <row r="943" spans="1:24">
      <c r="A943" s="200" t="s">
        <v>179</v>
      </c>
      <c r="D943" s="200" t="s">
        <v>112</v>
      </c>
      <c r="J943" s="200" t="s">
        <v>112</v>
      </c>
    </row>
    <row r="944" spans="1:24">
      <c r="A944" s="66" t="s">
        <v>185</v>
      </c>
      <c r="B944" s="247" t="s">
        <v>107</v>
      </c>
      <c r="C944" s="247"/>
      <c r="D944" s="247"/>
      <c r="E944" s="247"/>
      <c r="F944" s="247"/>
      <c r="G944" s="67"/>
      <c r="H944" s="247" t="s">
        <v>106</v>
      </c>
      <c r="I944" s="247"/>
      <c r="J944" s="247"/>
      <c r="K944" s="247"/>
      <c r="L944" s="247"/>
      <c r="M944" s="66"/>
      <c r="N944" s="66"/>
      <c r="O944" s="66"/>
      <c r="P944" s="66"/>
      <c r="Q944" s="66"/>
      <c r="R944" s="66"/>
      <c r="S944" s="66"/>
      <c r="T944" s="66"/>
      <c r="U944" s="66"/>
      <c r="V944" s="66"/>
    </row>
    <row r="945" spans="1:24">
      <c r="A945" s="68" t="s">
        <v>186</v>
      </c>
      <c r="B945" s="248" t="s">
        <v>109</v>
      </c>
      <c r="C945" s="248"/>
      <c r="D945" s="248"/>
      <c r="E945" s="248"/>
      <c r="F945" s="248"/>
      <c r="G945" s="17"/>
      <c r="H945" s="248" t="s">
        <v>108</v>
      </c>
      <c r="I945" s="248"/>
      <c r="J945" s="248"/>
      <c r="K945" s="248"/>
      <c r="L945" s="248"/>
      <c r="M945" s="68"/>
      <c r="N945" s="68"/>
      <c r="O945" s="68"/>
      <c r="P945" s="68"/>
      <c r="Q945" s="68"/>
      <c r="R945" s="68"/>
      <c r="S945" s="68"/>
      <c r="T945" s="68"/>
      <c r="U945" s="68"/>
      <c r="V945" s="68"/>
    </row>
    <row r="954" spans="1:24">
      <c r="A954" s="235" t="s">
        <v>0</v>
      </c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69"/>
      <c r="N954" s="69"/>
      <c r="O954" s="69"/>
      <c r="P954" s="69"/>
      <c r="Q954" s="69"/>
      <c r="R954" s="69"/>
      <c r="S954" s="69"/>
      <c r="T954" s="69"/>
      <c r="U954" s="69"/>
      <c r="V954" s="69"/>
    </row>
    <row r="956" spans="1:24" customHeight="1" ht="15.6">
      <c r="A956" s="236" t="s">
        <v>1</v>
      </c>
      <c r="B956" s="236"/>
      <c r="C956" s="236"/>
      <c r="D956" s="236"/>
      <c r="E956" s="236"/>
      <c r="F956" s="236"/>
      <c r="G956" s="236"/>
      <c r="H956" s="236"/>
      <c r="I956" s="236"/>
      <c r="J956" s="236"/>
      <c r="K956" s="236"/>
      <c r="L956" s="236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4">
      <c r="A957" s="231" t="s">
        <v>2</v>
      </c>
      <c r="B957" s="231"/>
      <c r="C957" s="231"/>
      <c r="D957" s="231"/>
      <c r="E957" s="231"/>
      <c r="F957" s="231"/>
      <c r="G957" s="231"/>
      <c r="H957" s="231"/>
      <c r="I957" s="231"/>
      <c r="J957" s="231"/>
      <c r="K957" s="231"/>
      <c r="L957" s="231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9" spans="1:24">
      <c r="A959" s="5" t="s">
        <v>187</v>
      </c>
    </row>
    <row r="960" spans="1:24" customHeight="1" ht="15"/>
    <row r="961" spans="1:24">
      <c r="A961" s="7"/>
      <c r="B961" s="8"/>
      <c r="C961" s="203" t="s">
        <v>4</v>
      </c>
      <c r="D961" s="204"/>
      <c r="E961" s="205" t="s">
        <v>5</v>
      </c>
      <c r="F961" s="206"/>
      <c r="G961" s="206"/>
      <c r="H961" s="206"/>
      <c r="I961" s="206"/>
      <c r="J961" s="207"/>
      <c r="K961" s="203" t="s">
        <v>6</v>
      </c>
      <c r="L961" s="22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4">
      <c r="A962" s="9" t="s">
        <v>7</v>
      </c>
      <c r="B962" s="10" t="s">
        <v>8</v>
      </c>
      <c r="C962" s="210">
        <v>2024</v>
      </c>
      <c r="D962" s="211"/>
      <c r="E962" s="212" t="s">
        <v>9</v>
      </c>
      <c r="F962" s="213"/>
      <c r="G962" s="212" t="s">
        <v>10</v>
      </c>
      <c r="H962" s="213"/>
      <c r="I962" s="214" t="s">
        <v>11</v>
      </c>
      <c r="J962" s="215"/>
      <c r="K962" s="210">
        <v>2026</v>
      </c>
      <c r="L962" s="229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4" customHeight="1" ht="15">
      <c r="A963" s="13"/>
      <c r="B963" s="14"/>
      <c r="C963" s="220" t="s">
        <v>12</v>
      </c>
      <c r="D963" s="221"/>
      <c r="E963" s="220" t="s">
        <v>12</v>
      </c>
      <c r="F963" s="221"/>
      <c r="G963" s="220" t="s">
        <v>13</v>
      </c>
      <c r="H963" s="221"/>
      <c r="I963" s="216"/>
      <c r="J963" s="217"/>
      <c r="K963" s="220" t="s">
        <v>14</v>
      </c>
      <c r="L963" s="230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4">
      <c r="A964" s="15" t="s">
        <v>15</v>
      </c>
      <c r="B964" s="16"/>
      <c r="C964" s="17"/>
      <c r="D964" s="18"/>
      <c r="E964" s="17"/>
      <c r="F964" s="18"/>
      <c r="G964" s="17"/>
      <c r="H964" s="18"/>
      <c r="I964" s="17"/>
      <c r="J964" s="18"/>
      <c r="K964" s="17"/>
      <c r="L964" s="19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spans="1:24">
      <c r="A965" s="21" t="s">
        <v>16</v>
      </c>
      <c r="B965" s="16" t="s">
        <v>17</v>
      </c>
      <c r="C965" s="17" t="s">
        <v>18</v>
      </c>
      <c r="D965" s="22">
        <v>1308015.83</v>
      </c>
      <c r="E965" s="17" t="s">
        <v>18</v>
      </c>
      <c r="F965" s="22">
        <v>688721</v>
      </c>
      <c r="G965" s="17" t="s">
        <v>18</v>
      </c>
      <c r="H965" s="22">
        <f>J965-F965</f>
        <v>1078415</v>
      </c>
      <c r="I965" s="17" t="s">
        <v>18</v>
      </c>
      <c r="J965" s="22">
        <v>1767136</v>
      </c>
      <c r="K965" s="17" t="s">
        <v>18</v>
      </c>
      <c r="L965" s="25">
        <v>2021040</v>
      </c>
      <c r="M965" s="26"/>
      <c r="N965" s="26"/>
      <c r="O965" s="26"/>
      <c r="P965" s="26"/>
      <c r="Q965" s="26"/>
      <c r="R965" s="26"/>
      <c r="S965" s="26"/>
      <c r="T965" s="26"/>
      <c r="U965" s="26"/>
      <c r="V965" s="26"/>
    </row>
    <row r="966" spans="1:24">
      <c r="A966" s="27" t="s">
        <v>19</v>
      </c>
      <c r="B966" s="16"/>
      <c r="C966" s="17"/>
      <c r="D966" s="28"/>
      <c r="E966" s="17"/>
      <c r="F966" s="28"/>
      <c r="G966" s="17"/>
      <c r="H966" s="28"/>
      <c r="I966" s="17"/>
      <c r="J966" s="28"/>
      <c r="K966" s="17"/>
      <c r="L966" s="30"/>
      <c r="M966" s="26"/>
      <c r="N966" s="26"/>
      <c r="O966" s="26"/>
      <c r="P966" s="26"/>
      <c r="Q966" s="26"/>
      <c r="R966" s="26"/>
      <c r="S966" s="26"/>
      <c r="T966" s="26"/>
      <c r="U966" s="26"/>
      <c r="V966" s="26"/>
    </row>
    <row r="967" spans="1:24">
      <c r="A967" s="21" t="s">
        <v>20</v>
      </c>
      <c r="B967" s="16" t="s">
        <v>21</v>
      </c>
      <c r="C967" s="17"/>
      <c r="D967" s="28">
        <v>79933.33</v>
      </c>
      <c r="E967" s="17"/>
      <c r="F967" s="28">
        <v>40000</v>
      </c>
      <c r="G967" s="17"/>
      <c r="H967" s="22">
        <f>J967-F967</f>
        <v>80000</v>
      </c>
      <c r="I967" s="17"/>
      <c r="J967" s="28">
        <v>120000</v>
      </c>
      <c r="K967" s="17"/>
      <c r="L967" s="30">
        <v>120000</v>
      </c>
      <c r="M967" s="26"/>
      <c r="N967" s="26"/>
      <c r="O967" s="26"/>
      <c r="P967" s="26"/>
      <c r="Q967" s="26"/>
      <c r="R967" s="26"/>
      <c r="S967" s="26"/>
      <c r="T967" s="26"/>
      <c r="U967" s="26"/>
      <c r="V967" s="26"/>
    </row>
    <row r="968" spans="1:24">
      <c r="A968" s="21" t="s">
        <v>22</v>
      </c>
      <c r="B968" s="16" t="s">
        <v>23</v>
      </c>
      <c r="C968" s="17"/>
      <c r="D968" s="91">
        <v>81600</v>
      </c>
      <c r="E968" s="17"/>
      <c r="F968" s="91">
        <v>34000</v>
      </c>
      <c r="G968" s="17"/>
      <c r="H968" s="22">
        <f>J968-F968</f>
        <v>47600</v>
      </c>
      <c r="I968" s="17"/>
      <c r="J968" s="91">
        <v>81600</v>
      </c>
      <c r="K968" s="17"/>
      <c r="L968" s="92">
        <v>81600</v>
      </c>
      <c r="M968" s="26"/>
      <c r="N968" s="26"/>
      <c r="O968" s="26"/>
      <c r="P968" s="26"/>
      <c r="Q968" s="26"/>
      <c r="R968" s="26"/>
      <c r="S968" s="26"/>
      <c r="T968" s="26"/>
      <c r="U968" s="26"/>
      <c r="V968" s="26"/>
    </row>
    <row r="969" spans="1:24">
      <c r="A969" s="21" t="s">
        <v>24</v>
      </c>
      <c r="B969" s="16" t="s">
        <v>25</v>
      </c>
      <c r="C969" s="17"/>
      <c r="D969" s="91">
        <v>81600</v>
      </c>
      <c r="E969" s="17"/>
      <c r="F969" s="91">
        <v>34000</v>
      </c>
      <c r="G969" s="17"/>
      <c r="H969" s="22">
        <f>J969-F969</f>
        <v>47600</v>
      </c>
      <c r="I969" s="17"/>
      <c r="J969" s="91">
        <v>81600</v>
      </c>
      <c r="K969" s="17"/>
      <c r="L969" s="92">
        <v>81600</v>
      </c>
      <c r="M969" s="26"/>
      <c r="N969" s="26"/>
      <c r="O969" s="26"/>
      <c r="P969" s="26"/>
      <c r="Q969" s="26"/>
      <c r="R969" s="26"/>
      <c r="S969" s="26"/>
      <c r="T969" s="26"/>
      <c r="U969" s="26"/>
      <c r="V969" s="26"/>
    </row>
    <row r="970" spans="1:24">
      <c r="A970" s="21" t="s">
        <v>26</v>
      </c>
      <c r="B970" s="16" t="s">
        <v>27</v>
      </c>
      <c r="C970" s="17"/>
      <c r="D970" s="91">
        <v>21000</v>
      </c>
      <c r="E970" s="17"/>
      <c r="F970" s="91">
        <v>28000</v>
      </c>
      <c r="G970" s="17"/>
      <c r="H970" s="22">
        <f>J970-F970</f>
        <v>7000</v>
      </c>
      <c r="I970" s="17"/>
      <c r="J970" s="91">
        <v>35000</v>
      </c>
      <c r="K970" s="17"/>
      <c r="L970" s="92">
        <v>35000</v>
      </c>
      <c r="M970" s="26"/>
      <c r="N970" s="26"/>
      <c r="O970" s="26"/>
      <c r="P970" s="26"/>
      <c r="Q970" s="26"/>
      <c r="R970" s="26"/>
      <c r="S970" s="26"/>
      <c r="T970" s="26"/>
      <c r="U970" s="26"/>
      <c r="V970" s="26"/>
    </row>
    <row r="971" spans="1:24">
      <c r="A971" s="21" t="s">
        <v>28</v>
      </c>
      <c r="B971" s="16" t="s">
        <v>29</v>
      </c>
      <c r="C971" s="17"/>
      <c r="D971" s="91">
        <v>16000</v>
      </c>
      <c r="E971" s="17"/>
      <c r="F971" s="91">
        <v>0</v>
      </c>
      <c r="G971" s="17"/>
      <c r="H971" s="22">
        <f>J971-F971</f>
        <v>25000</v>
      </c>
      <c r="I971" s="17"/>
      <c r="J971" s="91">
        <v>25000</v>
      </c>
      <c r="K971" s="17"/>
      <c r="L971" s="92">
        <v>0</v>
      </c>
      <c r="M971" s="26"/>
      <c r="N971" s="26"/>
      <c r="O971" s="26"/>
      <c r="P971" s="26"/>
      <c r="Q971" s="26"/>
      <c r="R971" s="26"/>
      <c r="S971" s="26"/>
      <c r="T971" s="26"/>
      <c r="U971" s="26"/>
      <c r="V971" s="26"/>
    </row>
    <row r="972" spans="1:24">
      <c r="A972" s="21" t="s">
        <v>30</v>
      </c>
      <c r="B972" s="16" t="s">
        <v>31</v>
      </c>
      <c r="C972" s="17"/>
      <c r="D972" s="91">
        <v>66000</v>
      </c>
      <c r="E972" s="17"/>
      <c r="F972" s="91">
        <v>0</v>
      </c>
      <c r="G972" s="17"/>
      <c r="H972" s="22">
        <f>J972-F972</f>
        <v>100000</v>
      </c>
      <c r="I972" s="17"/>
      <c r="J972" s="91">
        <v>100000</v>
      </c>
      <c r="K972" s="17"/>
      <c r="L972" s="92">
        <v>0</v>
      </c>
      <c r="M972" s="26"/>
      <c r="N972" s="26"/>
      <c r="O972" s="26"/>
      <c r="P972" s="26"/>
      <c r="Q972" s="26"/>
      <c r="R972" s="26"/>
      <c r="S972" s="26"/>
      <c r="T972" s="26"/>
      <c r="U972" s="26"/>
      <c r="V972" s="26"/>
    </row>
    <row r="973" spans="1:24">
      <c r="A973" s="21" t="s">
        <v>32</v>
      </c>
      <c r="B973" s="16" t="s">
        <v>33</v>
      </c>
      <c r="C973" s="17"/>
      <c r="D973" s="91">
        <v>105635</v>
      </c>
      <c r="E973" s="17"/>
      <c r="F973" s="91">
        <v>0</v>
      </c>
      <c r="G973" s="17"/>
      <c r="H973" s="22">
        <f>J973-F973</f>
        <v>152678</v>
      </c>
      <c r="I973" s="17"/>
      <c r="J973" s="91">
        <v>152678</v>
      </c>
      <c r="K973" s="17"/>
      <c r="L973" s="92">
        <v>199904</v>
      </c>
      <c r="M973" s="26"/>
      <c r="N973" s="26"/>
      <c r="O973" s="26"/>
      <c r="P973" s="26"/>
      <c r="Q973" s="26"/>
      <c r="R973" s="26"/>
      <c r="S973" s="26"/>
      <c r="T973" s="26"/>
      <c r="U973" s="26"/>
      <c r="V973" s="26"/>
    </row>
    <row r="974" spans="1:24">
      <c r="A974" s="21" t="s">
        <v>34</v>
      </c>
      <c r="B974" s="16" t="s">
        <v>35</v>
      </c>
      <c r="C974" s="17"/>
      <c r="D974" s="91">
        <v>16000</v>
      </c>
      <c r="E974" s="17"/>
      <c r="F974" s="91">
        <v>0</v>
      </c>
      <c r="G974" s="17"/>
      <c r="H974" s="22">
        <f>J974-F974</f>
        <v>25000</v>
      </c>
      <c r="I974" s="17"/>
      <c r="J974" s="91">
        <v>25000</v>
      </c>
      <c r="K974" s="17"/>
      <c r="L974" s="92">
        <v>25000</v>
      </c>
      <c r="M974" s="26"/>
      <c r="N974" s="26"/>
      <c r="O974" s="26"/>
      <c r="P974" s="26"/>
      <c r="Q974" s="26"/>
      <c r="R974" s="26"/>
      <c r="S974" s="26"/>
      <c r="T974" s="26"/>
      <c r="U974" s="26"/>
      <c r="V974" s="26"/>
    </row>
    <row r="975" spans="1:24">
      <c r="A975" s="21" t="s">
        <v>36</v>
      </c>
      <c r="B975" s="16" t="s">
        <v>37</v>
      </c>
      <c r="C975" s="17"/>
      <c r="D975" s="91">
        <v>101003</v>
      </c>
      <c r="E975" s="17"/>
      <c r="F975" s="91">
        <v>125222</v>
      </c>
      <c r="G975" s="17"/>
      <c r="H975" s="22">
        <f>J975-F975</f>
        <v>19505</v>
      </c>
      <c r="I975" s="17"/>
      <c r="J975" s="91">
        <v>144727</v>
      </c>
      <c r="K975" s="17"/>
      <c r="L975" s="92">
        <v>152678</v>
      </c>
      <c r="M975" s="26"/>
      <c r="N975" s="26"/>
      <c r="O975" s="26"/>
      <c r="P975" s="26"/>
      <c r="Q975" s="26"/>
      <c r="R975" s="26"/>
      <c r="S975" s="26"/>
      <c r="T975" s="26"/>
      <c r="U975" s="26"/>
      <c r="V975" s="26"/>
    </row>
    <row r="976" spans="1:24">
      <c r="A976" s="27" t="s">
        <v>38</v>
      </c>
      <c r="B976" s="16"/>
      <c r="C976" s="17"/>
      <c r="D976" s="28"/>
      <c r="E976" s="17"/>
      <c r="F976" s="28"/>
      <c r="G976" s="17"/>
      <c r="H976" s="28"/>
      <c r="I976" s="17"/>
      <c r="J976" s="28"/>
      <c r="K976" s="17"/>
      <c r="L976" s="30"/>
      <c r="M976" s="26"/>
      <c r="N976" s="26"/>
      <c r="O976" s="26"/>
      <c r="P976" s="26"/>
      <c r="Q976" s="26"/>
      <c r="R976" s="26"/>
      <c r="S976" s="26"/>
      <c r="T976" s="26"/>
      <c r="U976" s="26"/>
      <c r="V976" s="26"/>
    </row>
    <row r="977" spans="1:24">
      <c r="A977" s="21" t="s">
        <v>39</v>
      </c>
      <c r="B977" s="16" t="s">
        <v>40</v>
      </c>
      <c r="C977" s="17"/>
      <c r="D977" s="28">
        <v>156961.9</v>
      </c>
      <c r="E977" s="17"/>
      <c r="F977" s="28">
        <v>75133.2</v>
      </c>
      <c r="G977" s="17"/>
      <c r="H977" s="22">
        <f>J977-F977</f>
        <v>136924.8</v>
      </c>
      <c r="I977" s="17"/>
      <c r="J977" s="28">
        <v>212058</v>
      </c>
      <c r="K977" s="17"/>
      <c r="L977" s="30">
        <v>242600</v>
      </c>
      <c r="M977" s="26"/>
      <c r="N977" s="26"/>
      <c r="O977" s="26"/>
      <c r="P977" s="26"/>
      <c r="Q977" s="26"/>
      <c r="R977" s="26"/>
      <c r="S977" s="26"/>
      <c r="T977" s="26"/>
      <c r="U977" s="26"/>
      <c r="V977" s="26"/>
    </row>
    <row r="978" spans="1:24">
      <c r="A978" s="21" t="s">
        <v>41</v>
      </c>
      <c r="B978" s="16" t="s">
        <v>42</v>
      </c>
      <c r="C978" s="17"/>
      <c r="D978" s="91">
        <v>7700</v>
      </c>
      <c r="E978" s="17"/>
      <c r="F978" s="91">
        <v>4000</v>
      </c>
      <c r="G978" s="17"/>
      <c r="H978" s="22">
        <f>J978-F978</f>
        <v>8000</v>
      </c>
      <c r="I978" s="17"/>
      <c r="J978" s="91">
        <v>12000</v>
      </c>
      <c r="K978" s="17"/>
      <c r="L978" s="92">
        <v>12000</v>
      </c>
      <c r="M978" s="26"/>
      <c r="N978" s="26"/>
      <c r="O978" s="26"/>
      <c r="P978" s="26"/>
      <c r="Q978" s="26"/>
      <c r="R978" s="26"/>
      <c r="S978" s="26"/>
      <c r="T978" s="26"/>
      <c r="U978" s="26"/>
      <c r="V978" s="26"/>
    </row>
    <row r="979" spans="1:24">
      <c r="A979" s="21" t="s">
        <v>43</v>
      </c>
      <c r="B979" s="16" t="s">
        <v>44</v>
      </c>
      <c r="C979" s="17"/>
      <c r="D979" s="91">
        <v>32700.48</v>
      </c>
      <c r="E979" s="17"/>
      <c r="F979" s="91">
        <v>15652.8</v>
      </c>
      <c r="G979" s="17"/>
      <c r="H979" s="22">
        <f>J979-F979</f>
        <v>28525.2</v>
      </c>
      <c r="I979" s="17"/>
      <c r="J979" s="91">
        <v>44178</v>
      </c>
      <c r="K979" s="17"/>
      <c r="L979" s="92">
        <v>50590</v>
      </c>
      <c r="M979" s="26"/>
      <c r="N979" s="26"/>
      <c r="O979" s="26"/>
      <c r="P979" s="26"/>
      <c r="Q979" s="26"/>
      <c r="R979" s="26"/>
      <c r="S979" s="26"/>
      <c r="T979" s="26"/>
      <c r="U979" s="26"/>
      <c r="V979" s="26"/>
    </row>
    <row r="980" spans="1:24">
      <c r="A980" s="21" t="s">
        <v>45</v>
      </c>
      <c r="B980" s="16" t="s">
        <v>46</v>
      </c>
      <c r="C980" s="17"/>
      <c r="D980" s="91">
        <v>4000</v>
      </c>
      <c r="E980" s="17"/>
      <c r="F980" s="91">
        <v>2000</v>
      </c>
      <c r="G980" s="17"/>
      <c r="H980" s="22">
        <f>J980-F980</f>
        <v>4000</v>
      </c>
      <c r="I980" s="17"/>
      <c r="J980" s="91">
        <v>6000</v>
      </c>
      <c r="K980" s="17"/>
      <c r="L980" s="92">
        <v>6000</v>
      </c>
      <c r="M980" s="26"/>
      <c r="N980" s="26"/>
      <c r="O980" s="26"/>
      <c r="P980" s="26"/>
      <c r="Q980" s="26"/>
      <c r="R980" s="26"/>
      <c r="S980" s="26"/>
      <c r="T980" s="26"/>
      <c r="U980" s="26"/>
      <c r="V980" s="26"/>
    </row>
    <row r="981" spans="1:24">
      <c r="A981" s="27" t="s">
        <v>47</v>
      </c>
      <c r="B981" s="16"/>
      <c r="C981" s="23"/>
      <c r="D981" s="28"/>
      <c r="E981" s="17"/>
      <c r="F981" s="28"/>
      <c r="G981" s="17"/>
      <c r="H981" s="96"/>
      <c r="I981" s="17"/>
      <c r="J981" s="28"/>
      <c r="K981" s="17"/>
      <c r="L981" s="30"/>
      <c r="M981" s="26"/>
      <c r="N981" s="26"/>
      <c r="O981" s="26"/>
      <c r="P981" s="26"/>
      <c r="Q981" s="26"/>
      <c r="R981" s="26"/>
      <c r="S981" s="26"/>
      <c r="T981" s="26"/>
      <c r="U981" s="26"/>
      <c r="V981" s="26"/>
    </row>
    <row r="982" spans="1:24">
      <c r="A982" s="21" t="s">
        <v>149</v>
      </c>
      <c r="B982" s="16" t="s">
        <v>49</v>
      </c>
      <c r="C982" s="17"/>
      <c r="D982" s="22">
        <v>0</v>
      </c>
      <c r="E982" s="17"/>
      <c r="F982" s="22">
        <v>0</v>
      </c>
      <c r="G982" s="17"/>
      <c r="H982" s="22">
        <f>J982-F982</f>
        <v>0</v>
      </c>
      <c r="I982" s="17"/>
      <c r="J982" s="22">
        <v>0</v>
      </c>
      <c r="K982" s="17"/>
      <c r="L982" s="25">
        <v>0</v>
      </c>
      <c r="M982" s="26"/>
      <c r="N982" s="26"/>
      <c r="O982" s="26"/>
      <c r="P982" s="26"/>
      <c r="Q982" s="26"/>
      <c r="R982" s="26"/>
      <c r="S982" s="26"/>
      <c r="T982" s="26"/>
      <c r="U982" s="26"/>
      <c r="V982" s="26"/>
    </row>
    <row r="983" spans="1:24" customHeight="1" ht="15">
      <c r="A983" s="21" t="s">
        <v>150</v>
      </c>
      <c r="B983" s="16" t="s">
        <v>51</v>
      </c>
      <c r="C983" s="17"/>
      <c r="D983" s="41">
        <v>0</v>
      </c>
      <c r="E983" s="17"/>
      <c r="F983" s="41">
        <v>28000</v>
      </c>
      <c r="G983" s="17"/>
      <c r="H983" s="22">
        <f>J983-F983</f>
        <v>7000</v>
      </c>
      <c r="I983" s="17"/>
      <c r="J983" s="41">
        <v>35000</v>
      </c>
      <c r="K983" s="17"/>
      <c r="L983" s="55">
        <v>35000</v>
      </c>
      <c r="M983" s="26"/>
      <c r="N983" s="26"/>
      <c r="O983" s="26"/>
      <c r="P983" s="26"/>
      <c r="Q983" s="26"/>
      <c r="R983" s="26"/>
      <c r="S983" s="26"/>
      <c r="T983" s="26"/>
      <c r="U983" s="26"/>
      <c r="V983" s="26"/>
    </row>
    <row r="984" spans="1:24" customHeight="1" ht="15">
      <c r="A984" s="44" t="s">
        <v>52</v>
      </c>
      <c r="B984" s="45"/>
      <c r="C984" s="46" t="s">
        <v>18</v>
      </c>
      <c r="D984" s="47">
        <f>SUM(D965:D983)</f>
        <v>2078149.54</v>
      </c>
      <c r="E984" s="48" t="s">
        <v>18</v>
      </c>
      <c r="F984" s="47">
        <f>SUM(F965:F983)</f>
        <v>1074729</v>
      </c>
      <c r="G984" s="48" t="s">
        <v>18</v>
      </c>
      <c r="H984" s="47">
        <f>SUM(H965:H983)</f>
        <v>1767248</v>
      </c>
      <c r="I984" s="48" t="s">
        <v>18</v>
      </c>
      <c r="J984" s="47">
        <f>SUM(J965:J983)</f>
        <v>2841977</v>
      </c>
      <c r="K984" s="48" t="s">
        <v>18</v>
      </c>
      <c r="L984" s="49">
        <f>SUM(L965:L983)</f>
        <v>3063012</v>
      </c>
      <c r="M984" s="50"/>
      <c r="N984" s="50"/>
      <c r="O984" s="50"/>
      <c r="P984" s="50"/>
      <c r="Q984" s="50"/>
      <c r="R984" s="50"/>
      <c r="S984" s="50"/>
      <c r="T984" s="50"/>
      <c r="U984" s="50"/>
      <c r="V984" s="50"/>
    </row>
    <row r="988" spans="1:24">
      <c r="A988" s="235" t="s">
        <v>0</v>
      </c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69"/>
      <c r="N988" s="69"/>
      <c r="O988" s="69"/>
      <c r="P988" s="69"/>
      <c r="Q988" s="69"/>
      <c r="R988" s="69"/>
      <c r="S988" s="69"/>
      <c r="T988" s="69"/>
      <c r="U988" s="69"/>
      <c r="V988" s="69"/>
    </row>
    <row r="990" spans="1:24" customHeight="1" ht="15.6">
      <c r="A990" s="236" t="s">
        <v>1</v>
      </c>
      <c r="B990" s="236"/>
      <c r="C990" s="236"/>
      <c r="D990" s="236"/>
      <c r="E990" s="236"/>
      <c r="F990" s="236"/>
      <c r="G990" s="236"/>
      <c r="H990" s="236"/>
      <c r="I990" s="236"/>
      <c r="J990" s="236"/>
      <c r="K990" s="236"/>
      <c r="L990" s="236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4">
      <c r="A991" s="231" t="s">
        <v>2</v>
      </c>
      <c r="B991" s="231"/>
      <c r="C991" s="231"/>
      <c r="D991" s="231"/>
      <c r="E991" s="231"/>
      <c r="F991" s="231"/>
      <c r="G991" s="231"/>
      <c r="H991" s="231"/>
      <c r="I991" s="231"/>
      <c r="J991" s="231"/>
      <c r="K991" s="231"/>
      <c r="L991" s="231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3" spans="1:24">
      <c r="A993" s="5" t="s">
        <v>187</v>
      </c>
    </row>
    <row r="994" spans="1:24" customHeight="1" ht="15"/>
    <row r="995" spans="1:24" customHeight="1" ht="15">
      <c r="A995" s="7"/>
      <c r="B995" s="8"/>
      <c r="C995" s="203" t="s">
        <v>4</v>
      </c>
      <c r="D995" s="204"/>
      <c r="E995" s="203" t="s">
        <v>5</v>
      </c>
      <c r="F995" s="246"/>
      <c r="G995" s="246"/>
      <c r="H995" s="246"/>
      <c r="I995" s="246"/>
      <c r="J995" s="204"/>
      <c r="K995" s="203" t="s">
        <v>6</v>
      </c>
      <c r="L995" s="22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4">
      <c r="A996" s="152" t="s">
        <v>7</v>
      </c>
      <c r="B996" s="153" t="s">
        <v>8</v>
      </c>
      <c r="C996" s="203">
        <v>2024</v>
      </c>
      <c r="D996" s="204"/>
      <c r="E996" s="242" t="s">
        <v>9</v>
      </c>
      <c r="F996" s="243"/>
      <c r="G996" s="242" t="s">
        <v>10</v>
      </c>
      <c r="H996" s="243"/>
      <c r="I996" s="244" t="s">
        <v>11</v>
      </c>
      <c r="J996" s="245"/>
      <c r="K996" s="203">
        <v>2026</v>
      </c>
      <c r="L996" s="22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4" customHeight="1" ht="15">
      <c r="A997" s="13"/>
      <c r="B997" s="14"/>
      <c r="C997" s="220" t="s">
        <v>12</v>
      </c>
      <c r="D997" s="221"/>
      <c r="E997" s="220" t="s">
        <v>12</v>
      </c>
      <c r="F997" s="221"/>
      <c r="G997" s="220" t="s">
        <v>13</v>
      </c>
      <c r="H997" s="221"/>
      <c r="I997" s="216"/>
      <c r="J997" s="217"/>
      <c r="K997" s="220" t="s">
        <v>14</v>
      </c>
      <c r="L997" s="230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4">
      <c r="A998" s="27" t="s">
        <v>53</v>
      </c>
      <c r="B998" s="52"/>
      <c r="C998" s="17"/>
      <c r="D998" s="18"/>
      <c r="E998" s="17"/>
      <c r="F998" s="18"/>
      <c r="G998" s="17"/>
      <c r="H998" s="18"/>
      <c r="I998" s="17"/>
      <c r="J998" s="18"/>
      <c r="K998" s="17"/>
      <c r="L998" s="19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spans="1:24">
      <c r="A999" s="21" t="s">
        <v>54</v>
      </c>
      <c r="B999" s="16" t="s">
        <v>55</v>
      </c>
      <c r="C999" s="17" t="s">
        <v>18</v>
      </c>
      <c r="D999" s="28">
        <v>68300</v>
      </c>
      <c r="E999" s="17" t="s">
        <v>18</v>
      </c>
      <c r="F999" s="28">
        <v>40861.92</v>
      </c>
      <c r="G999" s="17" t="s">
        <v>18</v>
      </c>
      <c r="H999" s="22">
        <f>J999-F999</f>
        <v>49138.08</v>
      </c>
      <c r="I999" s="17" t="s">
        <v>18</v>
      </c>
      <c r="J999" s="28">
        <v>90000</v>
      </c>
      <c r="K999" s="17" t="s">
        <v>18</v>
      </c>
      <c r="L999" s="30">
        <f>110000+11000</f>
        <v>121000</v>
      </c>
      <c r="M999" s="26"/>
      <c r="N999" s="26"/>
      <c r="O999" s="26"/>
      <c r="P999" s="26"/>
      <c r="Q999" s="26"/>
      <c r="R999" s="26"/>
      <c r="S999" s="26"/>
      <c r="T999" s="26"/>
      <c r="U999" s="26"/>
      <c r="V999" s="26"/>
    </row>
    <row r="1000" spans="1:24">
      <c r="A1000" s="21" t="s">
        <v>56</v>
      </c>
      <c r="B1000" s="16" t="s">
        <v>57</v>
      </c>
      <c r="C1000" s="17"/>
      <c r="D1000" s="147">
        <v>70000</v>
      </c>
      <c r="E1000" s="17"/>
      <c r="F1000" s="147">
        <v>0</v>
      </c>
      <c r="G1000" s="17"/>
      <c r="H1000" s="147">
        <f>J1000-F1000</f>
        <v>80000</v>
      </c>
      <c r="I1000" s="17"/>
      <c r="J1000" s="147">
        <v>80000</v>
      </c>
      <c r="K1000" s="17"/>
      <c r="L1000" s="151">
        <v>80000</v>
      </c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</row>
    <row r="1001" spans="1:24">
      <c r="A1001" s="21" t="s">
        <v>58</v>
      </c>
      <c r="B1001" s="16" t="s">
        <v>59</v>
      </c>
      <c r="C1001" s="17"/>
      <c r="D1001" s="147">
        <v>74313.13</v>
      </c>
      <c r="E1001" s="17"/>
      <c r="F1001" s="147">
        <v>18141.63</v>
      </c>
      <c r="G1001" s="17"/>
      <c r="H1001" s="147">
        <f>J1001-F1001</f>
        <v>63858.37</v>
      </c>
      <c r="I1001" s="17"/>
      <c r="J1001" s="147">
        <v>82000</v>
      </c>
      <c r="K1001" s="17"/>
      <c r="L1001" s="169">
        <v>112000</v>
      </c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</row>
    <row r="1002" spans="1:24">
      <c r="A1002" s="21" t="s">
        <v>70</v>
      </c>
      <c r="B1002" s="16" t="s">
        <v>71</v>
      </c>
      <c r="D1002" s="147">
        <v>60000</v>
      </c>
      <c r="E1002" s="17"/>
      <c r="F1002" s="147">
        <v>25000</v>
      </c>
      <c r="G1002" s="17"/>
      <c r="H1002" s="147">
        <f>J1002-F1002</f>
        <v>35000</v>
      </c>
      <c r="I1002" s="17"/>
      <c r="J1002" s="147">
        <v>60000</v>
      </c>
      <c r="K1002" s="17"/>
      <c r="L1002" s="151">
        <v>60000</v>
      </c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</row>
    <row r="1003" spans="1:24">
      <c r="A1003" s="21" t="s">
        <v>72</v>
      </c>
      <c r="B1003" s="16" t="s">
        <v>73</v>
      </c>
      <c r="D1003" s="147">
        <v>30000</v>
      </c>
      <c r="E1003" s="17"/>
      <c r="F1003" s="147">
        <v>22698.25</v>
      </c>
      <c r="G1003" s="17"/>
      <c r="H1003" s="147">
        <f>J1003-F1003</f>
        <v>12301.75</v>
      </c>
      <c r="I1003" s="17"/>
      <c r="J1003" s="147">
        <v>35000</v>
      </c>
      <c r="K1003" s="17"/>
      <c r="L1003" s="151">
        <v>39000</v>
      </c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</row>
    <row r="1004" spans="1:24">
      <c r="A1004" s="21" t="s">
        <v>172</v>
      </c>
      <c r="B1004" s="16" t="s">
        <v>173</v>
      </c>
      <c r="D1004" s="147">
        <v>0</v>
      </c>
      <c r="E1004" s="17"/>
      <c r="F1004" s="147">
        <v>0</v>
      </c>
      <c r="G1004" s="17"/>
      <c r="H1004" s="147">
        <f>J1004-F1004</f>
        <v>152600</v>
      </c>
      <c r="I1004" s="17"/>
      <c r="J1004" s="147">
        <v>152600</v>
      </c>
      <c r="K1004" s="17"/>
      <c r="L1004" s="151">
        <v>112600</v>
      </c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</row>
    <row r="1005" spans="1:24">
      <c r="A1005" s="21" t="s">
        <v>80</v>
      </c>
      <c r="B1005" s="16" t="s">
        <v>81</v>
      </c>
      <c r="D1005" s="147">
        <v>0</v>
      </c>
      <c r="E1005" s="17"/>
      <c r="F1005" s="147">
        <v>7200</v>
      </c>
      <c r="G1005" s="17"/>
      <c r="H1005" s="147">
        <f>J1005-F1005</f>
        <v>7800</v>
      </c>
      <c r="I1005" s="17"/>
      <c r="J1005" s="147">
        <v>15000</v>
      </c>
      <c r="K1005" s="17"/>
      <c r="L1005" s="151">
        <v>15000</v>
      </c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</row>
    <row r="1006" spans="1:24" customHeight="1" ht="15">
      <c r="A1006" s="21" t="s">
        <v>92</v>
      </c>
      <c r="B1006" s="16" t="s">
        <v>93</v>
      </c>
      <c r="D1006" s="41">
        <v>7758.13</v>
      </c>
      <c r="E1006" s="17"/>
      <c r="F1006" s="41">
        <v>22800</v>
      </c>
      <c r="G1006" s="17"/>
      <c r="H1006" s="93">
        <f>J1006-F1006</f>
        <v>2200</v>
      </c>
      <c r="I1006" s="17"/>
      <c r="J1006" s="41">
        <v>25000</v>
      </c>
      <c r="K1006" s="17"/>
      <c r="L1006" s="55">
        <v>0</v>
      </c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</row>
    <row r="1007" spans="1:24" customHeight="1" ht="15">
      <c r="A1007" s="44" t="s">
        <v>94</v>
      </c>
      <c r="B1007" s="45"/>
      <c r="C1007" s="48" t="s">
        <v>18</v>
      </c>
      <c r="D1007" s="47">
        <f>SUM(D999:D1006)</f>
        <v>310371.26</v>
      </c>
      <c r="E1007" s="48" t="s">
        <v>18</v>
      </c>
      <c r="F1007" s="47">
        <f>SUM(F999:F1006)</f>
        <v>136701.8</v>
      </c>
      <c r="G1007" s="48" t="s">
        <v>18</v>
      </c>
      <c r="H1007" s="47">
        <f>SUM(H999:H1006)</f>
        <v>402898.2</v>
      </c>
      <c r="I1007" s="48" t="s">
        <v>18</v>
      </c>
      <c r="J1007" s="47">
        <f>SUM(J999:J1006)</f>
        <v>539600</v>
      </c>
      <c r="K1007" s="48" t="s">
        <v>18</v>
      </c>
      <c r="L1007" s="47">
        <f>SUM(L999:L1006)</f>
        <v>539600</v>
      </c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</row>
    <row r="1008" spans="1:24">
      <c r="A1008" s="27" t="s">
        <v>95</v>
      </c>
      <c r="B1008" s="52"/>
      <c r="D1008" s="28"/>
      <c r="E1008" s="17"/>
      <c r="F1008" s="28"/>
      <c r="G1008" s="17"/>
      <c r="H1008" s="28"/>
      <c r="I1008" s="17"/>
      <c r="J1008" s="28"/>
      <c r="K1008" s="17"/>
      <c r="L1008" s="30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</row>
    <row r="1009" spans="1:24">
      <c r="A1009" s="21" t="s">
        <v>188</v>
      </c>
      <c r="B1009" s="52" t="s">
        <v>189</v>
      </c>
      <c r="C1009" s="17" t="s">
        <v>18</v>
      </c>
      <c r="D1009" s="22">
        <v>0</v>
      </c>
      <c r="E1009" s="17" t="s">
        <v>18</v>
      </c>
      <c r="F1009" s="22">
        <v>0</v>
      </c>
      <c r="G1009" s="17" t="s">
        <v>18</v>
      </c>
      <c r="H1009" s="22">
        <f>J1009-F1009</f>
        <v>230000</v>
      </c>
      <c r="I1009" s="17" t="s">
        <v>18</v>
      </c>
      <c r="J1009" s="24">
        <v>230000</v>
      </c>
      <c r="K1009" s="17" t="s">
        <v>18</v>
      </c>
      <c r="L1009" s="25">
        <v>230000</v>
      </c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</row>
    <row r="1010" spans="1:24" customHeight="1" ht="15">
      <c r="A1010" s="21" t="s">
        <v>190</v>
      </c>
      <c r="B1010" s="52" t="s">
        <v>191</v>
      </c>
      <c r="C1010" s="17"/>
      <c r="D1010" s="149">
        <v>0</v>
      </c>
      <c r="E1010" s="17"/>
      <c r="F1010" s="149">
        <v>0</v>
      </c>
      <c r="G1010" s="17"/>
      <c r="H1010" s="147">
        <f>J1010-F1010</f>
        <v>217447</v>
      </c>
      <c r="I1010" s="17"/>
      <c r="J1010" s="155">
        <v>217447</v>
      </c>
      <c r="K1010" s="17"/>
      <c r="L1010" s="155">
        <v>0</v>
      </c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</row>
    <row r="1011" spans="1:24" customHeight="1" ht="15">
      <c r="A1011" s="27" t="s">
        <v>98</v>
      </c>
      <c r="B1011" s="16"/>
      <c r="C1011" s="56" t="s">
        <v>18</v>
      </c>
      <c r="D1011" s="150">
        <f>SUM(D1009:D1010)</f>
        <v>0</v>
      </c>
      <c r="E1011" s="56" t="s">
        <v>18</v>
      </c>
      <c r="F1011" s="150">
        <f>SUM(F1009:F1010)</f>
        <v>0</v>
      </c>
      <c r="G1011" s="56" t="s">
        <v>18</v>
      </c>
      <c r="H1011" s="150">
        <f>SUM(H1009:H1010)</f>
        <v>447447</v>
      </c>
      <c r="I1011" s="56" t="s">
        <v>18</v>
      </c>
      <c r="J1011" s="150">
        <f>SUM(J1009:J1010)</f>
        <v>447447</v>
      </c>
      <c r="K1011" s="56" t="s">
        <v>18</v>
      </c>
      <c r="L1011" s="78">
        <f>SUM(L1009:L1010)</f>
        <v>230000</v>
      </c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</row>
    <row r="1012" spans="1:24" customHeight="1" ht="15">
      <c r="A1012" s="79" t="s">
        <v>99</v>
      </c>
      <c r="B1012" s="80"/>
      <c r="C1012" s="81" t="s">
        <v>18</v>
      </c>
      <c r="D1012" s="82">
        <f>D984+D1007+D1011</f>
        <v>2388520.8</v>
      </c>
      <c r="E1012" s="83" t="s">
        <v>18</v>
      </c>
      <c r="F1012" s="82">
        <f>F984+F1007+F1011</f>
        <v>1211430.8</v>
      </c>
      <c r="G1012" s="83" t="s">
        <v>18</v>
      </c>
      <c r="H1012" s="82">
        <f>H984+H1007+H1011</f>
        <v>2617593.2</v>
      </c>
      <c r="I1012" s="83" t="s">
        <v>18</v>
      </c>
      <c r="J1012" s="82">
        <f>J984+J1007+J1011</f>
        <v>3829024</v>
      </c>
      <c r="K1012" s="83" t="s">
        <v>18</v>
      </c>
      <c r="L1012" s="82">
        <f>L984+L1007+L1011</f>
        <v>3832612</v>
      </c>
      <c r="M1012" s="59"/>
      <c r="N1012" s="59"/>
      <c r="O1012" s="59"/>
      <c r="P1012" s="59"/>
      <c r="Q1012" s="59"/>
      <c r="R1012" s="59"/>
      <c r="S1012" s="59"/>
      <c r="T1012" s="50"/>
      <c r="U1012" s="50"/>
      <c r="V1012" s="50"/>
    </row>
    <row r="1013" spans="1:24" customHeight="1" ht="15">
      <c r="A1013" s="5"/>
      <c r="C1013" s="56"/>
      <c r="D1013" s="59"/>
      <c r="E1013" s="56"/>
      <c r="F1013" s="59"/>
      <c r="G1013" s="56"/>
      <c r="H1013" s="59"/>
      <c r="I1013" s="56"/>
      <c r="J1013" s="59"/>
      <c r="K1013" s="56"/>
      <c r="L1013" s="59"/>
      <c r="M1013" s="59"/>
      <c r="N1013" s="59"/>
      <c r="O1013" s="59"/>
      <c r="P1013" s="59"/>
      <c r="Q1013" s="59"/>
      <c r="R1013" s="59"/>
      <c r="S1013" s="59"/>
      <c r="T1013" s="50"/>
      <c r="U1013" s="50"/>
      <c r="V1013" s="50"/>
    </row>
    <row r="1014" spans="1:24">
      <c r="A1014" s="5"/>
      <c r="C1014" s="56"/>
      <c r="D1014" s="59"/>
      <c r="E1014" s="56"/>
      <c r="F1014" s="59"/>
      <c r="G1014" s="56"/>
      <c r="H1014" s="59"/>
      <c r="I1014" s="56"/>
      <c r="J1014" s="59"/>
      <c r="K1014" s="56"/>
      <c r="L1014" s="59"/>
      <c r="M1014" s="59"/>
      <c r="N1014" s="59"/>
      <c r="O1014" s="59"/>
      <c r="P1014" s="59"/>
      <c r="Q1014" s="59"/>
      <c r="R1014" s="59"/>
      <c r="S1014" s="59"/>
      <c r="T1014" s="50"/>
      <c r="U1014" s="50"/>
      <c r="V1014" s="50"/>
    </row>
    <row r="1015" spans="1:24">
      <c r="A1015" t="s">
        <v>100</v>
      </c>
      <c r="B1015" t="s">
        <v>101</v>
      </c>
      <c r="G1015" t="s">
        <v>102</v>
      </c>
    </row>
    <row r="1016" spans="1:24">
      <c r="A1016" s="200" t="s">
        <v>192</v>
      </c>
      <c r="D1016" s="200" t="s">
        <v>112</v>
      </c>
      <c r="J1016" s="200" t="s">
        <v>112</v>
      </c>
    </row>
    <row r="1017" spans="1:24">
      <c r="A1017" s="4" t="s">
        <v>193</v>
      </c>
      <c r="B1017" s="231" t="s">
        <v>107</v>
      </c>
      <c r="C1017" s="231"/>
      <c r="D1017" s="231"/>
      <c r="E1017" s="231"/>
      <c r="F1017" s="231"/>
      <c r="H1017" s="231" t="s">
        <v>106</v>
      </c>
      <c r="I1017" s="231"/>
      <c r="J1017" s="231"/>
      <c r="K1017" s="231"/>
      <c r="L1017" s="231"/>
      <c r="M1017" s="4"/>
      <c r="N1017" s="66"/>
      <c r="O1017" s="66"/>
      <c r="P1017" s="66"/>
      <c r="Q1017" s="66"/>
      <c r="R1017" s="66"/>
      <c r="S1017" s="66"/>
      <c r="T1017" s="66"/>
      <c r="U1017" s="66"/>
      <c r="V1017" s="66"/>
    </row>
    <row r="1018" spans="1:24">
      <c r="A1018" s="158" t="s">
        <v>194</v>
      </c>
      <c r="B1018" s="232" t="s">
        <v>109</v>
      </c>
      <c r="C1018" s="232"/>
      <c r="D1018" s="232"/>
      <c r="E1018" s="232"/>
      <c r="F1018" s="232"/>
      <c r="H1018" s="232" t="s">
        <v>108</v>
      </c>
      <c r="I1018" s="232"/>
      <c r="J1018" s="232"/>
      <c r="K1018" s="232"/>
      <c r="L1018" s="232"/>
      <c r="M1018" s="158"/>
      <c r="N1018" s="68"/>
      <c r="O1018" s="68"/>
      <c r="P1018" s="68"/>
      <c r="Q1018" s="68"/>
      <c r="R1018" s="68"/>
      <c r="S1018" s="68"/>
      <c r="T1018" s="68"/>
      <c r="U1018" s="68"/>
      <c r="V1018" s="68"/>
    </row>
    <row r="1023" spans="1:24">
      <c r="A1023" s="235" t="s">
        <v>0</v>
      </c>
      <c r="B1023" s="235"/>
      <c r="C1023" s="235"/>
      <c r="D1023" s="235"/>
      <c r="E1023" s="235"/>
      <c r="F1023" s="235"/>
      <c r="G1023" s="235"/>
      <c r="H1023" s="235"/>
      <c r="I1023" s="235"/>
      <c r="J1023" s="235"/>
      <c r="K1023" s="235"/>
      <c r="L1023" s="235"/>
      <c r="M1023" s="69"/>
      <c r="N1023" s="69"/>
      <c r="O1023" s="69"/>
      <c r="P1023" s="69"/>
      <c r="Q1023" s="69"/>
      <c r="R1023" s="69"/>
      <c r="S1023" s="69"/>
      <c r="T1023" s="69"/>
      <c r="U1023" s="69"/>
      <c r="V1023" s="69"/>
    </row>
    <row r="1025" spans="1:24" customHeight="1" ht="15.6">
      <c r="A1025" s="236" t="s">
        <v>1</v>
      </c>
      <c r="B1025" s="236"/>
      <c r="C1025" s="236"/>
      <c r="D1025" s="236"/>
      <c r="E1025" s="236"/>
      <c r="F1025" s="236"/>
      <c r="G1025" s="236"/>
      <c r="H1025" s="236"/>
      <c r="I1025" s="236"/>
      <c r="J1025" s="236"/>
      <c r="K1025" s="236"/>
      <c r="L1025" s="236"/>
      <c r="M1025" s="3"/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1:24">
      <c r="A1026" s="231" t="s">
        <v>2</v>
      </c>
      <c r="B1026" s="231"/>
      <c r="C1026" s="231"/>
      <c r="D1026" s="231"/>
      <c r="E1026" s="231"/>
      <c r="F1026" s="231"/>
      <c r="G1026" s="231"/>
      <c r="H1026" s="231"/>
      <c r="I1026" s="231"/>
      <c r="J1026" s="231"/>
      <c r="K1026" s="231"/>
      <c r="L1026" s="231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8" spans="1:24">
      <c r="A1028" s="5" t="s">
        <v>195</v>
      </c>
    </row>
    <row r="1029" spans="1:24" customHeight="1" ht="15"/>
    <row r="1030" spans="1:24">
      <c r="A1030" s="7"/>
      <c r="B1030" s="8"/>
      <c r="C1030" s="203" t="s">
        <v>4</v>
      </c>
      <c r="D1030" s="204"/>
      <c r="E1030" s="205" t="s">
        <v>5</v>
      </c>
      <c r="F1030" s="206"/>
      <c r="G1030" s="206"/>
      <c r="H1030" s="206"/>
      <c r="I1030" s="206"/>
      <c r="J1030" s="207"/>
      <c r="K1030" s="203" t="s">
        <v>6</v>
      </c>
      <c r="L1030" s="22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4">
      <c r="A1031" s="9" t="s">
        <v>7</v>
      </c>
      <c r="B1031" s="10" t="s">
        <v>8</v>
      </c>
      <c r="C1031" s="210">
        <v>2024</v>
      </c>
      <c r="D1031" s="211"/>
      <c r="E1031" s="212" t="s">
        <v>9</v>
      </c>
      <c r="F1031" s="213"/>
      <c r="G1031" s="212" t="s">
        <v>10</v>
      </c>
      <c r="H1031" s="213"/>
      <c r="I1031" s="214" t="s">
        <v>11</v>
      </c>
      <c r="J1031" s="215"/>
      <c r="K1031" s="210">
        <v>2026</v>
      </c>
      <c r="L1031" s="229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spans="1:24" customHeight="1" ht="15">
      <c r="A1032" s="13"/>
      <c r="B1032" s="14"/>
      <c r="C1032" s="220" t="s">
        <v>12</v>
      </c>
      <c r="D1032" s="221"/>
      <c r="E1032" s="220" t="s">
        <v>12</v>
      </c>
      <c r="F1032" s="221"/>
      <c r="G1032" s="220" t="s">
        <v>13</v>
      </c>
      <c r="H1032" s="221"/>
      <c r="I1032" s="216"/>
      <c r="J1032" s="217"/>
      <c r="K1032" s="220" t="s">
        <v>14</v>
      </c>
      <c r="L1032" s="230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spans="1:24">
      <c r="A1033" s="15" t="s">
        <v>15</v>
      </c>
      <c r="B1033" s="16"/>
      <c r="C1033" s="17"/>
      <c r="D1033" s="18"/>
      <c r="E1033" s="17"/>
      <c r="F1033" s="18"/>
      <c r="G1033" s="17"/>
      <c r="H1033" s="18"/>
      <c r="I1033" s="17"/>
      <c r="J1033" s="18"/>
      <c r="K1033" s="17"/>
      <c r="L1033" s="19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spans="1:24">
      <c r="A1034" s="21" t="s">
        <v>16</v>
      </c>
      <c r="B1034" s="16" t="s">
        <v>17</v>
      </c>
      <c r="C1034" s="17" t="s">
        <v>18</v>
      </c>
      <c r="D1034" s="112">
        <v>1206339.25</v>
      </c>
      <c r="E1034" s="17" t="s">
        <v>18</v>
      </c>
      <c r="F1034" s="22">
        <v>627017</v>
      </c>
      <c r="G1034" s="17" t="s">
        <v>18</v>
      </c>
      <c r="H1034" s="22">
        <f>J1034-F1034</f>
        <v>645960</v>
      </c>
      <c r="I1034" s="17" t="s">
        <v>18</v>
      </c>
      <c r="J1034" s="22">
        <v>1272977</v>
      </c>
      <c r="K1034" s="17" t="s">
        <v>18</v>
      </c>
      <c r="L1034" s="25">
        <v>1444024</v>
      </c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</row>
    <row r="1035" spans="1:24">
      <c r="A1035" s="27" t="s">
        <v>19</v>
      </c>
      <c r="B1035" s="16"/>
      <c r="C1035" s="17"/>
      <c r="D1035" s="28"/>
      <c r="E1035" s="17"/>
      <c r="F1035" s="28"/>
      <c r="G1035" s="17"/>
      <c r="H1035" s="28"/>
      <c r="I1035" s="17"/>
      <c r="J1035" s="28"/>
      <c r="K1035" s="17"/>
      <c r="L1035" s="30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</row>
    <row r="1036" spans="1:24">
      <c r="A1036" s="21" t="s">
        <v>20</v>
      </c>
      <c r="B1036" s="16" t="s">
        <v>21</v>
      </c>
      <c r="C1036" s="17"/>
      <c r="D1036" s="28">
        <v>48000</v>
      </c>
      <c r="E1036" s="17"/>
      <c r="F1036" s="28">
        <v>24000</v>
      </c>
      <c r="G1036" s="17"/>
      <c r="H1036" s="22">
        <f>J1036-F1036</f>
        <v>24000</v>
      </c>
      <c r="I1036" s="17"/>
      <c r="J1036" s="28">
        <v>48000</v>
      </c>
      <c r="K1036" s="17"/>
      <c r="L1036" s="30">
        <v>48000</v>
      </c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</row>
    <row r="1037" spans="1:24">
      <c r="A1037" s="21" t="s">
        <v>22</v>
      </c>
      <c r="B1037" s="16" t="s">
        <v>23</v>
      </c>
      <c r="C1037" s="17"/>
      <c r="D1037" s="91">
        <v>81600</v>
      </c>
      <c r="E1037" s="17"/>
      <c r="F1037" s="91">
        <v>40800</v>
      </c>
      <c r="G1037" s="17"/>
      <c r="H1037" s="22">
        <f>J1037-F1037</f>
        <v>40800</v>
      </c>
      <c r="I1037" s="17"/>
      <c r="J1037" s="91">
        <v>81600</v>
      </c>
      <c r="K1037" s="17"/>
      <c r="L1037" s="92">
        <v>81600</v>
      </c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</row>
    <row r="1038" spans="1:24">
      <c r="A1038" s="21" t="s">
        <v>24</v>
      </c>
      <c r="B1038" s="16" t="s">
        <v>25</v>
      </c>
      <c r="C1038" s="17"/>
      <c r="D1038" s="91">
        <v>81600</v>
      </c>
      <c r="E1038" s="17"/>
      <c r="F1038" s="91">
        <v>40800</v>
      </c>
      <c r="G1038" s="17"/>
      <c r="H1038" s="22">
        <f>J1038-F1038</f>
        <v>40800</v>
      </c>
      <c r="I1038" s="17"/>
      <c r="J1038" s="91">
        <v>81600</v>
      </c>
      <c r="K1038" s="17"/>
      <c r="L1038" s="92">
        <v>81600</v>
      </c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</row>
    <row r="1039" spans="1:24">
      <c r="A1039" s="21" t="s">
        <v>26</v>
      </c>
      <c r="B1039" s="16" t="s">
        <v>27</v>
      </c>
      <c r="C1039" s="17"/>
      <c r="D1039" s="91">
        <v>14000</v>
      </c>
      <c r="E1039" s="17"/>
      <c r="F1039" s="91">
        <v>14000</v>
      </c>
      <c r="G1039" s="17"/>
      <c r="H1039" s="22">
        <f>J1039-F1039</f>
        <v>0</v>
      </c>
      <c r="I1039" s="17"/>
      <c r="J1039" s="91">
        <v>14000</v>
      </c>
      <c r="K1039" s="17"/>
      <c r="L1039" s="92">
        <v>14000</v>
      </c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</row>
    <row r="1040" spans="1:24">
      <c r="A1040" s="21" t="s">
        <v>28</v>
      </c>
      <c r="B1040" s="16" t="s">
        <v>29</v>
      </c>
      <c r="C1040" s="17"/>
      <c r="D1040" s="91">
        <v>10000</v>
      </c>
      <c r="E1040" s="17"/>
      <c r="F1040" s="91">
        <v>0</v>
      </c>
      <c r="G1040" s="17"/>
      <c r="H1040" s="22">
        <f>J1040-F1040</f>
        <v>10000</v>
      </c>
      <c r="I1040" s="17"/>
      <c r="J1040" s="91">
        <v>10000</v>
      </c>
      <c r="K1040" s="17"/>
      <c r="L1040" s="92">
        <v>0</v>
      </c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</row>
    <row r="1041" spans="1:24">
      <c r="A1041" s="21" t="s">
        <v>30</v>
      </c>
      <c r="B1041" s="16" t="s">
        <v>31</v>
      </c>
      <c r="C1041" s="17"/>
      <c r="D1041" s="91">
        <v>40000</v>
      </c>
      <c r="E1041" s="17"/>
      <c r="F1041" s="91">
        <v>0</v>
      </c>
      <c r="G1041" s="17"/>
      <c r="H1041" s="22">
        <f>J1041-F1041</f>
        <v>40000</v>
      </c>
      <c r="I1041" s="17"/>
      <c r="J1041" s="91">
        <v>40000</v>
      </c>
      <c r="K1041" s="17"/>
      <c r="L1041" s="92">
        <v>0</v>
      </c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</row>
    <row r="1042" spans="1:24">
      <c r="A1042" s="21" t="s">
        <v>32</v>
      </c>
      <c r="B1042" s="16" t="s">
        <v>33</v>
      </c>
      <c r="C1042" s="17"/>
      <c r="D1042" s="91">
        <v>104465</v>
      </c>
      <c r="E1042" s="17"/>
      <c r="F1042" s="91">
        <v>0</v>
      </c>
      <c r="G1042" s="17"/>
      <c r="H1042" s="22">
        <f>J1042-F1042</f>
        <v>109144</v>
      </c>
      <c r="I1042" s="17"/>
      <c r="J1042" s="91">
        <v>109144</v>
      </c>
      <c r="K1042" s="17"/>
      <c r="L1042" s="92">
        <v>142718</v>
      </c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</row>
    <row r="1043" spans="1:24">
      <c r="A1043" s="21" t="s">
        <v>34</v>
      </c>
      <c r="B1043" s="16" t="s">
        <v>35</v>
      </c>
      <c r="C1043" s="17"/>
      <c r="D1043" s="91">
        <v>10000</v>
      </c>
      <c r="E1043" s="17"/>
      <c r="F1043" s="91">
        <v>0</v>
      </c>
      <c r="G1043" s="17"/>
      <c r="H1043" s="22">
        <f>J1043-F1043</f>
        <v>10000</v>
      </c>
      <c r="I1043" s="17"/>
      <c r="J1043" s="91">
        <v>10000</v>
      </c>
      <c r="K1043" s="17"/>
      <c r="L1043" s="92">
        <v>10000</v>
      </c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</row>
    <row r="1044" spans="1:24">
      <c r="A1044" s="21" t="s">
        <v>36</v>
      </c>
      <c r="B1044" s="16" t="s">
        <v>37</v>
      </c>
      <c r="C1044" s="17"/>
      <c r="D1044" s="91">
        <v>98484</v>
      </c>
      <c r="E1044" s="17"/>
      <c r="F1044" s="91">
        <v>104465</v>
      </c>
      <c r="G1044" s="17"/>
      <c r="H1044" s="22">
        <f>J1044-F1044</f>
        <v>0</v>
      </c>
      <c r="I1044" s="17"/>
      <c r="J1044" s="91">
        <v>104465</v>
      </c>
      <c r="K1044" s="17"/>
      <c r="L1044" s="92">
        <v>109144</v>
      </c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</row>
    <row r="1045" spans="1:24">
      <c r="A1045" s="27" t="s">
        <v>38</v>
      </c>
      <c r="B1045" s="16"/>
      <c r="C1045" s="17"/>
      <c r="D1045" s="28"/>
      <c r="E1045" s="17"/>
      <c r="F1045" s="28"/>
      <c r="G1045" s="17"/>
      <c r="H1045" s="28"/>
      <c r="I1045" s="17"/>
      <c r="J1045" s="28"/>
      <c r="K1045" s="17"/>
      <c r="L1045" s="30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</row>
    <row r="1046" spans="1:24">
      <c r="A1046" s="21" t="s">
        <v>39</v>
      </c>
      <c r="B1046" s="16" t="s">
        <v>40</v>
      </c>
      <c r="C1046" s="17"/>
      <c r="D1046" s="28">
        <v>144760.71</v>
      </c>
      <c r="E1046" s="17"/>
      <c r="F1046" s="28">
        <v>75242.04</v>
      </c>
      <c r="G1046" s="17"/>
      <c r="H1046" s="22">
        <f>J1046-F1046</f>
        <v>77514.96</v>
      </c>
      <c r="I1046" s="17"/>
      <c r="J1046" s="28">
        <v>152757</v>
      </c>
      <c r="K1046" s="17"/>
      <c r="L1046" s="30">
        <v>173310</v>
      </c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</row>
    <row r="1047" spans="1:24">
      <c r="A1047" s="21" t="s">
        <v>41</v>
      </c>
      <c r="B1047" s="16" t="s">
        <v>42</v>
      </c>
      <c r="C1047" s="17"/>
      <c r="D1047" s="91">
        <v>4600</v>
      </c>
      <c r="E1047" s="17"/>
      <c r="F1047" s="91">
        <v>2400</v>
      </c>
      <c r="G1047" s="17"/>
      <c r="H1047" s="22">
        <f>J1047-F1047</f>
        <v>2400</v>
      </c>
      <c r="I1047" s="17"/>
      <c r="J1047" s="91">
        <v>4800</v>
      </c>
      <c r="K1047" s="17"/>
      <c r="L1047" s="92">
        <v>4800</v>
      </c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</row>
    <row r="1048" spans="1:24">
      <c r="A1048" s="21" t="s">
        <v>43</v>
      </c>
      <c r="B1048" s="16" t="s">
        <v>44</v>
      </c>
      <c r="C1048" s="17"/>
      <c r="D1048" s="91">
        <v>30158.5</v>
      </c>
      <c r="E1048" s="17"/>
      <c r="F1048" s="91">
        <v>15675.46</v>
      </c>
      <c r="G1048" s="17"/>
      <c r="H1048" s="22">
        <f>J1048-F1048</f>
        <v>16149.54</v>
      </c>
      <c r="I1048" s="17"/>
      <c r="J1048" s="91">
        <v>31825</v>
      </c>
      <c r="K1048" s="17"/>
      <c r="L1048" s="92">
        <v>36110</v>
      </c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</row>
    <row r="1049" spans="1:24">
      <c r="A1049" s="21" t="s">
        <v>45</v>
      </c>
      <c r="B1049" s="16" t="s">
        <v>46</v>
      </c>
      <c r="C1049" s="17"/>
      <c r="D1049" s="91">
        <v>2400</v>
      </c>
      <c r="E1049" s="17"/>
      <c r="F1049" s="91">
        <v>1200</v>
      </c>
      <c r="G1049" s="17"/>
      <c r="H1049" s="22">
        <f>J1049-F1049</f>
        <v>1200</v>
      </c>
      <c r="I1049" s="17"/>
      <c r="J1049" s="91">
        <v>2400</v>
      </c>
      <c r="K1049" s="17"/>
      <c r="L1049" s="92">
        <v>2400</v>
      </c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</row>
    <row r="1050" spans="1:24">
      <c r="A1050" s="27" t="s">
        <v>47</v>
      </c>
      <c r="B1050" s="16"/>
      <c r="C1050" s="23"/>
      <c r="D1050" s="28"/>
      <c r="E1050" s="17"/>
      <c r="F1050" s="28"/>
      <c r="G1050" s="17"/>
      <c r="H1050" s="28"/>
      <c r="I1050" s="17"/>
      <c r="J1050" s="28"/>
      <c r="K1050" s="17"/>
      <c r="L1050" s="30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</row>
    <row r="1051" spans="1:24" customHeight="1" ht="15">
      <c r="A1051" s="21" t="s">
        <v>50</v>
      </c>
      <c r="B1051" s="16" t="s">
        <v>51</v>
      </c>
      <c r="C1051" s="17"/>
      <c r="D1051" s="41">
        <v>5000</v>
      </c>
      <c r="E1051" s="17"/>
      <c r="F1051" s="41">
        <v>14000</v>
      </c>
      <c r="G1051" s="17"/>
      <c r="H1051" s="41">
        <f>J1051-F1051</f>
        <v>0</v>
      </c>
      <c r="I1051" s="17"/>
      <c r="J1051" s="41">
        <v>14000</v>
      </c>
      <c r="K1051" s="17"/>
      <c r="L1051" s="55">
        <v>14000</v>
      </c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</row>
    <row r="1052" spans="1:24" customHeight="1" ht="15">
      <c r="A1052" s="44" t="s">
        <v>52</v>
      </c>
      <c r="B1052" s="45"/>
      <c r="C1052" s="46" t="s">
        <v>18</v>
      </c>
      <c r="D1052" s="47">
        <f>SUM(D1034:D1051)</f>
        <v>1881407.46</v>
      </c>
      <c r="E1052" s="48" t="s">
        <v>18</v>
      </c>
      <c r="F1052" s="47">
        <f>SUM(F1034:F1051)</f>
        <v>959599.5</v>
      </c>
      <c r="G1052" s="48" t="s">
        <v>18</v>
      </c>
      <c r="H1052" s="47">
        <f>SUM(H1034:H1051)</f>
        <v>1017968.5</v>
      </c>
      <c r="I1052" s="48" t="s">
        <v>18</v>
      </c>
      <c r="J1052" s="47">
        <f>SUM(J1034:J1051)</f>
        <v>1977568</v>
      </c>
      <c r="K1052" s="48" t="s">
        <v>18</v>
      </c>
      <c r="L1052" s="95">
        <f>SUM(L1034:L1051)</f>
        <v>2161706</v>
      </c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</row>
    <row r="1056" spans="1:24">
      <c r="J1056" s="17"/>
    </row>
    <row r="1057" spans="1:24">
      <c r="A1057" s="235" t="s">
        <v>0</v>
      </c>
      <c r="B1057" s="235"/>
      <c r="C1057" s="235"/>
      <c r="D1057" s="235"/>
      <c r="E1057" s="235"/>
      <c r="F1057" s="235"/>
      <c r="G1057" s="235"/>
      <c r="H1057" s="235"/>
      <c r="I1057" s="235"/>
      <c r="J1057" s="235"/>
      <c r="K1057" s="235"/>
      <c r="L1057" s="235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</row>
    <row r="1059" spans="1:24" customHeight="1" ht="15.6">
      <c r="A1059" s="236" t="s">
        <v>1</v>
      </c>
      <c r="B1059" s="236"/>
      <c r="C1059" s="236"/>
      <c r="D1059" s="236"/>
      <c r="E1059" s="236"/>
      <c r="F1059" s="236"/>
      <c r="G1059" s="236"/>
      <c r="H1059" s="236"/>
      <c r="I1059" s="236"/>
      <c r="J1059" s="236"/>
      <c r="K1059" s="236"/>
      <c r="L1059" s="236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:24">
      <c r="A1060" s="231" t="s">
        <v>2</v>
      </c>
      <c r="B1060" s="231"/>
      <c r="C1060" s="231"/>
      <c r="D1060" s="231"/>
      <c r="E1060" s="231"/>
      <c r="F1060" s="231"/>
      <c r="G1060" s="231"/>
      <c r="H1060" s="231"/>
      <c r="I1060" s="231"/>
      <c r="J1060" s="231"/>
      <c r="K1060" s="231"/>
      <c r="L1060" s="231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2" spans="1:24">
      <c r="A1062" s="5" t="s">
        <v>195</v>
      </c>
    </row>
    <row r="1063" spans="1:24" customHeight="1" ht="15"/>
    <row r="1064" spans="1:24">
      <c r="A1064" s="7"/>
      <c r="B1064" s="8"/>
      <c r="C1064" s="203" t="s">
        <v>4</v>
      </c>
      <c r="D1064" s="204"/>
      <c r="E1064" s="205" t="s">
        <v>5</v>
      </c>
      <c r="F1064" s="206"/>
      <c r="G1064" s="206"/>
      <c r="H1064" s="206"/>
      <c r="I1064" s="206"/>
      <c r="J1064" s="207"/>
      <c r="K1064" s="203" t="s">
        <v>6</v>
      </c>
      <c r="L1064" s="22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spans="1:24">
      <c r="A1065" s="9" t="s">
        <v>7</v>
      </c>
      <c r="B1065" s="10" t="s">
        <v>8</v>
      </c>
      <c r="C1065" s="210">
        <v>2024</v>
      </c>
      <c r="D1065" s="211"/>
      <c r="E1065" s="212" t="s">
        <v>9</v>
      </c>
      <c r="F1065" s="213"/>
      <c r="G1065" s="212" t="s">
        <v>10</v>
      </c>
      <c r="H1065" s="213"/>
      <c r="I1065" s="214" t="s">
        <v>11</v>
      </c>
      <c r="J1065" s="215"/>
      <c r="K1065" s="210">
        <v>2026</v>
      </c>
      <c r="L1065" s="229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spans="1:24" customHeight="1" ht="15">
      <c r="A1066" s="13"/>
      <c r="B1066" s="14"/>
      <c r="C1066" s="220" t="s">
        <v>12</v>
      </c>
      <c r="D1066" s="221"/>
      <c r="E1066" s="220" t="s">
        <v>12</v>
      </c>
      <c r="F1066" s="221"/>
      <c r="G1066" s="220" t="s">
        <v>13</v>
      </c>
      <c r="H1066" s="221"/>
      <c r="I1066" s="216"/>
      <c r="J1066" s="217"/>
      <c r="K1066" s="220" t="s">
        <v>14</v>
      </c>
      <c r="L1066" s="230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spans="1:24">
      <c r="A1067" s="27" t="s">
        <v>53</v>
      </c>
      <c r="B1067" s="52"/>
      <c r="C1067" s="17"/>
      <c r="D1067" s="18"/>
      <c r="E1067" s="17"/>
      <c r="F1067" s="18"/>
      <c r="G1067" s="17"/>
      <c r="H1067" s="18"/>
      <c r="I1067" s="17"/>
      <c r="J1067" s="18"/>
      <c r="K1067" s="17"/>
      <c r="L1067" s="19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spans="1:24">
      <c r="A1068" s="21" t="s">
        <v>54</v>
      </c>
      <c r="B1068" s="16" t="s">
        <v>55</v>
      </c>
      <c r="C1068" s="17" t="s">
        <v>18</v>
      </c>
      <c r="D1068" s="28">
        <v>54325.6</v>
      </c>
      <c r="E1068" s="17" t="s">
        <v>18</v>
      </c>
      <c r="F1068" s="28">
        <v>83904.44</v>
      </c>
      <c r="G1068" s="17" t="s">
        <v>18</v>
      </c>
      <c r="H1068" s="28">
        <f>J1068-F1068</f>
        <v>18095.56</v>
      </c>
      <c r="I1068" s="17" t="s">
        <v>18</v>
      </c>
      <c r="J1068" s="28">
        <v>102000</v>
      </c>
      <c r="K1068" s="17" t="s">
        <v>18</v>
      </c>
      <c r="L1068" s="30">
        <v>95000</v>
      </c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</row>
    <row r="1069" spans="1:24">
      <c r="A1069" s="21" t="s">
        <v>58</v>
      </c>
      <c r="B1069" s="16" t="s">
        <v>59</v>
      </c>
      <c r="C1069" s="17"/>
      <c r="D1069" s="91">
        <v>114953.38</v>
      </c>
      <c r="E1069" s="17"/>
      <c r="F1069" s="91">
        <v>37115.48</v>
      </c>
      <c r="G1069" s="17"/>
      <c r="H1069" s="91">
        <f>J1069-F1069</f>
        <v>50884.52</v>
      </c>
      <c r="I1069" s="17"/>
      <c r="J1069" s="91">
        <v>88000</v>
      </c>
      <c r="K1069" s="17"/>
      <c r="L1069" s="92">
        <v>100000</v>
      </c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</row>
    <row r="1070" spans="1:24">
      <c r="A1070" s="21" t="s">
        <v>70</v>
      </c>
      <c r="B1070" s="16" t="s">
        <v>71</v>
      </c>
      <c r="D1070" s="91">
        <v>60000</v>
      </c>
      <c r="E1070" s="17"/>
      <c r="F1070" s="91">
        <v>25000</v>
      </c>
      <c r="G1070" s="17"/>
      <c r="H1070" s="91">
        <f>J1070-F1070</f>
        <v>35000</v>
      </c>
      <c r="I1070" s="17"/>
      <c r="J1070" s="91">
        <v>60000</v>
      </c>
      <c r="K1070" s="17"/>
      <c r="L1070" s="92">
        <v>60000</v>
      </c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</row>
    <row r="1071" spans="1:24">
      <c r="A1071" s="21" t="s">
        <v>72</v>
      </c>
      <c r="B1071" s="16" t="s">
        <v>73</v>
      </c>
      <c r="D1071" s="91">
        <v>13449.98</v>
      </c>
      <c r="E1071" s="17"/>
      <c r="F1071" s="91">
        <v>11330.97</v>
      </c>
      <c r="G1071" s="17"/>
      <c r="H1071" s="91">
        <f>J1071-F1071</f>
        <v>13669.03</v>
      </c>
      <c r="I1071" s="17"/>
      <c r="J1071" s="91">
        <v>25000</v>
      </c>
      <c r="K1071" s="17"/>
      <c r="L1071" s="92">
        <v>25000</v>
      </c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</row>
    <row r="1072" spans="1:24">
      <c r="A1072" s="21" t="s">
        <v>80</v>
      </c>
      <c r="B1072" s="16" t="s">
        <v>81</v>
      </c>
      <c r="D1072" s="91">
        <v>14650</v>
      </c>
      <c r="E1072" s="17"/>
      <c r="F1072" s="91">
        <v>11850</v>
      </c>
      <c r="G1072" s="17"/>
      <c r="H1072" s="91">
        <f>J1072-F1072</f>
        <v>13150</v>
      </c>
      <c r="I1072" s="17"/>
      <c r="J1072" s="91">
        <v>25000</v>
      </c>
      <c r="K1072" s="17"/>
      <c r="L1072" s="92">
        <v>25000</v>
      </c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</row>
    <row r="1073" spans="1:24" customHeight="1" ht="15">
      <c r="A1073" s="21" t="s">
        <v>92</v>
      </c>
      <c r="B1073" s="16" t="s">
        <v>93</v>
      </c>
      <c r="D1073" s="41">
        <v>1250</v>
      </c>
      <c r="E1073" s="17"/>
      <c r="F1073" s="41">
        <v>3512.5</v>
      </c>
      <c r="G1073" s="17"/>
      <c r="H1073" s="93">
        <f>J1073-F1073</f>
        <v>1487.5</v>
      </c>
      <c r="I1073" s="17"/>
      <c r="J1073" s="41">
        <v>5000</v>
      </c>
      <c r="K1073" s="17"/>
      <c r="L1073" s="55">
        <v>0</v>
      </c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</row>
    <row r="1074" spans="1:24" customHeight="1" ht="15">
      <c r="A1074" s="27" t="s">
        <v>94</v>
      </c>
      <c r="B1074" s="52"/>
      <c r="C1074" s="56" t="s">
        <v>18</v>
      </c>
      <c r="D1074" s="47">
        <f>SUM(D1068:D1073)</f>
        <v>258628.96</v>
      </c>
      <c r="E1074" s="56" t="s">
        <v>18</v>
      </c>
      <c r="F1074" s="47">
        <f>SUM(F1068:F1073)</f>
        <v>172713.39</v>
      </c>
      <c r="G1074" s="56" t="s">
        <v>18</v>
      </c>
      <c r="H1074" s="47">
        <f>SUM(H1068:H1073)</f>
        <v>132286.61</v>
      </c>
      <c r="I1074" s="56" t="s">
        <v>18</v>
      </c>
      <c r="J1074" s="47">
        <f>SUM(J1068:J1073)</f>
        <v>305000</v>
      </c>
      <c r="K1074" s="56" t="s">
        <v>18</v>
      </c>
      <c r="L1074" s="49">
        <f>SUM(L1068:L1073)</f>
        <v>305000</v>
      </c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</row>
    <row r="1075" spans="1:24">
      <c r="A1075" s="27" t="s">
        <v>95</v>
      </c>
      <c r="B1075" s="52"/>
      <c r="D1075" s="75"/>
      <c r="E1075" s="17"/>
      <c r="F1075" s="75"/>
      <c r="G1075" s="17"/>
      <c r="H1075" s="75"/>
      <c r="I1075" s="17"/>
      <c r="J1075" s="75"/>
      <c r="K1075" s="17"/>
      <c r="L1075" s="7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</row>
    <row r="1076" spans="1:24" customHeight="1" ht="15">
      <c r="A1076" s="21" t="s">
        <v>188</v>
      </c>
      <c r="B1076" s="16" t="s">
        <v>97</v>
      </c>
      <c r="C1076" s="17" t="s">
        <v>18</v>
      </c>
      <c r="D1076" s="28">
        <v>0</v>
      </c>
      <c r="E1076" s="17" t="s">
        <v>18</v>
      </c>
      <c r="F1076" s="28">
        <v>0</v>
      </c>
      <c r="G1076" s="17" t="s">
        <v>18</v>
      </c>
      <c r="H1076" s="28">
        <v>0</v>
      </c>
      <c r="I1076" s="17" t="s">
        <v>18</v>
      </c>
      <c r="J1076" s="28">
        <v>91250</v>
      </c>
      <c r="K1076" s="17" t="s">
        <v>18</v>
      </c>
      <c r="L1076" s="30">
        <v>91250</v>
      </c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</row>
    <row r="1077" spans="1:24" customHeight="1" ht="15">
      <c r="A1077" s="27" t="s">
        <v>98</v>
      </c>
      <c r="B1077" s="16"/>
      <c r="C1077" s="56" t="s">
        <v>18</v>
      </c>
      <c r="D1077" s="77">
        <f>SUM(D1076)</f>
        <v>0</v>
      </c>
      <c r="E1077" s="56" t="s">
        <v>18</v>
      </c>
      <c r="F1077" s="77">
        <f>SUM(F1076)</f>
        <v>0</v>
      </c>
      <c r="G1077" s="56" t="s">
        <v>18</v>
      </c>
      <c r="H1077" s="77">
        <f>SUM(H1076)</f>
        <v>0</v>
      </c>
      <c r="I1077" s="56" t="s">
        <v>18</v>
      </c>
      <c r="J1077" s="77">
        <f>SUM(J1076)</f>
        <v>91250</v>
      </c>
      <c r="K1077" s="56" t="s">
        <v>18</v>
      </c>
      <c r="L1077" s="78">
        <f>SUM(L1076)</f>
        <v>91250</v>
      </c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</row>
    <row r="1078" spans="1:24" customHeight="1" ht="15">
      <c r="A1078" s="79" t="s">
        <v>99</v>
      </c>
      <c r="B1078" s="80"/>
      <c r="C1078" s="81" t="s">
        <v>18</v>
      </c>
      <c r="D1078" s="82">
        <f>D1052+D1074+D1077</f>
        <v>2140036.42</v>
      </c>
      <c r="E1078" s="83" t="s">
        <v>18</v>
      </c>
      <c r="F1078" s="82">
        <f>F1052+F1074+F1077</f>
        <v>1132312.89</v>
      </c>
      <c r="G1078" s="83" t="s">
        <v>18</v>
      </c>
      <c r="H1078" s="82">
        <f>H1052+H1074+H1077</f>
        <v>1150255.11</v>
      </c>
      <c r="I1078" s="83" t="s">
        <v>18</v>
      </c>
      <c r="J1078" s="82">
        <f>J1052+J1074+J1077</f>
        <v>2373818</v>
      </c>
      <c r="K1078" s="83" t="s">
        <v>18</v>
      </c>
      <c r="L1078" s="84">
        <f>L1052+L1074+L1077</f>
        <v>2557956</v>
      </c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</row>
    <row r="1079" spans="1:24" customHeight="1" ht="15">
      <c r="A1079" s="5"/>
      <c r="C1079" s="56"/>
      <c r="D1079" s="59"/>
      <c r="E1079" s="56"/>
      <c r="F1079" s="59"/>
      <c r="G1079" s="56"/>
      <c r="H1079" s="59"/>
      <c r="I1079" s="56"/>
      <c r="J1079" s="59"/>
      <c r="K1079" s="56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</row>
    <row r="1080" spans="1:24" customHeight="1" ht="15.6">
      <c r="A1080" s="159" t="s">
        <v>100</v>
      </c>
      <c r="B1080" s="159" t="s">
        <v>101</v>
      </c>
      <c r="C1080" s="159"/>
      <c r="D1080" s="159"/>
      <c r="E1080" s="159"/>
      <c r="F1080" s="159"/>
      <c r="G1080" s="159" t="s">
        <v>102</v>
      </c>
      <c r="H1080" s="159"/>
      <c r="I1080" s="159"/>
      <c r="J1080" s="159"/>
      <c r="K1080" s="159"/>
      <c r="L1080" s="160"/>
      <c r="M1080" s="160"/>
    </row>
    <row r="1081" spans="1:24" customHeight="1" ht="15.6">
      <c r="A1081" s="159"/>
      <c r="B1081" s="159"/>
      <c r="C1081" s="159"/>
      <c r="D1081" s="159"/>
      <c r="E1081" s="159"/>
      <c r="F1081" s="159"/>
      <c r="G1081" s="159"/>
      <c r="H1081" s="159"/>
      <c r="I1081" s="159"/>
      <c r="J1081" s="159"/>
      <c r="K1081" s="159"/>
      <c r="L1081" s="160"/>
      <c r="M1081" s="160"/>
    </row>
    <row r="1082" spans="1:24" customHeight="1" ht="15.6">
      <c r="A1082" s="201" t="s">
        <v>196</v>
      </c>
      <c r="B1082" s="159"/>
      <c r="C1082" s="159"/>
      <c r="D1082" s="201" t="s">
        <v>112</v>
      </c>
      <c r="E1082" s="159"/>
      <c r="F1082" s="159"/>
      <c r="G1082" s="159"/>
      <c r="H1082" s="159"/>
      <c r="I1082" s="159"/>
      <c r="J1082" s="201" t="s">
        <v>112</v>
      </c>
      <c r="K1082" s="159"/>
      <c r="L1082" s="160"/>
      <c r="M1082" s="160"/>
    </row>
    <row r="1083" spans="1:24" customHeight="1" ht="15.6">
      <c r="A1083" s="3" t="s">
        <v>197</v>
      </c>
      <c r="B1083" s="236" t="s">
        <v>107</v>
      </c>
      <c r="C1083" s="236"/>
      <c r="D1083" s="236"/>
      <c r="E1083" s="236"/>
      <c r="F1083" s="236"/>
      <c r="G1083" s="159"/>
      <c r="H1083" s="236" t="s">
        <v>106</v>
      </c>
      <c r="I1083" s="236"/>
      <c r="J1083" s="236"/>
      <c r="K1083" s="236"/>
      <c r="L1083" s="236"/>
      <c r="M1083" s="3"/>
      <c r="N1083" s="66"/>
      <c r="O1083" s="66"/>
      <c r="P1083" s="66"/>
      <c r="Q1083" s="66"/>
      <c r="R1083" s="66"/>
      <c r="S1083" s="66"/>
      <c r="T1083" s="66"/>
      <c r="U1083" s="66"/>
      <c r="V1083" s="66"/>
    </row>
    <row r="1084" spans="1:24" customHeight="1" ht="15.6">
      <c r="A1084" s="161" t="s">
        <v>198</v>
      </c>
      <c r="B1084" s="237" t="s">
        <v>109</v>
      </c>
      <c r="C1084" s="237"/>
      <c r="D1084" s="237"/>
      <c r="E1084" s="237"/>
      <c r="F1084" s="237"/>
      <c r="G1084" s="159"/>
      <c r="H1084" s="237" t="s">
        <v>108</v>
      </c>
      <c r="I1084" s="237"/>
      <c r="J1084" s="237"/>
      <c r="K1084" s="237"/>
      <c r="L1084" s="237"/>
      <c r="M1084" s="161"/>
      <c r="N1084" s="68"/>
      <c r="O1084" s="68"/>
      <c r="P1084" s="68"/>
      <c r="Q1084" s="68"/>
      <c r="R1084" s="68"/>
      <c r="S1084" s="68"/>
      <c r="T1084" s="68"/>
      <c r="U1084" s="68"/>
      <c r="V1084" s="68"/>
    </row>
    <row r="1085" spans="1:24" customHeight="1" ht="15.6">
      <c r="A1085" s="159"/>
      <c r="B1085" s="159"/>
      <c r="C1085" s="159"/>
      <c r="D1085" s="159"/>
      <c r="E1085" s="159"/>
      <c r="F1085" s="159"/>
      <c r="G1085" s="159"/>
      <c r="H1085" s="159"/>
      <c r="I1085" s="159"/>
      <c r="J1085" s="159"/>
      <c r="K1085" s="159"/>
      <c r="L1085" s="160"/>
      <c r="M1085" s="160"/>
    </row>
    <row r="1086" spans="1:24" customHeight="1" ht="15.6">
      <c r="A1086" s="159"/>
      <c r="B1086" s="159"/>
      <c r="C1086" s="159"/>
      <c r="D1086" s="159"/>
      <c r="E1086" s="159"/>
      <c r="F1086" s="159"/>
      <c r="G1086" s="159"/>
      <c r="H1086" s="159"/>
      <c r="I1086" s="159"/>
      <c r="J1086" s="159"/>
      <c r="K1086" s="159"/>
      <c r="L1086" s="160"/>
      <c r="M1086" s="160"/>
    </row>
    <row r="1087" spans="1:24" customHeight="1" ht="15.6">
      <c r="A1087" s="159"/>
      <c r="B1087" s="159"/>
      <c r="C1087" s="159"/>
      <c r="D1087" s="159"/>
      <c r="E1087" s="159"/>
      <c r="F1087" s="159"/>
      <c r="G1087" s="159"/>
      <c r="H1087" s="159"/>
      <c r="I1087" s="159"/>
      <c r="J1087" s="159"/>
      <c r="K1087" s="159"/>
      <c r="L1087" s="160"/>
      <c r="M1087" s="160"/>
    </row>
    <row r="1089" spans="1:24">
      <c r="J1089" s="17"/>
    </row>
    <row r="1090" spans="1:24">
      <c r="A1090" s="235" t="s">
        <v>0</v>
      </c>
      <c r="B1090" s="235"/>
      <c r="C1090" s="235"/>
      <c r="D1090" s="235"/>
      <c r="E1090" s="235"/>
      <c r="F1090" s="235"/>
      <c r="G1090" s="235"/>
      <c r="H1090" s="235"/>
      <c r="I1090" s="235"/>
      <c r="J1090" s="235"/>
      <c r="K1090" s="235"/>
      <c r="L1090" s="235"/>
      <c r="M1090" s="69"/>
      <c r="N1090" s="69"/>
      <c r="O1090" s="69"/>
      <c r="P1090" s="69"/>
      <c r="Q1090" s="69"/>
      <c r="R1090" s="69"/>
      <c r="S1090" s="69"/>
      <c r="T1090" s="69"/>
      <c r="U1090" s="69"/>
      <c r="V1090" s="69"/>
    </row>
    <row r="1091" spans="1:24" customHeight="1" ht="15.6">
      <c r="A1091" s="236" t="s">
        <v>1</v>
      </c>
      <c r="B1091" s="236"/>
      <c r="C1091" s="236"/>
      <c r="D1091" s="236"/>
      <c r="E1091" s="236"/>
      <c r="F1091" s="236"/>
      <c r="G1091" s="236"/>
      <c r="H1091" s="236"/>
      <c r="I1091" s="236"/>
      <c r="J1091" s="236"/>
      <c r="K1091" s="236"/>
      <c r="L1091" s="236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2" spans="1:24">
      <c r="A1092" s="231" t="s">
        <v>2</v>
      </c>
      <c r="B1092" s="231"/>
      <c r="C1092" s="231"/>
      <c r="D1092" s="231"/>
      <c r="E1092" s="231"/>
      <c r="F1092" s="231"/>
      <c r="G1092" s="231"/>
      <c r="H1092" s="231"/>
      <c r="I1092" s="231"/>
      <c r="J1092" s="231"/>
      <c r="K1092" s="231"/>
      <c r="L1092" s="231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4" spans="1:24" customHeight="1" ht="15">
      <c r="A1094" s="5" t="s">
        <v>199</v>
      </c>
    </row>
    <row r="1095" spans="1:24">
      <c r="A1095" s="7"/>
      <c r="B1095" s="8"/>
      <c r="C1095" s="203" t="s">
        <v>4</v>
      </c>
      <c r="D1095" s="204"/>
      <c r="E1095" s="205" t="s">
        <v>5</v>
      </c>
      <c r="F1095" s="206"/>
      <c r="G1095" s="206"/>
      <c r="H1095" s="206"/>
      <c r="I1095" s="206"/>
      <c r="J1095" s="207"/>
      <c r="K1095" s="203" t="s">
        <v>6</v>
      </c>
      <c r="L1095" s="22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spans="1:24">
      <c r="A1096" s="9" t="s">
        <v>7</v>
      </c>
      <c r="B1096" s="10" t="s">
        <v>8</v>
      </c>
      <c r="C1096" s="210">
        <v>2024</v>
      </c>
      <c r="D1096" s="211"/>
      <c r="E1096" s="225" t="s">
        <v>9</v>
      </c>
      <c r="F1096" s="226"/>
      <c r="G1096" s="225" t="s">
        <v>10</v>
      </c>
      <c r="H1096" s="226"/>
      <c r="I1096" s="227" t="s">
        <v>11</v>
      </c>
      <c r="J1096" s="228"/>
      <c r="K1096" s="210">
        <v>2026</v>
      </c>
      <c r="L1096" s="229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spans="1:24" customHeight="1" ht="15">
      <c r="A1097" s="13"/>
      <c r="B1097" s="14"/>
      <c r="C1097" s="220" t="s">
        <v>12</v>
      </c>
      <c r="D1097" s="221"/>
      <c r="E1097" s="220" t="s">
        <v>12</v>
      </c>
      <c r="F1097" s="221"/>
      <c r="G1097" s="220" t="s">
        <v>13</v>
      </c>
      <c r="H1097" s="221"/>
      <c r="I1097" s="216"/>
      <c r="J1097" s="217"/>
      <c r="K1097" s="220" t="s">
        <v>14</v>
      </c>
      <c r="L1097" s="230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4">
      <c r="A1098" s="21" t="s">
        <v>200</v>
      </c>
      <c r="B1098" s="138" t="s">
        <v>201</v>
      </c>
      <c r="C1098" s="17" t="s">
        <v>18</v>
      </c>
      <c r="D1098" s="192">
        <v>1447376.63</v>
      </c>
      <c r="E1098" s="17" t="s">
        <v>18</v>
      </c>
      <c r="F1098" s="192">
        <v>406042</v>
      </c>
      <c r="G1098" s="17" t="s">
        <v>18</v>
      </c>
      <c r="H1098" s="192">
        <v>1313928.74</v>
      </c>
      <c r="I1098" s="17" t="s">
        <v>18</v>
      </c>
      <c r="J1098" s="193">
        <v>1719970.74</v>
      </c>
      <c r="K1098" s="17" t="s">
        <v>18</v>
      </c>
      <c r="L1098" s="194">
        <v>1950187.88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spans="1:24" customHeight="1" ht="15">
      <c r="A1099" s="21" t="s">
        <v>202</v>
      </c>
      <c r="B1099" s="138" t="s">
        <v>203</v>
      </c>
      <c r="C1099" s="17"/>
      <c r="D1099" s="171">
        <v>450000</v>
      </c>
      <c r="E1099" s="17"/>
      <c r="F1099" s="171">
        <v>0</v>
      </c>
      <c r="G1099" s="17"/>
      <c r="H1099" s="171">
        <v>0</v>
      </c>
      <c r="I1099" s="17"/>
      <c r="J1099" s="171">
        <v>450000</v>
      </c>
      <c r="K1099" s="4"/>
      <c r="L1099" s="195">
        <v>450000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spans="1:24">
      <c r="A1100" s="129" t="s">
        <v>204</v>
      </c>
      <c r="B1100" s="138"/>
      <c r="C1100" s="117" t="s">
        <v>18</v>
      </c>
      <c r="D1100" s="28">
        <f>SUM(D1098:D1099)</f>
        <v>1897376.63</v>
      </c>
      <c r="E1100" s="117" t="s">
        <v>18</v>
      </c>
      <c r="F1100" s="28">
        <f>SUM(F1098:F1099)</f>
        <v>406042</v>
      </c>
      <c r="G1100" s="117" t="s">
        <v>18</v>
      </c>
      <c r="H1100" s="28">
        <f>SUM(H1098:H1099)</f>
        <v>1313928.74</v>
      </c>
      <c r="I1100" s="117" t="s">
        <v>18</v>
      </c>
      <c r="J1100" s="28">
        <f>SUM(J1098:J1099)</f>
        <v>2169970.74</v>
      </c>
      <c r="K1100" s="117" t="s">
        <v>18</v>
      </c>
      <c r="L1100" s="196">
        <f>SUM(L1098:L1099)</f>
        <v>2400187.88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spans="1:24">
      <c r="A1101" s="27" t="s">
        <v>205</v>
      </c>
      <c r="B1101" s="113"/>
      <c r="C1101" s="4"/>
      <c r="D1101" s="11"/>
      <c r="E1101" s="4"/>
      <c r="F1101" s="11"/>
      <c r="G1101" s="4"/>
      <c r="H1101" s="11"/>
      <c r="I1101" s="114"/>
      <c r="J1101" s="115"/>
      <c r="K1101" s="4"/>
      <c r="L1101" s="12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spans="1:24">
      <c r="A1102" s="21" t="s">
        <v>206</v>
      </c>
      <c r="B1102" s="16" t="s">
        <v>207</v>
      </c>
      <c r="C1102" s="17" t="s">
        <v>18</v>
      </c>
      <c r="D1102" s="165">
        <v>0</v>
      </c>
      <c r="E1102" s="17" t="s">
        <v>18</v>
      </c>
      <c r="F1102" s="165">
        <v>0</v>
      </c>
      <c r="G1102" s="17" t="s">
        <v>18</v>
      </c>
      <c r="H1102" s="165">
        <v>0</v>
      </c>
      <c r="I1102" s="17" t="s">
        <v>18</v>
      </c>
      <c r="J1102" s="174">
        <v>875218.33</v>
      </c>
      <c r="K1102" s="17" t="s">
        <v>18</v>
      </c>
      <c r="L1102" s="166">
        <v>0</v>
      </c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</row>
    <row r="1103" spans="1:24">
      <c r="A1103" s="21" t="s">
        <v>208</v>
      </c>
      <c r="B1103" s="16" t="s">
        <v>209</v>
      </c>
      <c r="C1103" s="4"/>
      <c r="D1103" s="165">
        <v>0</v>
      </c>
      <c r="E1103" s="17" t="s">
        <v>18</v>
      </c>
      <c r="F1103" s="165">
        <v>0</v>
      </c>
      <c r="G1103" s="17" t="s">
        <v>18</v>
      </c>
      <c r="H1103" s="165">
        <v>0</v>
      </c>
      <c r="I1103" s="17" t="s">
        <v>18</v>
      </c>
      <c r="J1103" s="174">
        <v>500000</v>
      </c>
      <c r="K1103" s="17" t="s">
        <v>18</v>
      </c>
      <c r="L1103" s="166">
        <v>0</v>
      </c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</row>
    <row r="1104" spans="1:24" customHeight="1" ht="15">
      <c r="A1104" s="21" t="s">
        <v>210</v>
      </c>
      <c r="B1104" s="16" t="s">
        <v>211</v>
      </c>
      <c r="C1104" s="4"/>
      <c r="D1104" s="171">
        <v>0</v>
      </c>
      <c r="E1104" s="17" t="s">
        <v>18</v>
      </c>
      <c r="F1104" s="171">
        <v>0</v>
      </c>
      <c r="G1104" s="17" t="s">
        <v>18</v>
      </c>
      <c r="H1104" s="171">
        <v>0</v>
      </c>
      <c r="I1104" s="17" t="s">
        <v>18</v>
      </c>
      <c r="J1104" s="189">
        <v>500000</v>
      </c>
      <c r="K1104" s="17" t="s">
        <v>18</v>
      </c>
      <c r="L1104" s="163">
        <v>0</v>
      </c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</row>
    <row r="1105" spans="1:24">
      <c r="A1105" s="116" t="s">
        <v>212</v>
      </c>
      <c r="B1105" s="113"/>
      <c r="C1105" s="117" t="s">
        <v>18</v>
      </c>
      <c r="D1105" s="197">
        <f>SUM(D1102:D1104)</f>
        <v>0</v>
      </c>
      <c r="E1105" s="56" t="s">
        <v>18</v>
      </c>
      <c r="F1105" s="197">
        <f>SUM(F1102:F1104)</f>
        <v>0</v>
      </c>
      <c r="G1105" s="56" t="s">
        <v>18</v>
      </c>
      <c r="H1105" s="197">
        <f>SUM(H1102:H1104)</f>
        <v>0</v>
      </c>
      <c r="I1105" s="56" t="s">
        <v>18</v>
      </c>
      <c r="J1105" s="197">
        <f>SUM(J1102:J1104)</f>
        <v>1875218.33</v>
      </c>
      <c r="K1105" s="56" t="s">
        <v>18</v>
      </c>
      <c r="L1105" s="198">
        <f>SUM(L1102:L1104)</f>
        <v>0</v>
      </c>
      <c r="M1105" s="59"/>
      <c r="N1105" s="59"/>
      <c r="O1105" s="59"/>
      <c r="P1105" s="59"/>
      <c r="Q1105" s="59"/>
      <c r="R1105" s="59"/>
      <c r="S1105" s="59"/>
      <c r="T1105" s="59"/>
      <c r="U1105" s="59"/>
      <c r="V1105" s="59"/>
    </row>
    <row r="1106" spans="1:24">
      <c r="A1106" s="27" t="s">
        <v>213</v>
      </c>
      <c r="B1106" s="52"/>
      <c r="D1106" s="118"/>
      <c r="F1106" s="118"/>
      <c r="H1106" s="118"/>
      <c r="J1106" s="118"/>
      <c r="L1106" s="119"/>
    </row>
    <row r="1107" spans="1:24">
      <c r="A1107" s="21" t="s">
        <v>214</v>
      </c>
      <c r="B1107" s="138" t="s">
        <v>215</v>
      </c>
      <c r="C1107" s="17" t="s">
        <v>18</v>
      </c>
      <c r="D1107" s="168">
        <v>1975660.5</v>
      </c>
      <c r="E1107" s="17" t="s">
        <v>18</v>
      </c>
      <c r="F1107" s="168">
        <v>1216440</v>
      </c>
      <c r="G1107" s="17" t="s">
        <v>18</v>
      </c>
      <c r="H1107" s="168">
        <v>1283560</v>
      </c>
      <c r="I1107" s="17" t="s">
        <v>18</v>
      </c>
      <c r="J1107" s="168">
        <v>2500000</v>
      </c>
      <c r="K1107" s="17" t="s">
        <v>18</v>
      </c>
      <c r="L1107" s="169">
        <v>2230000</v>
      </c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</row>
    <row r="1108" spans="1:24">
      <c r="A1108" s="21" t="s">
        <v>216</v>
      </c>
      <c r="B1108" s="138" t="s">
        <v>217</v>
      </c>
      <c r="C1108" s="17"/>
      <c r="D1108" s="168">
        <v>99450</v>
      </c>
      <c r="E1108" s="17"/>
      <c r="F1108" s="168">
        <v>0</v>
      </c>
      <c r="G1108" s="17"/>
      <c r="H1108" s="168">
        <v>150000</v>
      </c>
      <c r="I1108" s="17"/>
      <c r="J1108" s="168">
        <v>150000</v>
      </c>
      <c r="K1108" s="17"/>
      <c r="L1108" s="169">
        <v>450000</v>
      </c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</row>
    <row r="1109" spans="1:24">
      <c r="A1109" s="21" t="s">
        <v>218</v>
      </c>
      <c r="B1109" s="138" t="s">
        <v>219</v>
      </c>
      <c r="C1109" s="17"/>
      <c r="D1109" s="168">
        <v>0</v>
      </c>
      <c r="E1109" s="17"/>
      <c r="F1109" s="168">
        <v>0</v>
      </c>
      <c r="G1109" s="17"/>
      <c r="H1109" s="168">
        <v>0</v>
      </c>
      <c r="I1109" s="17"/>
      <c r="J1109" s="168">
        <v>0</v>
      </c>
      <c r="K1109" s="17"/>
      <c r="L1109" s="169">
        <v>150000</v>
      </c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</row>
    <row r="1110" spans="1:24">
      <c r="A1110" s="21" t="s">
        <v>220</v>
      </c>
      <c r="B1110" s="138" t="s">
        <v>221</v>
      </c>
      <c r="C1110" s="17"/>
      <c r="D1110" s="168">
        <v>0</v>
      </c>
      <c r="E1110" s="17"/>
      <c r="F1110" s="168">
        <v>0</v>
      </c>
      <c r="G1110" s="17"/>
      <c r="H1110" s="168">
        <v>0</v>
      </c>
      <c r="I1110" s="17"/>
      <c r="J1110" s="168">
        <v>0</v>
      </c>
      <c r="K1110" s="17"/>
      <c r="L1110" s="169">
        <v>650000</v>
      </c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</row>
    <row r="1111" spans="1:24">
      <c r="A1111" s="21" t="s">
        <v>222</v>
      </c>
      <c r="B1111" s="138" t="s">
        <v>223</v>
      </c>
      <c r="C1111" s="17"/>
      <c r="D1111" s="168">
        <v>0</v>
      </c>
      <c r="E1111" s="17"/>
      <c r="F1111" s="168">
        <v>0</v>
      </c>
      <c r="G1111" s="17"/>
      <c r="H1111" s="168">
        <v>0</v>
      </c>
      <c r="I1111" s="17"/>
      <c r="J1111" s="168">
        <v>0</v>
      </c>
      <c r="K1111" s="17"/>
      <c r="L1111" s="169">
        <v>20000</v>
      </c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</row>
    <row r="1112" spans="1:24">
      <c r="A1112" s="21" t="s">
        <v>224</v>
      </c>
      <c r="B1112" s="138" t="s">
        <v>225</v>
      </c>
      <c r="C1112" s="17"/>
      <c r="D1112" s="165">
        <v>1000000</v>
      </c>
      <c r="E1112" s="17"/>
      <c r="F1112" s="165">
        <v>911538.47</v>
      </c>
      <c r="G1112" s="17"/>
      <c r="H1112" s="165">
        <v>88461.53</v>
      </c>
      <c r="I1112" s="17"/>
      <c r="J1112" s="174">
        <v>1000000</v>
      </c>
      <c r="K1112" s="17"/>
      <c r="L1112" s="166">
        <v>1000000</v>
      </c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</row>
    <row r="1113" spans="1:24">
      <c r="A1113" s="21" t="s">
        <v>226</v>
      </c>
      <c r="B1113" s="138" t="s">
        <v>227</v>
      </c>
      <c r="C1113" s="17"/>
      <c r="D1113" s="28">
        <v>18000</v>
      </c>
      <c r="E1113" s="17"/>
      <c r="F1113" s="28">
        <v>0</v>
      </c>
      <c r="G1113" s="17"/>
      <c r="H1113" s="28">
        <v>100000</v>
      </c>
      <c r="I1113" s="17"/>
      <c r="J1113" s="29">
        <v>100000</v>
      </c>
      <c r="K1113" s="17"/>
      <c r="L1113" s="30">
        <v>100000</v>
      </c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</row>
    <row r="1114" spans="1:24">
      <c r="A1114" s="21" t="s">
        <v>228</v>
      </c>
      <c r="B1114" s="138" t="s">
        <v>229</v>
      </c>
      <c r="C1114" s="17"/>
      <c r="D1114" s="168">
        <v>200000</v>
      </c>
      <c r="E1114" s="17"/>
      <c r="F1114" s="168">
        <v>200000</v>
      </c>
      <c r="G1114" s="17"/>
      <c r="H1114" s="168">
        <v>0</v>
      </c>
      <c r="I1114" s="17"/>
      <c r="J1114" s="173">
        <v>200000</v>
      </c>
      <c r="K1114" s="17"/>
      <c r="L1114" s="169">
        <v>200000</v>
      </c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</row>
    <row r="1115" spans="1:24">
      <c r="A1115" s="21" t="s">
        <v>230</v>
      </c>
      <c r="B1115" s="138" t="s">
        <v>231</v>
      </c>
      <c r="C1115" s="17"/>
      <c r="D1115" s="168">
        <v>189569.87</v>
      </c>
      <c r="E1115" s="17"/>
      <c r="F1115" s="168">
        <v>200000</v>
      </c>
      <c r="G1115" s="17"/>
      <c r="H1115" s="168">
        <v>0</v>
      </c>
      <c r="I1115" s="17"/>
      <c r="J1115" s="173">
        <v>200000</v>
      </c>
      <c r="K1115" s="17"/>
      <c r="L1115" s="169">
        <v>200000</v>
      </c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</row>
    <row r="1116" spans="1:24">
      <c r="A1116" s="21" t="s">
        <v>232</v>
      </c>
      <c r="B1116" s="138" t="s">
        <v>233</v>
      </c>
      <c r="C1116" s="17"/>
      <c r="D1116" s="168">
        <v>300000</v>
      </c>
      <c r="E1116" s="17"/>
      <c r="F1116" s="168">
        <v>258573.47</v>
      </c>
      <c r="G1116" s="17"/>
      <c r="H1116" s="168">
        <v>341426.53</v>
      </c>
      <c r="I1116" s="17"/>
      <c r="J1116" s="173">
        <v>600000</v>
      </c>
      <c r="K1116" s="17"/>
      <c r="L1116" s="169">
        <v>500000</v>
      </c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</row>
    <row r="1117" spans="1:24">
      <c r="A1117" s="21" t="s">
        <v>234</v>
      </c>
      <c r="B1117" s="138" t="s">
        <v>235</v>
      </c>
      <c r="C1117" s="17"/>
      <c r="D1117" s="168">
        <v>1098829.64</v>
      </c>
      <c r="E1117" s="17"/>
      <c r="F1117" s="168">
        <v>800000</v>
      </c>
      <c r="G1117" s="17"/>
      <c r="H1117" s="168">
        <v>1300000</v>
      </c>
      <c r="I1117" s="17"/>
      <c r="J1117" s="173">
        <v>2100000</v>
      </c>
      <c r="K1117" s="17"/>
      <c r="L1117" s="169">
        <v>1500000</v>
      </c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</row>
    <row r="1118" spans="1:24">
      <c r="A1118" s="21" t="s">
        <v>236</v>
      </c>
      <c r="B1118" s="138" t="s">
        <v>237</v>
      </c>
      <c r="C1118" s="17"/>
      <c r="D1118" s="168">
        <v>0</v>
      </c>
      <c r="E1118" s="17"/>
      <c r="F1118" s="168">
        <v>0</v>
      </c>
      <c r="G1118" s="17"/>
      <c r="H1118" s="168">
        <v>50000</v>
      </c>
      <c r="I1118" s="17"/>
      <c r="J1118" s="173">
        <v>50000</v>
      </c>
      <c r="K1118" s="17"/>
      <c r="L1118" s="169">
        <v>100000</v>
      </c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</row>
    <row r="1119" spans="1:24">
      <c r="A1119" s="21" t="s">
        <v>238</v>
      </c>
      <c r="B1119" s="138" t="s">
        <v>239</v>
      </c>
      <c r="C1119" s="17"/>
      <c r="D1119" s="168">
        <v>1988000</v>
      </c>
      <c r="E1119" s="17"/>
      <c r="F1119" s="168">
        <v>984000</v>
      </c>
      <c r="G1119" s="17"/>
      <c r="H1119" s="168">
        <v>1016000</v>
      </c>
      <c r="I1119" s="17"/>
      <c r="J1119" s="173">
        <v>2000000</v>
      </c>
      <c r="K1119" s="17"/>
      <c r="L1119" s="169">
        <v>2000000</v>
      </c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</row>
    <row r="1120" spans="1:24">
      <c r="A1120" s="21" t="s">
        <v>240</v>
      </c>
      <c r="B1120" s="138" t="s">
        <v>241</v>
      </c>
      <c r="C1120" s="17"/>
      <c r="D1120" s="168">
        <v>1431984</v>
      </c>
      <c r="E1120" s="17"/>
      <c r="F1120" s="168">
        <v>1138600.25</v>
      </c>
      <c r="G1120" s="17"/>
      <c r="H1120" s="168">
        <v>1461399.75</v>
      </c>
      <c r="I1120" s="17"/>
      <c r="J1120" s="173">
        <v>2600000</v>
      </c>
      <c r="K1120" s="17"/>
      <c r="L1120" s="169">
        <v>4000000</v>
      </c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</row>
    <row r="1121" spans="1:24" customHeight="1" ht="15">
      <c r="A1121" s="21" t="s">
        <v>242</v>
      </c>
      <c r="B1121" s="138" t="s">
        <v>243</v>
      </c>
      <c r="C1121" s="17"/>
      <c r="D1121" s="171">
        <v>200000</v>
      </c>
      <c r="E1121" s="17"/>
      <c r="F1121" s="171">
        <v>0</v>
      </c>
      <c r="G1121" s="17"/>
      <c r="H1121" s="171">
        <v>200000</v>
      </c>
      <c r="I1121" s="17"/>
      <c r="J1121" s="189">
        <v>200000</v>
      </c>
      <c r="K1121" s="17"/>
      <c r="L1121" s="163">
        <v>200000</v>
      </c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</row>
    <row r="1122" spans="1:24" customHeight="1" ht="15">
      <c r="A1122" s="116" t="s">
        <v>244</v>
      </c>
      <c r="B1122" s="16"/>
      <c r="C1122" s="17"/>
      <c r="D1122" s="41">
        <f>SUM(D1107:D1121)</f>
        <v>8501494.01</v>
      </c>
      <c r="E1122" s="17"/>
      <c r="F1122" s="41">
        <f>SUM(F1107:F1121)</f>
        <v>5709152.19</v>
      </c>
      <c r="G1122" s="17"/>
      <c r="H1122" s="41">
        <f>SUM(H1107:H1121)</f>
        <v>5990847.81</v>
      </c>
      <c r="I1122" s="17"/>
      <c r="J1122" s="41">
        <f>SUM(J1107:J1121)</f>
        <v>11700000</v>
      </c>
      <c r="K1122" s="17"/>
      <c r="L1122" s="41">
        <f>SUM(L1107:L1121)</f>
        <v>13300000</v>
      </c>
      <c r="M1122" s="89"/>
      <c r="N1122" s="89"/>
      <c r="O1122" s="89"/>
      <c r="P1122" s="89"/>
      <c r="Q1122" s="89"/>
      <c r="R1122" s="89"/>
      <c r="S1122" s="89"/>
      <c r="T1122" s="89"/>
      <c r="U1122" s="89"/>
      <c r="V1122" s="89"/>
    </row>
    <row r="1123" spans="1:24" customHeight="1" ht="15">
      <c r="A1123" s="120" t="s">
        <v>245</v>
      </c>
      <c r="B1123" s="14"/>
      <c r="C1123" s="46" t="s">
        <v>18</v>
      </c>
      <c r="D1123" s="49">
        <f>D1100+D1105+D1122</f>
        <v>10398870.64</v>
      </c>
      <c r="E1123" s="48" t="s">
        <v>18</v>
      </c>
      <c r="F1123" s="49">
        <f>F1100+F1105+F1122</f>
        <v>6115194.19</v>
      </c>
      <c r="G1123" s="48" t="s">
        <v>18</v>
      </c>
      <c r="H1123" s="49">
        <f>H1100+H1105+H1122</f>
        <v>7304776.55</v>
      </c>
      <c r="I1123" s="48" t="s">
        <v>18</v>
      </c>
      <c r="J1123" s="49">
        <f>J1100+J1105+J1122</f>
        <v>15745189.07</v>
      </c>
      <c r="K1123" s="48" t="s">
        <v>18</v>
      </c>
      <c r="L1123" s="49">
        <f>L1100+L1105+L1122</f>
        <v>15700187.88</v>
      </c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</row>
    <row r="1124" spans="1:24" customHeight="1" ht="15">
      <c r="A1124" s="199" t="s">
        <v>199</v>
      </c>
      <c r="B1124" s="123"/>
      <c r="C1124" s="123"/>
      <c r="D1124" s="123"/>
      <c r="E1124" s="123"/>
      <c r="F1124" s="123"/>
      <c r="G1124" s="123"/>
      <c r="H1124" s="123"/>
      <c r="I1124" s="123"/>
      <c r="J1124" s="123"/>
      <c r="K1124" s="123"/>
      <c r="L1124" s="124"/>
    </row>
    <row r="1125" spans="1:24">
      <c r="A1125" s="7"/>
      <c r="B1125" s="8"/>
      <c r="C1125" s="203" t="s">
        <v>4</v>
      </c>
      <c r="D1125" s="204"/>
      <c r="E1125" s="205" t="s">
        <v>5</v>
      </c>
      <c r="F1125" s="206"/>
      <c r="G1125" s="206"/>
      <c r="H1125" s="206"/>
      <c r="I1125" s="206"/>
      <c r="J1125" s="207"/>
      <c r="K1125" s="203" t="s">
        <v>6</v>
      </c>
      <c r="L1125" s="22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spans="1:24">
      <c r="A1126" s="9" t="s">
        <v>7</v>
      </c>
      <c r="B1126" s="10" t="s">
        <v>8</v>
      </c>
      <c r="C1126" s="210">
        <v>2024</v>
      </c>
      <c r="D1126" s="211"/>
      <c r="E1126" s="225" t="s">
        <v>9</v>
      </c>
      <c r="F1126" s="226"/>
      <c r="G1126" s="225" t="s">
        <v>10</v>
      </c>
      <c r="H1126" s="226"/>
      <c r="I1126" s="227" t="s">
        <v>11</v>
      </c>
      <c r="J1126" s="228"/>
      <c r="K1126" s="210">
        <v>2026</v>
      </c>
      <c r="L1126" s="229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spans="1:24" customHeight="1" ht="15">
      <c r="A1127" s="13"/>
      <c r="B1127" s="14"/>
      <c r="C1127" s="220" t="s">
        <v>12</v>
      </c>
      <c r="D1127" s="221"/>
      <c r="E1127" s="220" t="s">
        <v>12</v>
      </c>
      <c r="F1127" s="221"/>
      <c r="G1127" s="220" t="s">
        <v>13</v>
      </c>
      <c r="H1127" s="221"/>
      <c r="I1127" s="216"/>
      <c r="J1127" s="217"/>
      <c r="K1127" s="220" t="s">
        <v>14</v>
      </c>
      <c r="L1127" s="230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spans="1:24">
      <c r="A1128" s="27" t="s">
        <v>53</v>
      </c>
      <c r="B1128" s="121"/>
      <c r="D1128" s="122"/>
      <c r="E1128" s="123"/>
      <c r="F1128" s="122"/>
      <c r="G1128" s="123"/>
      <c r="H1128" s="122"/>
      <c r="I1128" s="123"/>
      <c r="J1128" s="122"/>
      <c r="K1128" s="123"/>
      <c r="L1128" s="124"/>
    </row>
    <row r="1129" spans="1:24">
      <c r="A1129" s="21" t="s">
        <v>246</v>
      </c>
      <c r="B1129" s="138" t="s">
        <v>247</v>
      </c>
      <c r="C1129" s="17" t="s">
        <v>18</v>
      </c>
      <c r="D1129" s="168">
        <v>200000</v>
      </c>
      <c r="E1129" s="17" t="s">
        <v>18</v>
      </c>
      <c r="F1129" s="168">
        <v>150906.35</v>
      </c>
      <c r="G1129" s="17" t="s">
        <v>18</v>
      </c>
      <c r="H1129" s="168">
        <v>49093.65</v>
      </c>
      <c r="I1129" s="17" t="s">
        <v>18</v>
      </c>
      <c r="J1129" s="173">
        <v>200000</v>
      </c>
      <c r="K1129" s="17" t="s">
        <v>18</v>
      </c>
      <c r="L1129" s="169">
        <v>1000000</v>
      </c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</row>
    <row r="1130" spans="1:24" customHeight="1" ht="16.5">
      <c r="A1130" s="21" t="s">
        <v>248</v>
      </c>
      <c r="B1130" s="138" t="s">
        <v>249</v>
      </c>
      <c r="C1130" s="17"/>
      <c r="D1130" s="168">
        <v>100000</v>
      </c>
      <c r="E1130" s="17"/>
      <c r="F1130" s="168">
        <v>0</v>
      </c>
      <c r="G1130" s="17"/>
      <c r="H1130" s="168">
        <v>100000</v>
      </c>
      <c r="I1130" s="17"/>
      <c r="J1130" s="173">
        <v>100000</v>
      </c>
      <c r="K1130" s="17"/>
      <c r="L1130" s="169">
        <v>100000</v>
      </c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</row>
    <row r="1131" spans="1:24">
      <c r="A1131" s="21" t="s">
        <v>250</v>
      </c>
      <c r="B1131" s="138" t="s">
        <v>251</v>
      </c>
      <c r="C1131" s="17"/>
      <c r="D1131" s="165">
        <v>173845.38</v>
      </c>
      <c r="E1131" s="17"/>
      <c r="F1131" s="165">
        <v>105949.17</v>
      </c>
      <c r="G1131" s="17"/>
      <c r="H1131" s="165">
        <v>94050.83</v>
      </c>
      <c r="I1131" s="17"/>
      <c r="J1131" s="174">
        <v>200000</v>
      </c>
      <c r="K1131" s="17"/>
      <c r="L1131" s="166">
        <v>280000</v>
      </c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</row>
    <row r="1132" spans="1:24">
      <c r="A1132" s="21" t="s">
        <v>252</v>
      </c>
      <c r="B1132" s="138" t="s">
        <v>253</v>
      </c>
      <c r="C1132" s="17"/>
      <c r="D1132" s="168">
        <v>36000</v>
      </c>
      <c r="E1132" s="17"/>
      <c r="F1132" s="168">
        <v>18000</v>
      </c>
      <c r="G1132" s="17"/>
      <c r="H1132" s="168">
        <v>18000</v>
      </c>
      <c r="I1132" s="17"/>
      <c r="J1132" s="173">
        <v>36000</v>
      </c>
      <c r="K1132" s="17"/>
      <c r="L1132" s="169">
        <v>36000</v>
      </c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</row>
    <row r="1133" spans="1:24">
      <c r="A1133" s="21" t="s">
        <v>254</v>
      </c>
      <c r="B1133" s="138" t="s">
        <v>255</v>
      </c>
      <c r="C1133" s="17"/>
      <c r="D1133" s="168">
        <v>55900</v>
      </c>
      <c r="E1133" s="17"/>
      <c r="F1133" s="168">
        <v>28200</v>
      </c>
      <c r="G1133" s="17"/>
      <c r="H1133" s="168">
        <v>31800</v>
      </c>
      <c r="I1133" s="17"/>
      <c r="J1133" s="173">
        <v>60000</v>
      </c>
      <c r="K1133" s="17"/>
      <c r="L1133" s="169">
        <v>500000</v>
      </c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</row>
    <row r="1134" spans="1:24">
      <c r="A1134" s="21" t="s">
        <v>256</v>
      </c>
      <c r="B1134" s="138" t="s">
        <v>257</v>
      </c>
      <c r="C1134" s="17"/>
      <c r="D1134" s="168">
        <v>30000</v>
      </c>
      <c r="E1134" s="17"/>
      <c r="F1134" s="168">
        <v>0</v>
      </c>
      <c r="G1134" s="17"/>
      <c r="H1134" s="168">
        <v>30000</v>
      </c>
      <c r="I1134" s="17"/>
      <c r="J1134" s="173">
        <v>30000</v>
      </c>
      <c r="K1134" s="17"/>
      <c r="L1134" s="169">
        <v>30000</v>
      </c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</row>
    <row r="1135" spans="1:24">
      <c r="A1135" s="21" t="s">
        <v>258</v>
      </c>
      <c r="B1135" s="138" t="s">
        <v>259</v>
      </c>
      <c r="C1135" s="17"/>
      <c r="D1135" s="168">
        <v>50000</v>
      </c>
      <c r="E1135" s="17"/>
      <c r="F1135" s="168">
        <v>0</v>
      </c>
      <c r="G1135" s="17"/>
      <c r="H1135" s="168">
        <v>50000</v>
      </c>
      <c r="I1135" s="17"/>
      <c r="J1135" s="173">
        <v>50000</v>
      </c>
      <c r="K1135" s="17"/>
      <c r="L1135" s="169">
        <v>50000</v>
      </c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</row>
    <row r="1136" spans="1:24">
      <c r="A1136" s="21" t="s">
        <v>260</v>
      </c>
      <c r="B1136" s="138" t="s">
        <v>261</v>
      </c>
      <c r="C1136" s="17"/>
      <c r="D1136" s="168">
        <v>391930</v>
      </c>
      <c r="E1136" s="17"/>
      <c r="F1136" s="168">
        <v>0</v>
      </c>
      <c r="G1136" s="17"/>
      <c r="H1136" s="168">
        <v>50000</v>
      </c>
      <c r="I1136" s="17"/>
      <c r="J1136" s="173">
        <v>50000</v>
      </c>
      <c r="K1136" s="17"/>
      <c r="L1136" s="169">
        <v>50000</v>
      </c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</row>
    <row r="1137" spans="1:24">
      <c r="A1137" s="21" t="s">
        <v>262</v>
      </c>
      <c r="B1137" s="138" t="s">
        <v>263</v>
      </c>
      <c r="C1137" s="17"/>
      <c r="D1137" s="168">
        <v>83932.5</v>
      </c>
      <c r="E1137" s="17"/>
      <c r="F1137" s="168">
        <v>0</v>
      </c>
      <c r="G1137" s="17"/>
      <c r="H1137" s="168">
        <v>30000</v>
      </c>
      <c r="I1137" s="17"/>
      <c r="J1137" s="173">
        <v>30000</v>
      </c>
      <c r="K1137" s="17"/>
      <c r="L1137" s="169">
        <v>50000</v>
      </c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</row>
    <row r="1138" spans="1:24">
      <c r="A1138" s="21" t="s">
        <v>264</v>
      </c>
      <c r="B1138" s="138" t="s">
        <v>265</v>
      </c>
      <c r="C1138" s="17"/>
      <c r="D1138" s="168">
        <v>25500</v>
      </c>
      <c r="E1138" s="17"/>
      <c r="F1138" s="168">
        <v>0</v>
      </c>
      <c r="G1138" s="17"/>
      <c r="H1138" s="168">
        <v>0</v>
      </c>
      <c r="I1138" s="17"/>
      <c r="J1138" s="173">
        <v>30000</v>
      </c>
      <c r="K1138" s="17"/>
      <c r="L1138" s="169">
        <v>50000</v>
      </c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</row>
    <row r="1139" spans="1:24">
      <c r="A1139" s="21" t="s">
        <v>266</v>
      </c>
      <c r="B1139" s="138" t="s">
        <v>267</v>
      </c>
      <c r="C1139" s="17"/>
      <c r="D1139" s="168">
        <v>442500</v>
      </c>
      <c r="E1139" s="17"/>
      <c r="F1139" s="168">
        <v>0</v>
      </c>
      <c r="G1139" s="17"/>
      <c r="H1139" s="168">
        <v>0</v>
      </c>
      <c r="I1139" s="17"/>
      <c r="J1139" s="173">
        <v>0</v>
      </c>
      <c r="K1139" s="17"/>
      <c r="L1139" s="169">
        <v>50000</v>
      </c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</row>
    <row r="1140" spans="1:24">
      <c r="A1140" s="21" t="s">
        <v>268</v>
      </c>
      <c r="B1140" s="138" t="s">
        <v>269</v>
      </c>
      <c r="C1140" s="17"/>
      <c r="D1140" s="168">
        <v>106457</v>
      </c>
      <c r="E1140" s="17"/>
      <c r="F1140" s="168">
        <v>0</v>
      </c>
      <c r="G1140" s="17"/>
      <c r="H1140" s="168">
        <v>0</v>
      </c>
      <c r="I1140" s="17"/>
      <c r="J1140" s="173">
        <v>0</v>
      </c>
      <c r="K1140" s="17"/>
      <c r="L1140" s="169">
        <v>0</v>
      </c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</row>
    <row r="1141" spans="1:24">
      <c r="A1141" s="21" t="s">
        <v>270</v>
      </c>
      <c r="B1141" s="138" t="s">
        <v>271</v>
      </c>
      <c r="C1141" s="17"/>
      <c r="D1141" s="168">
        <v>0</v>
      </c>
      <c r="E1141" s="17"/>
      <c r="F1141" s="168">
        <v>0</v>
      </c>
      <c r="G1141" s="17"/>
      <c r="H1141" s="168">
        <v>352000</v>
      </c>
      <c r="I1141" s="17"/>
      <c r="J1141" s="173">
        <v>352000</v>
      </c>
      <c r="K1141" s="17"/>
      <c r="L1141" s="169">
        <v>352000</v>
      </c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</row>
    <row r="1142" spans="1:24">
      <c r="A1142" s="21" t="s">
        <v>272</v>
      </c>
      <c r="B1142" s="138" t="s">
        <v>273</v>
      </c>
      <c r="C1142" s="17"/>
      <c r="D1142" s="168">
        <v>2252464.15</v>
      </c>
      <c r="E1142" s="17"/>
      <c r="F1142" s="168">
        <v>159070</v>
      </c>
      <c r="G1142" s="17"/>
      <c r="H1142" s="168">
        <v>840930</v>
      </c>
      <c r="I1142" s="17"/>
      <c r="J1142" s="173">
        <v>1000000</v>
      </c>
      <c r="K1142" s="17"/>
      <c r="L1142" s="169">
        <v>2350000</v>
      </c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</row>
    <row r="1143" spans="1:24">
      <c r="A1143" s="21" t="s">
        <v>274</v>
      </c>
      <c r="B1143" s="138" t="s">
        <v>275</v>
      </c>
      <c r="C1143" s="17"/>
      <c r="D1143" s="168">
        <v>887040</v>
      </c>
      <c r="E1143" s="17"/>
      <c r="F1143" s="168">
        <v>470400</v>
      </c>
      <c r="G1143" s="17"/>
      <c r="H1143" s="168">
        <v>469600</v>
      </c>
      <c r="I1143" s="17"/>
      <c r="J1143" s="173">
        <v>940000</v>
      </c>
      <c r="K1143" s="17"/>
      <c r="L1143" s="169">
        <v>1635000</v>
      </c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</row>
    <row r="1144" spans="1:24">
      <c r="A1144" s="21" t="s">
        <v>276</v>
      </c>
      <c r="B1144" s="138" t="s">
        <v>277</v>
      </c>
      <c r="C1144" s="17"/>
      <c r="D1144" s="168">
        <v>200000</v>
      </c>
      <c r="E1144" s="17"/>
      <c r="F1144" s="168">
        <v>988816.9</v>
      </c>
      <c r="G1144" s="17"/>
      <c r="H1144" s="168">
        <v>11183.1</v>
      </c>
      <c r="I1144" s="17"/>
      <c r="J1144" s="173">
        <v>1000000</v>
      </c>
      <c r="K1144" s="17"/>
      <c r="L1144" s="169">
        <v>2000000</v>
      </c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</row>
    <row r="1145" spans="1:24">
      <c r="A1145" s="21" t="s">
        <v>278</v>
      </c>
      <c r="B1145" s="138" t="s">
        <v>279</v>
      </c>
      <c r="C1145" s="17"/>
      <c r="D1145" s="168">
        <v>1096000</v>
      </c>
      <c r="E1145" s="23"/>
      <c r="F1145" s="168">
        <v>585000</v>
      </c>
      <c r="G1145" s="23"/>
      <c r="H1145" s="88">
        <v>415000</v>
      </c>
      <c r="I1145" s="23"/>
      <c r="J1145" s="173">
        <v>1000000</v>
      </c>
      <c r="K1145" s="23"/>
      <c r="L1145" s="30">
        <v>1200000</v>
      </c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</row>
    <row r="1146" spans="1:24">
      <c r="A1146" s="21" t="s">
        <v>280</v>
      </c>
      <c r="B1146" s="138" t="s">
        <v>281</v>
      </c>
      <c r="C1146" s="17"/>
      <c r="D1146" s="168">
        <v>600000</v>
      </c>
      <c r="E1146" s="17"/>
      <c r="F1146" s="168">
        <v>348000</v>
      </c>
      <c r="G1146" s="17"/>
      <c r="H1146" s="168">
        <v>252000</v>
      </c>
      <c r="I1146" s="17"/>
      <c r="J1146" s="173">
        <v>600000</v>
      </c>
      <c r="K1146" s="17"/>
      <c r="L1146" s="169">
        <v>600000</v>
      </c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</row>
    <row r="1147" spans="1:24">
      <c r="A1147" s="21" t="s">
        <v>282</v>
      </c>
      <c r="B1147" s="138" t="s">
        <v>283</v>
      </c>
      <c r="C1147" s="17"/>
      <c r="D1147" s="165">
        <v>0</v>
      </c>
      <c r="E1147" s="23"/>
      <c r="F1147" s="168">
        <v>0</v>
      </c>
      <c r="G1147" s="23"/>
      <c r="H1147" s="168">
        <v>0</v>
      </c>
      <c r="I1147" s="23"/>
      <c r="J1147" s="173">
        <v>0</v>
      </c>
      <c r="K1147" s="23"/>
      <c r="L1147" s="169">
        <v>500000</v>
      </c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</row>
    <row r="1148" spans="1:24">
      <c r="A1148" s="21" t="s">
        <v>284</v>
      </c>
      <c r="B1148" s="138" t="s">
        <v>285</v>
      </c>
      <c r="D1148" s="165">
        <v>100000</v>
      </c>
      <c r="E1148" t="s">
        <v>18</v>
      </c>
      <c r="F1148" s="165">
        <v>200000</v>
      </c>
      <c r="G1148" t="s">
        <v>18</v>
      </c>
      <c r="H1148" s="165">
        <v>0</v>
      </c>
      <c r="J1148" s="174">
        <v>200000</v>
      </c>
      <c r="L1148" s="166">
        <v>500000</v>
      </c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</row>
    <row r="1149" spans="1:24">
      <c r="A1149" s="21" t="s">
        <v>286</v>
      </c>
      <c r="B1149" s="138" t="s">
        <v>287</v>
      </c>
      <c r="C1149" s="17"/>
      <c r="D1149" s="165">
        <v>72000</v>
      </c>
      <c r="E1149" s="23"/>
      <c r="F1149" s="168">
        <v>64000</v>
      </c>
      <c r="G1149" s="23"/>
      <c r="H1149" s="168">
        <v>236000</v>
      </c>
      <c r="I1149" s="23"/>
      <c r="J1149" s="173">
        <v>300000</v>
      </c>
      <c r="K1149" s="23"/>
      <c r="L1149" s="169">
        <v>300000</v>
      </c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</row>
    <row r="1150" spans="1:24">
      <c r="A1150" s="21" t="s">
        <v>288</v>
      </c>
      <c r="B1150" s="138" t="s">
        <v>289</v>
      </c>
      <c r="C1150" s="17"/>
      <c r="D1150" s="165">
        <v>78300</v>
      </c>
      <c r="E1150" s="23"/>
      <c r="F1150" s="168">
        <v>18550</v>
      </c>
      <c r="G1150" s="23"/>
      <c r="H1150" s="168">
        <v>81450</v>
      </c>
      <c r="I1150" s="23"/>
      <c r="J1150" s="173">
        <v>100000</v>
      </c>
      <c r="K1150" s="23"/>
      <c r="L1150" s="169">
        <v>150000</v>
      </c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</row>
    <row r="1151" spans="1:24">
      <c r="A1151" s="21" t="s">
        <v>290</v>
      </c>
      <c r="B1151" s="138" t="s">
        <v>291</v>
      </c>
      <c r="C1151" s="17"/>
      <c r="D1151" s="165">
        <v>0</v>
      </c>
      <c r="E1151" s="23"/>
      <c r="F1151" s="28">
        <v>0</v>
      </c>
      <c r="G1151" s="23"/>
      <c r="H1151" s="165">
        <v>150000</v>
      </c>
      <c r="I1151" s="23"/>
      <c r="J1151" s="29">
        <v>150000</v>
      </c>
      <c r="K1151" s="23"/>
      <c r="L1151" s="30">
        <v>150000</v>
      </c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</row>
    <row r="1152" spans="1:24">
      <c r="A1152" s="21" t="s">
        <v>292</v>
      </c>
      <c r="B1152" s="138" t="s">
        <v>293</v>
      </c>
      <c r="C1152" s="17"/>
      <c r="D1152" s="165">
        <v>1200000</v>
      </c>
      <c r="E1152" s="23"/>
      <c r="F1152" s="168">
        <v>327500</v>
      </c>
      <c r="G1152" s="23"/>
      <c r="H1152" s="165">
        <v>872500</v>
      </c>
      <c r="I1152" s="17"/>
      <c r="J1152" s="173">
        <v>1200000</v>
      </c>
      <c r="K1152" s="17"/>
      <c r="L1152" s="169">
        <v>1200000</v>
      </c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</row>
    <row r="1153" spans="1:24">
      <c r="A1153" s="21" t="s">
        <v>294</v>
      </c>
      <c r="B1153" s="138" t="s">
        <v>295</v>
      </c>
      <c r="C1153" s="17"/>
      <c r="D1153" s="165">
        <v>0</v>
      </c>
      <c r="E1153" s="17"/>
      <c r="F1153" s="165">
        <v>0</v>
      </c>
      <c r="G1153" s="17"/>
      <c r="H1153" s="165">
        <v>21000</v>
      </c>
      <c r="I1153" s="17"/>
      <c r="J1153" s="174">
        <v>21000</v>
      </c>
      <c r="K1153" s="17"/>
      <c r="L1153" s="166">
        <v>21000</v>
      </c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</row>
    <row r="1154" spans="1:24">
      <c r="A1154" s="21" t="s">
        <v>296</v>
      </c>
      <c r="B1154" s="138" t="s">
        <v>297</v>
      </c>
      <c r="C1154" s="17"/>
      <c r="D1154" s="165">
        <v>0</v>
      </c>
      <c r="E1154" s="17"/>
      <c r="F1154" s="165">
        <v>630000</v>
      </c>
      <c r="G1154" s="17"/>
      <c r="H1154" s="165">
        <v>0</v>
      </c>
      <c r="I1154" s="17"/>
      <c r="J1154" s="174">
        <v>630000</v>
      </c>
      <c r="K1154" s="17"/>
      <c r="L1154" s="166">
        <v>700000</v>
      </c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</row>
    <row r="1155" spans="1:24">
      <c r="A1155" s="21" t="s">
        <v>298</v>
      </c>
      <c r="B1155" s="138" t="s">
        <v>299</v>
      </c>
      <c r="C1155" s="17"/>
      <c r="D1155" s="168">
        <v>0</v>
      </c>
      <c r="E1155" s="17"/>
      <c r="F1155" s="168">
        <v>0</v>
      </c>
      <c r="G1155" s="17"/>
      <c r="H1155" s="168">
        <v>30000</v>
      </c>
      <c r="I1155" s="17"/>
      <c r="J1155" s="173">
        <v>30000</v>
      </c>
      <c r="K1155" s="17"/>
      <c r="L1155" s="169">
        <v>30000</v>
      </c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</row>
    <row r="1156" spans="1:24" customHeight="1" ht="15">
      <c r="A1156" s="21" t="s">
        <v>300</v>
      </c>
      <c r="B1156" s="138" t="s">
        <v>301</v>
      </c>
      <c r="C1156" s="17"/>
      <c r="D1156" s="171">
        <v>90000</v>
      </c>
      <c r="E1156" s="17"/>
      <c r="F1156" s="171">
        <v>119840</v>
      </c>
      <c r="G1156" s="17"/>
      <c r="H1156" s="171">
        <v>160</v>
      </c>
      <c r="I1156" s="17"/>
      <c r="J1156" s="189">
        <v>120000</v>
      </c>
      <c r="K1156" s="20"/>
      <c r="L1156" s="163">
        <v>120000</v>
      </c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</row>
    <row r="1157" spans="1:24" customHeight="1" ht="15">
      <c r="A1157" s="120" t="s">
        <v>244</v>
      </c>
      <c r="B1157" s="14"/>
      <c r="C1157" s="46" t="s">
        <v>18</v>
      </c>
      <c r="D1157" s="95">
        <f>SUM(D1129:D1156)</f>
        <v>8271869.03</v>
      </c>
      <c r="E1157" s="48" t="s">
        <v>18</v>
      </c>
      <c r="F1157" s="95">
        <f>SUM(F1129:F1156)</f>
        <v>4214232.42</v>
      </c>
      <c r="G1157" s="48" t="s">
        <v>18</v>
      </c>
      <c r="H1157" s="95">
        <f>SUM(H1129:H1156)</f>
        <v>4184767.58</v>
      </c>
      <c r="I1157" s="48" t="s">
        <v>18</v>
      </c>
      <c r="J1157" s="95">
        <f>SUM(J1129:J1156)</f>
        <v>8429000</v>
      </c>
      <c r="K1157" s="177" t="s">
        <v>18</v>
      </c>
      <c r="L1157" s="49">
        <f>SUM(L1129:L1156)</f>
        <v>14004000</v>
      </c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</row>
    <row r="1158" spans="1:24" customHeight="1" ht="15">
      <c r="A1158" s="5" t="s">
        <v>199</v>
      </c>
      <c r="K1158" s="6"/>
    </row>
    <row r="1159" spans="1:24">
      <c r="A1159" s="7"/>
      <c r="B1159" s="8"/>
      <c r="C1159" s="203" t="s">
        <v>4</v>
      </c>
      <c r="D1159" s="204"/>
      <c r="E1159" s="205" t="s">
        <v>5</v>
      </c>
      <c r="F1159" s="206"/>
      <c r="G1159" s="206"/>
      <c r="H1159" s="206"/>
      <c r="I1159" s="206"/>
      <c r="J1159" s="207"/>
      <c r="K1159" s="208" t="s">
        <v>6</v>
      </c>
      <c r="L1159" s="209"/>
      <c r="M1159" s="190"/>
      <c r="N1159" s="4"/>
      <c r="O1159" s="4"/>
      <c r="P1159" s="4"/>
      <c r="Q1159" s="4"/>
      <c r="R1159" s="4"/>
      <c r="S1159" s="4"/>
      <c r="T1159" s="4"/>
      <c r="U1159" s="4"/>
      <c r="V1159" s="4"/>
    </row>
    <row r="1160" spans="1:24">
      <c r="A1160" s="9" t="s">
        <v>7</v>
      </c>
      <c r="B1160" s="10" t="s">
        <v>8</v>
      </c>
      <c r="C1160" s="210">
        <v>2024</v>
      </c>
      <c r="D1160" s="211"/>
      <c r="E1160" s="212" t="s">
        <v>9</v>
      </c>
      <c r="F1160" s="213"/>
      <c r="G1160" s="212" t="s">
        <v>10</v>
      </c>
      <c r="H1160" s="213"/>
      <c r="I1160" s="214" t="s">
        <v>11</v>
      </c>
      <c r="J1160" s="215"/>
      <c r="K1160" s="218">
        <v>2026</v>
      </c>
      <c r="L1160" s="219"/>
      <c r="M1160" s="190"/>
      <c r="N1160" s="4"/>
      <c r="O1160" s="4"/>
      <c r="P1160" s="4"/>
      <c r="Q1160" s="4"/>
      <c r="R1160" s="4"/>
      <c r="S1160" s="4"/>
      <c r="T1160" s="4"/>
      <c r="U1160" s="4"/>
      <c r="V1160" s="4"/>
    </row>
    <row r="1161" spans="1:24" customHeight="1" ht="15">
      <c r="A1161" s="13"/>
      <c r="B1161" s="14"/>
      <c r="C1161" s="220" t="s">
        <v>12</v>
      </c>
      <c r="D1161" s="221"/>
      <c r="E1161" s="220" t="s">
        <v>12</v>
      </c>
      <c r="F1161" s="221"/>
      <c r="G1161" s="220" t="s">
        <v>13</v>
      </c>
      <c r="H1161" s="221"/>
      <c r="I1161" s="216"/>
      <c r="J1161" s="217"/>
      <c r="K1161" s="222" t="s">
        <v>14</v>
      </c>
      <c r="L1161" s="223"/>
      <c r="M1161" s="190"/>
      <c r="N1161" s="4"/>
      <c r="O1161" s="4"/>
      <c r="P1161" s="4"/>
      <c r="Q1161" s="4"/>
      <c r="R1161" s="4"/>
      <c r="S1161" s="4"/>
      <c r="T1161" s="4"/>
      <c r="U1161" s="4"/>
      <c r="V1161" s="4"/>
    </row>
    <row r="1162" spans="1:24">
      <c r="A1162" s="27" t="s">
        <v>53</v>
      </c>
      <c r="B1162" s="121"/>
      <c r="D1162" s="122"/>
      <c r="E1162" s="123"/>
      <c r="F1162" s="122"/>
      <c r="G1162" s="123"/>
      <c r="H1162" s="122"/>
      <c r="I1162" s="123"/>
      <c r="J1162" s="122"/>
      <c r="K1162" s="178"/>
      <c r="L1162" s="124"/>
    </row>
    <row r="1163" spans="1:24">
      <c r="A1163" s="21" t="s">
        <v>302</v>
      </c>
      <c r="B1163" s="138" t="s">
        <v>303</v>
      </c>
      <c r="D1163" s="147">
        <v>698610</v>
      </c>
      <c r="E1163" s="154"/>
      <c r="F1163" s="147">
        <v>0</v>
      </c>
      <c r="G1163" s="154"/>
      <c r="H1163" s="91">
        <v>700000</v>
      </c>
      <c r="I1163" s="154"/>
      <c r="J1163" s="147">
        <v>700000</v>
      </c>
      <c r="K1163" s="176"/>
      <c r="L1163" s="151">
        <v>700000</v>
      </c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</row>
    <row r="1164" spans="1:24">
      <c r="A1164" s="21" t="s">
        <v>304</v>
      </c>
      <c r="B1164" s="138" t="s">
        <v>305</v>
      </c>
      <c r="D1164" s="147">
        <v>269700</v>
      </c>
      <c r="E1164" s="154"/>
      <c r="F1164" s="147">
        <v>500000</v>
      </c>
      <c r="G1164" s="154"/>
      <c r="H1164" s="91">
        <v>0</v>
      </c>
      <c r="I1164" s="154"/>
      <c r="J1164" s="147">
        <v>500000</v>
      </c>
      <c r="K1164" s="176"/>
      <c r="L1164" s="151">
        <v>500000</v>
      </c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</row>
    <row r="1165" spans="1:24">
      <c r="A1165" s="21" t="s">
        <v>306</v>
      </c>
      <c r="B1165" s="138" t="s">
        <v>307</v>
      </c>
      <c r="D1165" s="147">
        <v>1100000</v>
      </c>
      <c r="E1165" s="154"/>
      <c r="F1165" s="147">
        <v>0</v>
      </c>
      <c r="G1165" s="154"/>
      <c r="H1165" s="91">
        <v>1200000</v>
      </c>
      <c r="I1165" s="154"/>
      <c r="J1165" s="147">
        <v>1200000</v>
      </c>
      <c r="K1165" s="176"/>
      <c r="L1165" s="151">
        <v>1000000</v>
      </c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</row>
    <row r="1166" spans="1:24">
      <c r="A1166" s="21" t="s">
        <v>308</v>
      </c>
      <c r="B1166" s="138" t="s">
        <v>309</v>
      </c>
      <c r="D1166" s="147">
        <v>0</v>
      </c>
      <c r="E1166" s="154"/>
      <c r="F1166" s="147">
        <v>0</v>
      </c>
      <c r="G1166" s="154"/>
      <c r="H1166" s="91">
        <v>0</v>
      </c>
      <c r="I1166" s="154"/>
      <c r="J1166" s="147">
        <v>0</v>
      </c>
      <c r="K1166" s="176"/>
      <c r="L1166" s="151">
        <v>200000</v>
      </c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</row>
    <row r="1167" spans="1:24">
      <c r="A1167" s="21" t="s">
        <v>310</v>
      </c>
      <c r="B1167" s="138" t="s">
        <v>311</v>
      </c>
      <c r="D1167" s="147">
        <v>0</v>
      </c>
      <c r="E1167" s="17"/>
      <c r="F1167" s="147">
        <v>0</v>
      </c>
      <c r="G1167" s="17"/>
      <c r="H1167" s="91">
        <v>0</v>
      </c>
      <c r="I1167" s="17"/>
      <c r="J1167" s="147">
        <v>0</v>
      </c>
      <c r="K1167" s="20"/>
      <c r="L1167" s="151">
        <v>200000</v>
      </c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</row>
    <row r="1168" spans="1:24">
      <c r="A1168" s="21" t="s">
        <v>312</v>
      </c>
      <c r="B1168" s="138" t="s">
        <v>313</v>
      </c>
      <c r="D1168" s="147">
        <v>1200000</v>
      </c>
      <c r="E1168" s="17"/>
      <c r="F1168" s="147">
        <v>572403</v>
      </c>
      <c r="G1168" s="17"/>
      <c r="H1168" s="91">
        <v>1427597</v>
      </c>
      <c r="I1168" s="17"/>
      <c r="J1168" s="147">
        <v>2000000</v>
      </c>
      <c r="K1168" s="20"/>
      <c r="L1168" s="151">
        <v>1300000</v>
      </c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</row>
    <row r="1169" spans="1:24">
      <c r="A1169" s="21" t="s">
        <v>314</v>
      </c>
      <c r="B1169" s="138" t="s">
        <v>315</v>
      </c>
      <c r="C1169" s="125"/>
      <c r="D1169" s="24">
        <v>3973986.25</v>
      </c>
      <c r="E1169" s="125"/>
      <c r="F1169" s="24">
        <v>1870000</v>
      </c>
      <c r="G1169" s="125"/>
      <c r="H1169" s="24">
        <v>2000000</v>
      </c>
      <c r="I1169" s="125"/>
      <c r="J1169" s="24">
        <v>3870000</v>
      </c>
      <c r="K1169" s="20"/>
      <c r="L1169" s="25">
        <v>3500000</v>
      </c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126"/>
    </row>
    <row r="1170" spans="1:24">
      <c r="A1170" s="21" t="s">
        <v>316</v>
      </c>
      <c r="B1170" s="138" t="s">
        <v>317</v>
      </c>
      <c r="C1170" s="125"/>
      <c r="D1170" s="108">
        <v>0</v>
      </c>
      <c r="E1170" s="26"/>
      <c r="F1170" s="108">
        <v>17500</v>
      </c>
      <c r="G1170" s="26"/>
      <c r="H1170" s="108">
        <v>2500</v>
      </c>
      <c r="I1170" s="26"/>
      <c r="J1170" s="148">
        <v>20000</v>
      </c>
      <c r="K1170" s="26"/>
      <c r="L1170" s="92">
        <v>20000</v>
      </c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126"/>
    </row>
    <row r="1171" spans="1:24">
      <c r="A1171" s="21" t="s">
        <v>318</v>
      </c>
      <c r="B1171" s="138" t="s">
        <v>319</v>
      </c>
      <c r="C1171" s="125"/>
      <c r="D1171" s="108">
        <v>300000</v>
      </c>
      <c r="E1171" s="26"/>
      <c r="F1171" s="108">
        <v>500000</v>
      </c>
      <c r="G1171" s="26"/>
      <c r="H1171" s="108">
        <v>1000000</v>
      </c>
      <c r="I1171" s="26"/>
      <c r="J1171" s="148">
        <v>1500000</v>
      </c>
      <c r="K1171" s="26"/>
      <c r="L1171" s="92">
        <v>1500000</v>
      </c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126"/>
    </row>
    <row r="1172" spans="1:24">
      <c r="A1172" s="21" t="s">
        <v>320</v>
      </c>
      <c r="B1172" s="138" t="s">
        <v>321</v>
      </c>
      <c r="C1172" s="125"/>
      <c r="D1172" s="108">
        <v>257800</v>
      </c>
      <c r="E1172" s="26"/>
      <c r="F1172" s="108">
        <v>52800</v>
      </c>
      <c r="G1172" s="26"/>
      <c r="H1172" s="108">
        <v>40000</v>
      </c>
      <c r="I1172" s="26"/>
      <c r="J1172" s="148">
        <v>92800</v>
      </c>
      <c r="K1172" s="26"/>
      <c r="L1172" s="92">
        <v>100000</v>
      </c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126"/>
    </row>
    <row r="1173" spans="1:24">
      <c r="A1173" s="21" t="s">
        <v>322</v>
      </c>
      <c r="B1173" s="138" t="s">
        <v>323</v>
      </c>
      <c r="C1173" s="125"/>
      <c r="D1173" s="108">
        <v>268500</v>
      </c>
      <c r="E1173" s="26"/>
      <c r="F1173" s="108">
        <v>57000</v>
      </c>
      <c r="G1173" s="26"/>
      <c r="H1173" s="108">
        <v>93000</v>
      </c>
      <c r="I1173" s="26"/>
      <c r="J1173" s="148">
        <v>150000</v>
      </c>
      <c r="K1173" s="26"/>
      <c r="L1173" s="92">
        <v>300000</v>
      </c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126"/>
    </row>
    <row r="1174" spans="1:24">
      <c r="A1174" s="21" t="s">
        <v>324</v>
      </c>
      <c r="B1174" s="138" t="s">
        <v>325</v>
      </c>
      <c r="C1174" s="125"/>
      <c r="D1174" s="108">
        <v>0</v>
      </c>
      <c r="E1174" s="26" t="s">
        <v>18</v>
      </c>
      <c r="F1174" s="108">
        <v>300000</v>
      </c>
      <c r="G1174" s="26"/>
      <c r="H1174" s="108">
        <v>100000</v>
      </c>
      <c r="I1174" s="26"/>
      <c r="J1174" s="148">
        <v>400000</v>
      </c>
      <c r="K1174" s="26"/>
      <c r="L1174" s="92">
        <v>300000</v>
      </c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126"/>
    </row>
    <row r="1175" spans="1:24">
      <c r="A1175" s="21" t="s">
        <v>326</v>
      </c>
      <c r="B1175" s="138" t="s">
        <v>327</v>
      </c>
      <c r="C1175" s="125"/>
      <c r="D1175" s="108">
        <v>135000</v>
      </c>
      <c r="E1175" s="26"/>
      <c r="F1175" s="108">
        <v>0</v>
      </c>
      <c r="G1175" s="26"/>
      <c r="H1175" s="108">
        <v>500000</v>
      </c>
      <c r="I1175" s="26"/>
      <c r="J1175" s="148">
        <v>500000</v>
      </c>
      <c r="K1175" s="26"/>
      <c r="L1175" s="92">
        <v>500000</v>
      </c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126"/>
    </row>
    <row r="1176" spans="1:24">
      <c r="A1176" s="21" t="s">
        <v>328</v>
      </c>
      <c r="B1176" s="138" t="s">
        <v>329</v>
      </c>
      <c r="C1176" s="125"/>
      <c r="D1176" s="127">
        <v>0</v>
      </c>
      <c r="E1176" s="26"/>
      <c r="F1176" s="127">
        <v>100000</v>
      </c>
      <c r="G1176" s="26"/>
      <c r="H1176" s="127">
        <v>0</v>
      </c>
      <c r="I1176" s="26"/>
      <c r="J1176" s="156">
        <v>100000</v>
      </c>
      <c r="K1176" s="26"/>
      <c r="L1176" s="128">
        <v>100000</v>
      </c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126"/>
    </row>
    <row r="1177" spans="1:24">
      <c r="A1177" s="21" t="s">
        <v>330</v>
      </c>
      <c r="B1177" s="138" t="s">
        <v>331</v>
      </c>
      <c r="C1177" s="125"/>
      <c r="D1177" s="127">
        <v>122422.52</v>
      </c>
      <c r="E1177" s="26"/>
      <c r="F1177" s="127">
        <v>55000</v>
      </c>
      <c r="G1177" s="26"/>
      <c r="H1177" s="127">
        <v>195000</v>
      </c>
      <c r="I1177" s="26"/>
      <c r="J1177" s="156">
        <v>250000</v>
      </c>
      <c r="K1177" s="26"/>
      <c r="L1177" s="128">
        <v>250000</v>
      </c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126"/>
    </row>
    <row r="1178" spans="1:24">
      <c r="A1178" s="21" t="s">
        <v>332</v>
      </c>
      <c r="B1178" s="138" t="s">
        <v>333</v>
      </c>
      <c r="C1178" s="125"/>
      <c r="D1178" s="127">
        <v>0</v>
      </c>
      <c r="E1178" s="26"/>
      <c r="F1178" s="127">
        <v>0</v>
      </c>
      <c r="G1178" s="26"/>
      <c r="H1178" s="127">
        <v>500000</v>
      </c>
      <c r="I1178" s="26"/>
      <c r="J1178" s="156">
        <v>500000</v>
      </c>
      <c r="K1178" s="26"/>
      <c r="L1178" s="128">
        <v>500000</v>
      </c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126"/>
    </row>
    <row r="1179" spans="1:24">
      <c r="A1179" s="21" t="s">
        <v>334</v>
      </c>
      <c r="B1179" s="138" t="s">
        <v>335</v>
      </c>
      <c r="C1179" s="125"/>
      <c r="D1179" s="108">
        <v>132940</v>
      </c>
      <c r="E1179" s="26"/>
      <c r="F1179" s="108">
        <v>47932</v>
      </c>
      <c r="G1179" s="26"/>
      <c r="H1179" s="108">
        <v>152068</v>
      </c>
      <c r="I1179" s="26"/>
      <c r="J1179" s="148">
        <v>200000</v>
      </c>
      <c r="K1179" s="26"/>
      <c r="L1179" s="92">
        <v>300000</v>
      </c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126"/>
    </row>
    <row r="1180" spans="1:24">
      <c r="A1180" s="21" t="s">
        <v>336</v>
      </c>
      <c r="B1180" s="138" t="s">
        <v>337</v>
      </c>
      <c r="C1180" s="125"/>
      <c r="D1180" s="127">
        <v>0</v>
      </c>
      <c r="E1180" s="26"/>
      <c r="F1180" s="127">
        <v>0</v>
      </c>
      <c r="G1180" s="26"/>
      <c r="H1180" s="127">
        <v>500000</v>
      </c>
      <c r="I1180" s="26"/>
      <c r="J1180" s="156">
        <v>500000</v>
      </c>
      <c r="K1180" s="26"/>
      <c r="L1180" s="128">
        <v>1000000</v>
      </c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126"/>
    </row>
    <row r="1181" spans="1:24" customHeight="1" ht="15">
      <c r="A1181" s="21" t="s">
        <v>338</v>
      </c>
      <c r="B1181" s="138" t="s">
        <v>339</v>
      </c>
      <c r="C1181" s="125"/>
      <c r="D1181" s="189">
        <v>0</v>
      </c>
      <c r="E1181" s="26"/>
      <c r="F1181" s="189">
        <v>0</v>
      </c>
      <c r="G1181" s="26"/>
      <c r="H1181" s="189">
        <v>0</v>
      </c>
      <c r="I1181" s="26"/>
      <c r="J1181" s="189">
        <v>150000</v>
      </c>
      <c r="K1181" s="26"/>
      <c r="L1181" s="163">
        <v>150000</v>
      </c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126"/>
    </row>
    <row r="1182" spans="1:24" customHeight="1" ht="15">
      <c r="A1182" s="129" t="s">
        <v>340</v>
      </c>
      <c r="B1182" s="52"/>
      <c r="C1182" s="130" t="s">
        <v>18</v>
      </c>
      <c r="D1182" s="95">
        <f>SUM(D1163:D1181)</f>
        <v>8458958.77</v>
      </c>
      <c r="E1182" s="130" t="s">
        <v>18</v>
      </c>
      <c r="F1182" s="95">
        <f>SUM(F1163:F1181)</f>
        <v>4072635</v>
      </c>
      <c r="G1182" s="130" t="s">
        <v>18</v>
      </c>
      <c r="H1182" s="95">
        <f>SUM(H1163:H1181)</f>
        <v>8410165</v>
      </c>
      <c r="I1182" s="130" t="s">
        <v>18</v>
      </c>
      <c r="J1182" s="95">
        <f>SUM(J1163:J1181)</f>
        <v>12632800</v>
      </c>
      <c r="K1182" s="130" t="s">
        <v>18</v>
      </c>
      <c r="L1182" s="95">
        <f>SUM(L1163:L1181)</f>
        <v>12420000</v>
      </c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131"/>
    </row>
    <row r="1183" spans="1:24" customHeight="1" ht="15">
      <c r="A1183" s="27" t="s">
        <v>341</v>
      </c>
      <c r="B1183" s="52"/>
      <c r="C1183" s="130"/>
      <c r="D1183" s="95">
        <f>D1182+D1157+D1122</f>
        <v>25232321.81</v>
      </c>
      <c r="E1183" s="130"/>
      <c r="F1183" s="95">
        <f>F1182+F1157+F1122</f>
        <v>13996019.61</v>
      </c>
      <c r="G1183" s="130"/>
      <c r="H1183" s="95">
        <f>H1182+H1157+H1122</f>
        <v>18585780.39</v>
      </c>
      <c r="I1183" s="130"/>
      <c r="J1183" s="95">
        <f>J1182+J1157+J1122</f>
        <v>32761800</v>
      </c>
      <c r="K1183" s="130"/>
      <c r="L1183" s="95">
        <f>L1182+L1157+L1122</f>
        <v>39724000</v>
      </c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131"/>
    </row>
    <row r="1184" spans="1:24" customHeight="1" ht="15">
      <c r="A1184" s="44" t="s">
        <v>342</v>
      </c>
      <c r="B1184" s="132"/>
      <c r="C1184" s="133" t="s">
        <v>18</v>
      </c>
      <c r="D1184" s="77">
        <f>D1183+D1105+D1100</f>
        <v>27129698.44</v>
      </c>
      <c r="E1184" s="133" t="s">
        <v>18</v>
      </c>
      <c r="F1184" s="77">
        <f>F1183+F1105+F1100</f>
        <v>14402061.61</v>
      </c>
      <c r="G1184" s="133" t="s">
        <v>18</v>
      </c>
      <c r="H1184" s="77">
        <f>H1183+H1105+H1100</f>
        <v>19899709.13</v>
      </c>
      <c r="I1184" s="133" t="s">
        <v>18</v>
      </c>
      <c r="J1184" s="77">
        <f>J1183+J1105+J1100</f>
        <v>36806989.07</v>
      </c>
      <c r="K1184" s="133" t="s">
        <v>18</v>
      </c>
      <c r="L1184" s="77">
        <f>L1183+L1105+L1100</f>
        <v>42124187.88</v>
      </c>
      <c r="M1184" s="59"/>
      <c r="N1184" s="50"/>
      <c r="O1184" s="50"/>
      <c r="P1184" s="50"/>
      <c r="Q1184" s="50"/>
      <c r="R1184" s="50"/>
      <c r="S1184" s="50"/>
      <c r="T1184" s="50"/>
      <c r="U1184" s="50"/>
      <c r="V1184" s="50"/>
    </row>
    <row r="1185" spans="1:24">
      <c r="A1185" t="s">
        <v>100</v>
      </c>
      <c r="B1185" t="s">
        <v>101</v>
      </c>
      <c r="G1185" t="s">
        <v>102</v>
      </c>
      <c r="P1185" s="134"/>
    </row>
    <row r="1186" spans="1:24">
      <c r="B1186" t="s">
        <v>140</v>
      </c>
    </row>
    <row r="1187" spans="1:24">
      <c r="A1187" s="200" t="s">
        <v>343</v>
      </c>
      <c r="D1187" s="200" t="s">
        <v>112</v>
      </c>
      <c r="J1187" s="200" t="s">
        <v>112</v>
      </c>
    </row>
    <row r="1188" spans="1:24">
      <c r="A1188" s="4" t="s">
        <v>106</v>
      </c>
      <c r="B1188" s="231" t="s">
        <v>107</v>
      </c>
      <c r="C1188" s="231"/>
      <c r="D1188" s="231"/>
      <c r="E1188" s="231"/>
      <c r="F1188" s="231"/>
      <c r="H1188" s="231" t="s">
        <v>106</v>
      </c>
      <c r="I1188" s="231"/>
      <c r="J1188" s="231"/>
      <c r="K1188" s="231"/>
      <c r="L1188" s="231"/>
      <c r="M1188" s="4"/>
      <c r="N1188" s="66"/>
      <c r="O1188" s="66"/>
      <c r="P1188" s="66"/>
      <c r="Q1188" s="66"/>
      <c r="R1188" s="66"/>
      <c r="S1188" s="66"/>
      <c r="T1188" s="66"/>
      <c r="U1188" s="66"/>
      <c r="V1188" s="66"/>
    </row>
    <row r="1189" spans="1:24">
      <c r="A1189" s="158" t="s">
        <v>108</v>
      </c>
      <c r="B1189" s="232" t="s">
        <v>109</v>
      </c>
      <c r="C1189" s="232"/>
      <c r="D1189" s="232"/>
      <c r="E1189" s="232"/>
      <c r="F1189" s="232"/>
      <c r="H1189" s="232" t="s">
        <v>108</v>
      </c>
      <c r="I1189" s="232"/>
      <c r="J1189" s="232"/>
      <c r="K1189" s="232"/>
      <c r="L1189" s="232"/>
      <c r="M1189" s="158"/>
      <c r="N1189" s="68"/>
      <c r="O1189" s="68"/>
      <c r="P1189" s="68"/>
      <c r="Q1189" s="68"/>
      <c r="R1189" s="68"/>
      <c r="S1189" s="68"/>
      <c r="T1189" s="68"/>
      <c r="U1189" s="68"/>
      <c r="V1189" s="68"/>
    </row>
    <row r="1190" spans="1:24">
      <c r="A1190" s="158"/>
      <c r="B1190" s="158"/>
      <c r="C1190" s="158"/>
      <c r="D1190" s="158"/>
      <c r="E1190" s="158"/>
      <c r="F1190" s="158"/>
      <c r="H1190" s="158"/>
      <c r="I1190" s="158"/>
      <c r="J1190" s="158"/>
      <c r="K1190" s="158"/>
      <c r="L1190" s="158"/>
      <c r="M1190" s="158"/>
      <c r="N1190" s="68"/>
      <c r="O1190" s="68"/>
      <c r="P1190" s="68"/>
      <c r="Q1190" s="68"/>
      <c r="R1190" s="68"/>
      <c r="S1190" s="68"/>
      <c r="T1190" s="68"/>
      <c r="U1190" s="68"/>
      <c r="V1190" s="68"/>
    </row>
    <row r="1191" spans="1:24">
      <c r="A1191" s="68"/>
      <c r="B1191" s="68"/>
      <c r="C1191" s="68"/>
      <c r="D1191" s="68"/>
      <c r="E1191" s="68"/>
      <c r="F1191" s="68"/>
      <c r="G1191" s="17"/>
      <c r="H1191" s="68"/>
      <c r="I1191" s="68"/>
      <c r="J1191" s="68"/>
      <c r="K1191" s="68"/>
      <c r="L1191" s="68"/>
      <c r="M1191" s="68"/>
      <c r="N1191" s="68"/>
      <c r="O1191" s="68"/>
      <c r="P1191" s="68"/>
      <c r="Q1191" s="68"/>
      <c r="R1191" s="68"/>
      <c r="S1191" s="68"/>
      <c r="T1191" s="68"/>
      <c r="U1191" s="68"/>
      <c r="V1191" s="68"/>
    </row>
    <row r="1192" spans="1:24">
      <c r="A1192" s="235" t="s">
        <v>0</v>
      </c>
      <c r="B1192" s="235"/>
      <c r="C1192" s="235"/>
      <c r="D1192" s="235"/>
      <c r="E1192" s="235"/>
      <c r="F1192" s="235"/>
      <c r="G1192" s="235"/>
      <c r="H1192" s="235"/>
      <c r="I1192" s="235"/>
      <c r="J1192" s="235"/>
      <c r="K1192" s="235"/>
      <c r="L1192" s="235"/>
      <c r="M1192" s="69"/>
      <c r="N1192" s="69"/>
      <c r="O1192" s="69"/>
      <c r="P1192" s="69"/>
      <c r="Q1192" s="69"/>
      <c r="R1192" s="69"/>
      <c r="S1192" s="69"/>
      <c r="T1192" s="69"/>
      <c r="U1192" s="69"/>
      <c r="V1192" s="69"/>
    </row>
    <row r="1194" spans="1:24" customHeight="1" ht="15.6">
      <c r="A1194" s="236" t="s">
        <v>1</v>
      </c>
      <c r="B1194" s="236"/>
      <c r="C1194" s="236"/>
      <c r="D1194" s="236"/>
      <c r="E1194" s="236"/>
      <c r="F1194" s="236"/>
      <c r="G1194" s="236"/>
      <c r="H1194" s="236"/>
      <c r="I1194" s="236"/>
      <c r="J1194" s="236"/>
      <c r="K1194" s="236"/>
      <c r="L1194" s="236"/>
      <c r="M1194" s="3"/>
      <c r="N1194" s="3"/>
      <c r="O1194" s="3"/>
      <c r="P1194" s="3"/>
      <c r="Q1194" s="3"/>
      <c r="R1194" s="3"/>
      <c r="S1194" s="3"/>
      <c r="T1194" s="3"/>
      <c r="U1194" s="3"/>
      <c r="V1194" s="3"/>
    </row>
    <row r="1195" spans="1:24">
      <c r="A1195" s="231" t="s">
        <v>2</v>
      </c>
      <c r="B1195" s="231"/>
      <c r="C1195" s="231"/>
      <c r="D1195" s="231"/>
      <c r="E1195" s="231"/>
      <c r="F1195" s="231"/>
      <c r="G1195" s="231"/>
      <c r="H1195" s="231"/>
      <c r="I1195" s="231"/>
      <c r="J1195" s="231"/>
      <c r="K1195" s="231"/>
      <c r="L1195" s="231"/>
      <c r="M1195" s="4"/>
      <c r="N1195" s="4"/>
      <c r="O1195" s="4"/>
      <c r="P1195" s="4"/>
      <c r="Q1195" s="4"/>
      <c r="R1195" s="4"/>
      <c r="S1195" s="4"/>
      <c r="T1195" s="4"/>
      <c r="U1195" s="4"/>
      <c r="V1195" s="4"/>
    </row>
    <row r="1197" spans="1:24">
      <c r="A1197" s="5" t="s">
        <v>344</v>
      </c>
    </row>
    <row r="1198" spans="1:24" customHeight="1" ht="15"/>
    <row r="1199" spans="1:24">
      <c r="A1199" s="7"/>
      <c r="B1199" s="8"/>
      <c r="C1199" s="203" t="s">
        <v>4</v>
      </c>
      <c r="D1199" s="204"/>
      <c r="E1199" s="205" t="s">
        <v>5</v>
      </c>
      <c r="F1199" s="206"/>
      <c r="G1199" s="206"/>
      <c r="H1199" s="206"/>
      <c r="I1199" s="206"/>
      <c r="J1199" s="207"/>
      <c r="K1199" s="203" t="s">
        <v>6</v>
      </c>
      <c r="L1199" s="224"/>
      <c r="M1199" s="4"/>
      <c r="N1199" s="4"/>
      <c r="O1199" s="4"/>
      <c r="P1199" s="4"/>
      <c r="Q1199" s="4"/>
      <c r="R1199" s="4"/>
      <c r="S1199" s="4"/>
      <c r="T1199" s="4"/>
      <c r="U1199" s="4"/>
      <c r="V1199" s="4"/>
    </row>
    <row r="1200" spans="1:24">
      <c r="A1200" s="9" t="s">
        <v>7</v>
      </c>
      <c r="B1200" s="10" t="s">
        <v>8</v>
      </c>
      <c r="C1200" s="210">
        <v>2024</v>
      </c>
      <c r="D1200" s="211"/>
      <c r="E1200" s="233" t="s">
        <v>9</v>
      </c>
      <c r="F1200" s="234"/>
      <c r="G1200" s="233" t="s">
        <v>10</v>
      </c>
      <c r="H1200" s="234"/>
      <c r="I1200" s="214" t="s">
        <v>11</v>
      </c>
      <c r="J1200" s="215"/>
      <c r="K1200" s="210">
        <v>2026</v>
      </c>
      <c r="L1200" s="229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spans="1:24" customHeight="1" ht="15">
      <c r="A1201" s="13"/>
      <c r="B1201" s="14"/>
      <c r="C1201" s="220" t="s">
        <v>12</v>
      </c>
      <c r="D1201" s="221"/>
      <c r="E1201" s="220" t="s">
        <v>12</v>
      </c>
      <c r="F1201" s="221"/>
      <c r="G1201" s="220" t="s">
        <v>13</v>
      </c>
      <c r="H1201" s="221"/>
      <c r="I1201" s="216"/>
      <c r="J1201" s="217"/>
      <c r="K1201" s="220" t="s">
        <v>14</v>
      </c>
      <c r="L1201" s="230"/>
      <c r="M1201" s="4"/>
      <c r="N1201" s="4"/>
      <c r="O1201" s="4"/>
      <c r="P1201" s="4"/>
      <c r="Q1201" s="4"/>
      <c r="R1201" s="4"/>
      <c r="S1201" s="4"/>
      <c r="T1201" s="4"/>
      <c r="U1201" s="4"/>
      <c r="V1201" s="4"/>
    </row>
    <row r="1202" spans="1:24">
      <c r="A1202" s="27" t="s">
        <v>53</v>
      </c>
      <c r="B1202" s="52"/>
      <c r="C1202" s="17"/>
      <c r="D1202" s="18"/>
      <c r="E1202" s="17"/>
      <c r="F1202" s="18"/>
      <c r="G1202" s="17"/>
      <c r="H1202" s="18"/>
      <c r="I1202" s="17"/>
      <c r="J1202" s="18"/>
      <c r="K1202" s="17"/>
      <c r="L1202" s="19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</row>
    <row r="1203" spans="1:24">
      <c r="A1203" s="21" t="s">
        <v>345</v>
      </c>
      <c r="B1203" s="16" t="s">
        <v>346</v>
      </c>
      <c r="C1203" s="17" t="s">
        <v>18</v>
      </c>
      <c r="D1203" s="165">
        <v>2504723.92</v>
      </c>
      <c r="E1203" s="17" t="s">
        <v>18</v>
      </c>
      <c r="F1203" s="165">
        <v>1638383.78</v>
      </c>
      <c r="G1203" s="17" t="s">
        <v>18</v>
      </c>
      <c r="H1203" s="165">
        <v>0</v>
      </c>
      <c r="I1203" s="17" t="s">
        <v>18</v>
      </c>
      <c r="J1203" s="165">
        <v>3192082.59</v>
      </c>
      <c r="K1203" s="17" t="s">
        <v>18</v>
      </c>
      <c r="L1203" s="166">
        <v>4322342.58</v>
      </c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</row>
    <row r="1204" spans="1:24">
      <c r="A1204" s="21" t="s">
        <v>347</v>
      </c>
      <c r="B1204" s="16" t="s">
        <v>348</v>
      </c>
      <c r="C1204" s="17"/>
      <c r="D1204" s="165"/>
      <c r="E1204" s="17"/>
      <c r="F1204" s="28"/>
      <c r="G1204" s="17"/>
      <c r="H1204" s="28"/>
      <c r="I1204" s="17"/>
      <c r="J1204" s="28">
        <v>24223.09</v>
      </c>
      <c r="K1204" s="17"/>
      <c r="L1204" s="30">
        <v>0</v>
      </c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</row>
    <row r="1205" spans="1:24">
      <c r="A1205" s="21" t="s">
        <v>349</v>
      </c>
      <c r="B1205" s="16" t="s">
        <v>350</v>
      </c>
      <c r="C1205" s="17"/>
      <c r="D1205" s="165">
        <v>2402024.53</v>
      </c>
      <c r="E1205" s="17"/>
      <c r="F1205" s="91">
        <v>0</v>
      </c>
      <c r="G1205" s="17"/>
      <c r="H1205" s="91">
        <v>0</v>
      </c>
      <c r="I1205" s="17"/>
      <c r="J1205" s="91">
        <v>2782321.11</v>
      </c>
      <c r="K1205" s="17"/>
      <c r="L1205" s="175">
        <v>3138146.82</v>
      </c>
      <c r="M1205" s="191"/>
      <c r="N1205" s="26"/>
      <c r="O1205" s="26"/>
      <c r="P1205" s="26"/>
      <c r="Q1205" s="26"/>
      <c r="R1205" s="26"/>
      <c r="S1205" s="26"/>
      <c r="T1205" s="26"/>
      <c r="U1205" s="26"/>
      <c r="V1205" s="26"/>
    </row>
    <row r="1206" spans="1:24">
      <c r="A1206" s="21" t="s">
        <v>351</v>
      </c>
      <c r="B1206" s="16" t="s">
        <v>352</v>
      </c>
      <c r="C1206" s="17"/>
      <c r="D1206" s="165"/>
      <c r="E1206" s="17"/>
      <c r="F1206" s="165"/>
      <c r="G1206" s="17"/>
      <c r="H1206" s="165"/>
      <c r="I1206" s="17"/>
      <c r="J1206" s="165">
        <v>10381.32</v>
      </c>
      <c r="K1206" s="17"/>
      <c r="L1206" s="166">
        <v>0</v>
      </c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</row>
    <row r="1207" spans="1:24" customHeight="1" ht="15">
      <c r="A1207" s="27" t="s">
        <v>94</v>
      </c>
      <c r="B1207" s="52"/>
      <c r="C1207" s="56" t="s">
        <v>18</v>
      </c>
      <c r="D1207" s="47">
        <f>SUM(D1203:D1206)</f>
        <v>4906748.45</v>
      </c>
      <c r="E1207" s="56" t="s">
        <v>18</v>
      </c>
      <c r="F1207" s="47">
        <f>SUM(F1203:F1206)</f>
        <v>1638383.78</v>
      </c>
      <c r="G1207" s="56" t="s">
        <v>18</v>
      </c>
      <c r="H1207" s="47">
        <f>SUM(H1203:H1206)</f>
        <v>0</v>
      </c>
      <c r="I1207" s="56" t="s">
        <v>18</v>
      </c>
      <c r="J1207" s="47">
        <f>SUM(J1203:J1206)</f>
        <v>6009008.11</v>
      </c>
      <c r="K1207" s="56" t="s">
        <v>18</v>
      </c>
      <c r="L1207" s="47">
        <f>SUM(L1203:L1206)</f>
        <v>7460489.4</v>
      </c>
      <c r="M1207" s="59"/>
      <c r="N1207" s="50"/>
      <c r="O1207" s="50"/>
      <c r="P1207" s="50"/>
      <c r="Q1207" s="50"/>
      <c r="R1207" s="50"/>
      <c r="S1207" s="50"/>
      <c r="T1207" s="50"/>
      <c r="U1207" s="50"/>
      <c r="V1207" s="50"/>
    </row>
    <row r="1208" spans="1:24">
      <c r="A1208" s="27" t="s">
        <v>95</v>
      </c>
      <c r="B1208" s="52"/>
      <c r="D1208" s="75"/>
      <c r="E1208" s="17"/>
      <c r="F1208" s="75"/>
      <c r="G1208" s="17"/>
      <c r="H1208" s="75"/>
      <c r="I1208" s="17"/>
      <c r="J1208" s="75"/>
      <c r="K1208" s="17"/>
      <c r="L1208" s="7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</row>
    <row r="1209" spans="1:24">
      <c r="A1209" s="21" t="s">
        <v>353</v>
      </c>
      <c r="B1209" s="16" t="s">
        <v>354</v>
      </c>
      <c r="C1209" s="17"/>
      <c r="D1209" s="22">
        <v>2997000</v>
      </c>
      <c r="E1209" s="17"/>
      <c r="F1209" s="22">
        <v>0</v>
      </c>
      <c r="G1209" s="17"/>
      <c r="H1209" s="22">
        <v>0</v>
      </c>
      <c r="I1209" s="17"/>
      <c r="J1209" s="22">
        <v>0</v>
      </c>
      <c r="K1209" s="17"/>
      <c r="L1209" s="25">
        <v>0</v>
      </c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</row>
    <row r="1210" spans="1:24">
      <c r="A1210" s="21" t="s">
        <v>355</v>
      </c>
      <c r="B1210" s="16" t="s">
        <v>356</v>
      </c>
      <c r="C1210" s="17"/>
      <c r="D1210" s="22">
        <v>0</v>
      </c>
      <c r="E1210" s="17"/>
      <c r="F1210" s="22">
        <v>0</v>
      </c>
      <c r="G1210" s="17"/>
      <c r="H1210" s="22">
        <v>0</v>
      </c>
      <c r="I1210" s="17"/>
      <c r="J1210" s="22">
        <v>0</v>
      </c>
      <c r="K1210" s="17"/>
      <c r="L1210" s="25">
        <v>0</v>
      </c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</row>
    <row r="1211" spans="1:24">
      <c r="A1211" s="21" t="s">
        <v>357</v>
      </c>
      <c r="B1211" s="16" t="s">
        <v>120</v>
      </c>
      <c r="C1211" s="17"/>
      <c r="D1211" s="22">
        <v>0</v>
      </c>
      <c r="E1211" s="17"/>
      <c r="F1211" s="22">
        <v>0</v>
      </c>
      <c r="G1211" s="17"/>
      <c r="H1211" s="22">
        <v>0</v>
      </c>
      <c r="I1211" s="17"/>
      <c r="J1211" s="22">
        <v>3000000</v>
      </c>
      <c r="K1211" s="17"/>
      <c r="L1211" s="25">
        <v>0</v>
      </c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</row>
    <row r="1212" spans="1:24">
      <c r="A1212" s="21" t="s">
        <v>188</v>
      </c>
      <c r="B1212" s="16" t="s">
        <v>97</v>
      </c>
      <c r="C1212" s="17"/>
      <c r="D1212" s="168">
        <v>0</v>
      </c>
      <c r="E1212" s="17"/>
      <c r="F1212" s="168">
        <v>300000</v>
      </c>
      <c r="G1212" s="17"/>
      <c r="H1212" s="168">
        <v>0</v>
      </c>
      <c r="I1212" s="17"/>
      <c r="J1212" s="168">
        <v>300000</v>
      </c>
      <c r="K1212" s="17"/>
      <c r="L1212" s="169">
        <v>0</v>
      </c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</row>
    <row r="1213" spans="1:24" customHeight="1" ht="24.6">
      <c r="A1213" s="110" t="s">
        <v>358</v>
      </c>
      <c r="B1213" s="16"/>
      <c r="C1213" s="17"/>
      <c r="D1213" s="22">
        <v>0</v>
      </c>
      <c r="E1213" s="17"/>
      <c r="F1213" s="22">
        <v>0</v>
      </c>
      <c r="G1213" s="17"/>
      <c r="H1213" s="22">
        <v>0</v>
      </c>
      <c r="I1213" s="17"/>
      <c r="J1213" s="22">
        <v>0</v>
      </c>
      <c r="K1213" s="17"/>
      <c r="L1213" s="166">
        <v>1000000</v>
      </c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</row>
    <row r="1214" spans="1:24">
      <c r="A1214" s="21" t="s">
        <v>359</v>
      </c>
      <c r="B1214" s="16"/>
      <c r="C1214" s="17"/>
      <c r="D1214" s="22">
        <v>0</v>
      </c>
      <c r="E1214" s="17"/>
      <c r="F1214" s="22">
        <v>0</v>
      </c>
      <c r="G1214" s="17"/>
      <c r="H1214" s="22">
        <v>0</v>
      </c>
      <c r="I1214" s="17"/>
      <c r="J1214" s="22">
        <v>0</v>
      </c>
      <c r="K1214" s="17"/>
      <c r="L1214" s="166">
        <v>1000000</v>
      </c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</row>
    <row r="1215" spans="1:24" customHeight="1" ht="15">
      <c r="A1215" s="21" t="s">
        <v>360</v>
      </c>
      <c r="B1215" s="16"/>
      <c r="C1215" s="17"/>
      <c r="D1215" s="28">
        <v>0</v>
      </c>
      <c r="E1215" s="17"/>
      <c r="F1215" s="28">
        <v>0</v>
      </c>
      <c r="G1215" s="17"/>
      <c r="H1215" s="28">
        <v>0</v>
      </c>
      <c r="I1215" s="17"/>
      <c r="J1215" s="28">
        <v>0</v>
      </c>
      <c r="K1215" s="17"/>
      <c r="L1215" s="55">
        <v>1000000</v>
      </c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</row>
    <row r="1216" spans="1:24" customHeight="1" ht="15">
      <c r="A1216" s="27" t="s">
        <v>98</v>
      </c>
      <c r="B1216" s="16"/>
      <c r="C1216" s="56" t="s">
        <v>18</v>
      </c>
      <c r="D1216" s="77">
        <f>SUM(D1209:D1212)</f>
        <v>2997000</v>
      </c>
      <c r="E1216" s="56" t="s">
        <v>18</v>
      </c>
      <c r="F1216" s="77">
        <f>SUM(F1209:F1212)</f>
        <v>300000</v>
      </c>
      <c r="G1216" s="56" t="s">
        <v>18</v>
      </c>
      <c r="H1216" s="77">
        <f>SUM(H1209:H1212)</f>
        <v>0</v>
      </c>
      <c r="I1216" s="56" t="s">
        <v>18</v>
      </c>
      <c r="J1216" s="77">
        <f>SUM(J1209:J1212)</f>
        <v>3300000</v>
      </c>
      <c r="K1216" s="56" t="s">
        <v>18</v>
      </c>
      <c r="L1216" s="135">
        <f>SUM(L1209:L1215)</f>
        <v>3000000</v>
      </c>
      <c r="M1216" s="59"/>
      <c r="N1216" s="59"/>
      <c r="O1216" s="59"/>
      <c r="P1216" s="50"/>
      <c r="Q1216" s="50"/>
      <c r="R1216" s="50"/>
      <c r="S1216" s="50"/>
      <c r="T1216" s="50"/>
      <c r="U1216" s="50"/>
      <c r="V1216" s="50"/>
    </row>
    <row r="1217" spans="1:24" customHeight="1" ht="15">
      <c r="A1217" s="79" t="s">
        <v>99</v>
      </c>
      <c r="B1217" s="80"/>
      <c r="C1217" s="81" t="s">
        <v>18</v>
      </c>
      <c r="D1217" s="82">
        <f>D1207+D1216</f>
        <v>7903748.45</v>
      </c>
      <c r="E1217" s="83" t="s">
        <v>18</v>
      </c>
      <c r="F1217" s="82">
        <f>F1207+F1216</f>
        <v>1938383.78</v>
      </c>
      <c r="G1217" s="83" t="s">
        <v>18</v>
      </c>
      <c r="H1217" s="82">
        <f>H1207+H1216</f>
        <v>0</v>
      </c>
      <c r="I1217" s="83" t="s">
        <v>18</v>
      </c>
      <c r="J1217" s="82">
        <f>J1207+J1216</f>
        <v>9309008.11</v>
      </c>
      <c r="K1217" s="83" t="s">
        <v>18</v>
      </c>
      <c r="L1217" s="136">
        <f>L1207+L1216</f>
        <v>10460489.4</v>
      </c>
      <c r="M1217" s="59"/>
      <c r="N1217" s="59"/>
      <c r="O1217" s="59"/>
      <c r="P1217" s="50"/>
      <c r="Q1217" s="50"/>
      <c r="R1217" s="50"/>
      <c r="S1217" s="50"/>
      <c r="T1217" s="50"/>
      <c r="U1217" s="50"/>
      <c r="V1217" s="50"/>
    </row>
    <row r="1218" spans="1:24" customHeight="1" ht="15">
      <c r="A1218" s="5"/>
      <c r="C1218" s="56"/>
      <c r="D1218" s="59"/>
      <c r="E1218" s="56"/>
      <c r="F1218" s="59"/>
      <c r="G1218" s="56"/>
      <c r="H1218" s="59"/>
      <c r="I1218" s="56"/>
      <c r="J1218" s="59"/>
      <c r="K1218" s="56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</row>
    <row r="1219" spans="1:24">
      <c r="A1219" t="s">
        <v>100</v>
      </c>
      <c r="B1219" t="s">
        <v>101</v>
      </c>
      <c r="G1219" t="s">
        <v>102</v>
      </c>
    </row>
    <row r="1221" spans="1:24">
      <c r="A1221" s="200" t="s">
        <v>361</v>
      </c>
      <c r="D1221" s="200" t="s">
        <v>112</v>
      </c>
      <c r="J1221" s="200" t="s">
        <v>112</v>
      </c>
    </row>
    <row r="1222" spans="1:24">
      <c r="A1222" s="4" t="s">
        <v>114</v>
      </c>
      <c r="B1222" s="231" t="s">
        <v>107</v>
      </c>
      <c r="C1222" s="231"/>
      <c r="D1222" s="231"/>
      <c r="E1222" s="231"/>
      <c r="F1222" s="231"/>
      <c r="H1222" s="231" t="s">
        <v>106</v>
      </c>
      <c r="I1222" s="231"/>
      <c r="J1222" s="231"/>
      <c r="K1222" s="231"/>
      <c r="L1222" s="231"/>
      <c r="M1222" s="4"/>
      <c r="N1222" s="66"/>
      <c r="O1222" s="66"/>
      <c r="P1222" s="66"/>
      <c r="Q1222" s="66"/>
      <c r="R1222" s="66"/>
      <c r="S1222" s="66"/>
      <c r="T1222" s="66"/>
      <c r="U1222" s="66"/>
      <c r="V1222" s="66"/>
    </row>
    <row r="1223" spans="1:24">
      <c r="A1223" s="158" t="s">
        <v>115</v>
      </c>
      <c r="B1223" s="232" t="s">
        <v>109</v>
      </c>
      <c r="C1223" s="232"/>
      <c r="D1223" s="232"/>
      <c r="E1223" s="232"/>
      <c r="F1223" s="232"/>
      <c r="H1223" s="232" t="s">
        <v>108</v>
      </c>
      <c r="I1223" s="232"/>
      <c r="J1223" s="232"/>
      <c r="K1223" s="232"/>
      <c r="L1223" s="232"/>
      <c r="M1223" s="158"/>
      <c r="N1223" s="68"/>
      <c r="O1223" s="68"/>
      <c r="P1223" s="68"/>
      <c r="Q1223" s="68"/>
      <c r="R1223" s="68"/>
      <c r="S1223" s="68"/>
      <c r="T1223" s="68"/>
      <c r="U1223" s="68"/>
      <c r="V1223" s="68"/>
    </row>
    <row r="1225" spans="1:24">
      <c r="A1225" s="235" t="s">
        <v>0</v>
      </c>
      <c r="B1225" s="235"/>
      <c r="C1225" s="235"/>
      <c r="D1225" s="235"/>
      <c r="E1225" s="235"/>
      <c r="F1225" s="235"/>
      <c r="G1225" s="235"/>
      <c r="H1225" s="235"/>
      <c r="I1225" s="235"/>
      <c r="J1225" s="235"/>
      <c r="K1225" s="235"/>
      <c r="L1225" s="235"/>
      <c r="M1225" s="69"/>
      <c r="N1225" s="69"/>
      <c r="O1225" s="69"/>
      <c r="P1225" s="69"/>
      <c r="Q1225" s="69"/>
      <c r="R1225" s="69"/>
      <c r="S1225" s="69"/>
      <c r="T1225" s="69"/>
      <c r="U1225" s="69"/>
      <c r="V1225" s="69"/>
    </row>
    <row r="1226" spans="1:24" customHeight="1" ht="15.6">
      <c r="A1226" s="236" t="s">
        <v>1</v>
      </c>
      <c r="B1226" s="236"/>
      <c r="C1226" s="236"/>
      <c r="D1226" s="236"/>
      <c r="E1226" s="236"/>
      <c r="F1226" s="236"/>
      <c r="G1226" s="236"/>
      <c r="H1226" s="236"/>
      <c r="I1226" s="236"/>
      <c r="J1226" s="236"/>
      <c r="K1226" s="236"/>
      <c r="L1226" s="236"/>
      <c r="M1226" s="3"/>
      <c r="N1226" s="3"/>
      <c r="O1226" s="3"/>
      <c r="P1226" s="3"/>
      <c r="Q1226" s="3"/>
      <c r="R1226" s="3"/>
      <c r="S1226" s="3"/>
      <c r="T1226" s="3"/>
      <c r="U1226" s="3"/>
      <c r="V1226" s="3"/>
    </row>
    <row r="1227" spans="1:24">
      <c r="A1227" s="231" t="s">
        <v>2</v>
      </c>
      <c r="B1227" s="231"/>
      <c r="C1227" s="231"/>
      <c r="D1227" s="231"/>
      <c r="E1227" s="231"/>
      <c r="F1227" s="231"/>
      <c r="G1227" s="231"/>
      <c r="H1227" s="231"/>
      <c r="I1227" s="231"/>
      <c r="J1227" s="231"/>
      <c r="K1227" s="231"/>
      <c r="L1227" s="231"/>
      <c r="M1227" s="4"/>
      <c r="N1227" s="4"/>
      <c r="O1227" s="4"/>
      <c r="P1227" s="4"/>
      <c r="Q1227" s="4"/>
      <c r="R1227" s="4"/>
      <c r="S1227" s="4"/>
      <c r="T1227" s="4"/>
      <c r="U1227" s="4"/>
      <c r="V1227" s="4"/>
    </row>
    <row r="1229" spans="1:24" customHeight="1" ht="15">
      <c r="A1229" s="5" t="s">
        <v>362</v>
      </c>
    </row>
    <row r="1230" spans="1:24">
      <c r="A1230" s="7"/>
      <c r="B1230" s="8"/>
      <c r="C1230" s="203" t="s">
        <v>4</v>
      </c>
      <c r="D1230" s="204"/>
      <c r="E1230" s="205" t="s">
        <v>5</v>
      </c>
      <c r="F1230" s="206"/>
      <c r="G1230" s="206"/>
      <c r="H1230" s="206"/>
      <c r="I1230" s="206"/>
      <c r="J1230" s="207"/>
      <c r="K1230" s="203" t="s">
        <v>6</v>
      </c>
      <c r="L1230" s="224"/>
      <c r="M1230" s="4"/>
      <c r="N1230" s="4"/>
      <c r="O1230" s="4"/>
      <c r="P1230" s="4"/>
      <c r="Q1230" s="4"/>
      <c r="R1230" s="4"/>
      <c r="S1230" s="4"/>
      <c r="T1230" s="4"/>
      <c r="U1230" s="4"/>
      <c r="V1230" s="4"/>
    </row>
    <row r="1231" spans="1:24">
      <c r="A1231" s="9" t="s">
        <v>7</v>
      </c>
      <c r="B1231" s="10" t="s">
        <v>8</v>
      </c>
      <c r="C1231" s="210">
        <v>2024</v>
      </c>
      <c r="D1231" s="211"/>
      <c r="E1231" s="238" t="s">
        <v>9</v>
      </c>
      <c r="F1231" s="241"/>
      <c r="G1231" s="238" t="s">
        <v>10</v>
      </c>
      <c r="H1231" s="241"/>
      <c r="I1231" s="227" t="s">
        <v>11</v>
      </c>
      <c r="J1231" s="228"/>
      <c r="K1231" s="210">
        <v>2026</v>
      </c>
      <c r="L1231" s="229"/>
      <c r="M1231" s="4"/>
      <c r="N1231" s="4"/>
      <c r="O1231" s="4"/>
      <c r="P1231" s="4"/>
      <c r="Q1231" s="4"/>
      <c r="R1231" s="4"/>
      <c r="S1231" s="4"/>
      <c r="T1231" s="4"/>
      <c r="U1231" s="4"/>
      <c r="V1231" s="4"/>
    </row>
    <row r="1232" spans="1:24" customHeight="1" ht="15">
      <c r="A1232" s="13"/>
      <c r="B1232" s="14"/>
      <c r="C1232" s="220" t="s">
        <v>12</v>
      </c>
      <c r="D1232" s="221"/>
      <c r="E1232" s="220" t="s">
        <v>12</v>
      </c>
      <c r="F1232" s="221"/>
      <c r="G1232" s="220" t="s">
        <v>13</v>
      </c>
      <c r="H1232" s="221"/>
      <c r="I1232" s="216"/>
      <c r="J1232" s="217"/>
      <c r="K1232" s="220" t="s">
        <v>14</v>
      </c>
      <c r="L1232" s="230"/>
      <c r="M1232" s="4"/>
      <c r="N1232" s="4"/>
      <c r="O1232" s="4"/>
      <c r="P1232" s="4"/>
      <c r="Q1232" s="4"/>
      <c r="R1232" s="4"/>
      <c r="S1232" s="4"/>
      <c r="T1232" s="4"/>
      <c r="U1232" s="4"/>
      <c r="V1232" s="4"/>
    </row>
    <row r="1233" spans="1:24">
      <c r="A1233" s="110" t="s">
        <v>363</v>
      </c>
      <c r="B1233" s="52" t="s">
        <v>364</v>
      </c>
      <c r="C1233" t="s">
        <v>365</v>
      </c>
      <c r="D1233" s="165">
        <v>0</v>
      </c>
      <c r="E1233" t="s">
        <v>365</v>
      </c>
      <c r="F1233" s="165">
        <v>8497315.18</v>
      </c>
      <c r="G1233" t="s">
        <v>365</v>
      </c>
      <c r="H1233" s="165">
        <f>J1233-F1233</f>
        <v>2684.8200000003</v>
      </c>
      <c r="I1233" t="s">
        <v>365</v>
      </c>
      <c r="J1233" s="165">
        <v>8500000</v>
      </c>
      <c r="K1233" t="s">
        <v>365</v>
      </c>
      <c r="L1233" s="166">
        <v>6500000</v>
      </c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</row>
    <row r="1234" spans="1:24">
      <c r="A1234" s="21" t="s">
        <v>366</v>
      </c>
      <c r="B1234" s="52" t="s">
        <v>367</v>
      </c>
      <c r="D1234" s="165">
        <v>20560750.94</v>
      </c>
      <c r="E1234" s="17"/>
      <c r="F1234" s="165">
        <v>9133984.45</v>
      </c>
      <c r="G1234" s="17"/>
      <c r="H1234" s="165">
        <f>J1234-F1234</f>
        <v>16824802.79</v>
      </c>
      <c r="I1234" s="17"/>
      <c r="J1234" s="165">
        <v>25958787.24</v>
      </c>
      <c r="K1234" s="17"/>
      <c r="L1234" s="166">
        <v>22695379.08</v>
      </c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</row>
    <row r="1235" spans="1:24" customHeight="1" ht="24.6">
      <c r="A1235" s="137" t="s">
        <v>368</v>
      </c>
      <c r="B1235" s="52" t="s">
        <v>369</v>
      </c>
      <c r="D1235" s="165">
        <v>1498197.06</v>
      </c>
      <c r="E1235" s="17"/>
      <c r="F1235" s="165">
        <v>0</v>
      </c>
      <c r="G1235" s="17"/>
      <c r="H1235" s="165">
        <f>J1235-F1235</f>
        <v>0</v>
      </c>
      <c r="I1235" s="17"/>
      <c r="J1235" s="165">
        <v>0</v>
      </c>
      <c r="K1235" s="17"/>
      <c r="L1235" s="166">
        <v>550000</v>
      </c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</row>
    <row r="1236" spans="1:24">
      <c r="A1236" s="137" t="s">
        <v>370</v>
      </c>
      <c r="B1236" s="52" t="s">
        <v>371</v>
      </c>
      <c r="D1236" s="165">
        <v>499480.61</v>
      </c>
      <c r="E1236" s="17"/>
      <c r="F1236" s="165">
        <v>0</v>
      </c>
      <c r="G1236" s="17"/>
      <c r="H1236" s="165">
        <f>J1236-F1236</f>
        <v>0</v>
      </c>
      <c r="I1236" s="17"/>
      <c r="J1236" s="165">
        <v>0</v>
      </c>
      <c r="K1236" s="17"/>
      <c r="L1236" s="166">
        <v>0</v>
      </c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</row>
    <row r="1237" spans="1:24">
      <c r="A1237" s="137" t="s">
        <v>372</v>
      </c>
      <c r="B1237" s="138" t="s">
        <v>373</v>
      </c>
      <c r="C1237" s="17"/>
      <c r="D1237" s="165">
        <v>697894.77</v>
      </c>
      <c r="E1237" s="17"/>
      <c r="F1237" s="165">
        <v>0</v>
      </c>
      <c r="G1237" s="17"/>
      <c r="H1237" s="165">
        <f>J1237-F1237</f>
        <v>0</v>
      </c>
      <c r="I1237" s="17"/>
      <c r="J1237" s="165">
        <v>0</v>
      </c>
      <c r="K1237" s="17"/>
      <c r="L1237" s="166">
        <v>0</v>
      </c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</row>
    <row r="1238" spans="1:24" customHeight="1" ht="15">
      <c r="A1238" s="137" t="s">
        <v>374</v>
      </c>
      <c r="B1238" s="138" t="s">
        <v>375</v>
      </c>
      <c r="D1238" s="165">
        <v>1698498.46</v>
      </c>
      <c r="E1238" s="17"/>
      <c r="F1238" s="165">
        <v>0</v>
      </c>
      <c r="G1238" s="17"/>
      <c r="H1238" s="165">
        <f>J1238-F1238</f>
        <v>0</v>
      </c>
      <c r="I1238" s="17"/>
      <c r="J1238" s="165">
        <v>0</v>
      </c>
      <c r="K1238" s="17"/>
      <c r="L1238" s="166">
        <v>0</v>
      </c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</row>
    <row r="1239" spans="1:24" customHeight="1" ht="15">
      <c r="A1239" s="137" t="s">
        <v>376</v>
      </c>
      <c r="B1239" s="138" t="s">
        <v>377</v>
      </c>
      <c r="D1239" s="165">
        <v>499354.81</v>
      </c>
      <c r="E1239" s="17"/>
      <c r="F1239" s="165">
        <v>0</v>
      </c>
      <c r="G1239" s="17"/>
      <c r="H1239" s="165">
        <f>J1239-F1239</f>
        <v>0</v>
      </c>
      <c r="I1239" s="17"/>
      <c r="J1239" s="165">
        <v>0</v>
      </c>
      <c r="K1239" s="17"/>
      <c r="L1239" s="166">
        <v>0</v>
      </c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</row>
    <row r="1240" spans="1:24" customHeight="1" ht="15">
      <c r="A1240" s="137" t="s">
        <v>378</v>
      </c>
      <c r="B1240" s="138" t="s">
        <v>379</v>
      </c>
      <c r="C1240" s="17"/>
      <c r="D1240" s="165">
        <v>499285.89</v>
      </c>
      <c r="E1240" s="17"/>
      <c r="F1240" s="165">
        <v>0</v>
      </c>
      <c r="G1240" s="17"/>
      <c r="H1240" s="165">
        <f>J1240-F1240</f>
        <v>0</v>
      </c>
      <c r="I1240" s="17"/>
      <c r="J1240" s="165">
        <v>0</v>
      </c>
      <c r="K1240" s="17"/>
      <c r="L1240" s="166">
        <v>0</v>
      </c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</row>
    <row r="1241" spans="1:24" customHeight="1" ht="15">
      <c r="A1241" s="137" t="s">
        <v>380</v>
      </c>
      <c r="B1241" s="138" t="s">
        <v>381</v>
      </c>
      <c r="C1241" s="17"/>
      <c r="D1241" s="165">
        <v>298000</v>
      </c>
      <c r="E1241" s="17"/>
      <c r="F1241" s="165">
        <v>0</v>
      </c>
      <c r="G1241" s="17"/>
      <c r="H1241" s="165">
        <f>J1241-F1241</f>
        <v>0</v>
      </c>
      <c r="I1241" s="17"/>
      <c r="J1241" s="165">
        <v>0</v>
      </c>
      <c r="K1241" s="17"/>
      <c r="L1241" s="166">
        <v>0</v>
      </c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</row>
    <row r="1242" spans="1:24" customHeight="1" ht="15">
      <c r="A1242" s="137" t="s">
        <v>382</v>
      </c>
      <c r="B1242" s="138" t="s">
        <v>383</v>
      </c>
      <c r="C1242" s="17"/>
      <c r="D1242" s="165">
        <v>497597.63</v>
      </c>
      <c r="E1242" s="17"/>
      <c r="F1242" s="165">
        <v>0</v>
      </c>
      <c r="G1242" s="17"/>
      <c r="H1242" s="165">
        <f>J1242-F1242</f>
        <v>0</v>
      </c>
      <c r="I1242" s="17"/>
      <c r="J1242" s="165">
        <v>0</v>
      </c>
      <c r="K1242" s="17"/>
      <c r="L1242" s="166">
        <v>0</v>
      </c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</row>
    <row r="1243" spans="1:24" customHeight="1" ht="15">
      <c r="A1243" s="137" t="s">
        <v>384</v>
      </c>
      <c r="B1243" s="138" t="s">
        <v>385</v>
      </c>
      <c r="C1243" s="17"/>
      <c r="D1243" s="165">
        <v>999113.99</v>
      </c>
      <c r="E1243" s="17"/>
      <c r="F1243" s="165">
        <v>0</v>
      </c>
      <c r="G1243" s="17"/>
      <c r="H1243" s="165">
        <f>J1243-F1243</f>
        <v>0</v>
      </c>
      <c r="I1243" s="17"/>
      <c r="J1243" s="165">
        <v>0</v>
      </c>
      <c r="K1243" s="17"/>
      <c r="L1243" s="166">
        <v>0</v>
      </c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</row>
    <row r="1244" spans="1:24" customHeight="1" ht="15">
      <c r="A1244" s="137" t="s">
        <v>386</v>
      </c>
      <c r="B1244" s="138" t="s">
        <v>387</v>
      </c>
      <c r="C1244" s="17"/>
      <c r="D1244" s="165">
        <v>568293.91</v>
      </c>
      <c r="E1244" s="17"/>
      <c r="F1244" s="165">
        <v>0</v>
      </c>
      <c r="G1244" s="17"/>
      <c r="H1244" s="165">
        <f>J1244-F1244</f>
        <v>0</v>
      </c>
      <c r="I1244" s="17"/>
      <c r="J1244" s="165">
        <v>0</v>
      </c>
      <c r="K1244" s="17"/>
      <c r="L1244" s="166">
        <v>0</v>
      </c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</row>
    <row r="1245" spans="1:24" customHeight="1" ht="27">
      <c r="A1245" s="110" t="s">
        <v>388</v>
      </c>
      <c r="B1245" s="138" t="s">
        <v>389</v>
      </c>
      <c r="C1245" s="20"/>
      <c r="D1245" s="174">
        <v>0</v>
      </c>
      <c r="E1245" s="20"/>
      <c r="F1245" s="174">
        <v>0</v>
      </c>
      <c r="G1245" s="20"/>
      <c r="H1245" s="174">
        <f>J1245-F1245</f>
        <v>0</v>
      </c>
      <c r="I1245" s="20"/>
      <c r="J1245" s="174">
        <v>0</v>
      </c>
      <c r="K1245" s="20"/>
      <c r="L1245" s="166">
        <v>950000</v>
      </c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</row>
    <row r="1246" spans="1:24" customHeight="1" ht="15">
      <c r="A1246" s="110" t="s">
        <v>390</v>
      </c>
      <c r="B1246" s="138" t="s">
        <v>391</v>
      </c>
      <c r="C1246" s="20"/>
      <c r="D1246" s="174">
        <v>0</v>
      </c>
      <c r="E1246" s="20"/>
      <c r="F1246" s="174">
        <v>0</v>
      </c>
      <c r="G1246" s="20"/>
      <c r="H1246" s="174">
        <f>J1246-F1246</f>
        <v>0</v>
      </c>
      <c r="I1246" s="20"/>
      <c r="J1246" s="174">
        <v>0</v>
      </c>
      <c r="K1246" s="20"/>
      <c r="L1246" s="166">
        <v>625000</v>
      </c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</row>
    <row r="1247" spans="1:24" customHeight="1" ht="15">
      <c r="A1247" s="110" t="s">
        <v>392</v>
      </c>
      <c r="B1247" s="138" t="s">
        <v>393</v>
      </c>
      <c r="C1247" s="20"/>
      <c r="D1247" s="174">
        <v>0</v>
      </c>
      <c r="E1247" s="20"/>
      <c r="F1247" s="174">
        <v>0</v>
      </c>
      <c r="G1247" s="20"/>
      <c r="H1247" s="174">
        <f>J1247-F1247</f>
        <v>0</v>
      </c>
      <c r="I1247" s="20"/>
      <c r="J1247" s="174">
        <v>0</v>
      </c>
      <c r="K1247" s="20"/>
      <c r="L1247" s="166">
        <v>1195000</v>
      </c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</row>
    <row r="1248" spans="1:24" customHeight="1" ht="15">
      <c r="A1248" s="137" t="s">
        <v>394</v>
      </c>
      <c r="B1248" s="138" t="s">
        <v>395</v>
      </c>
      <c r="C1248" s="17"/>
      <c r="D1248" s="165">
        <v>0</v>
      </c>
      <c r="E1248" s="17"/>
      <c r="F1248" s="165">
        <v>0</v>
      </c>
      <c r="G1248" s="17"/>
      <c r="H1248" s="165">
        <f>J1248-F1248</f>
        <v>0</v>
      </c>
      <c r="I1248" s="17"/>
      <c r="J1248" s="165">
        <v>0</v>
      </c>
      <c r="K1248" s="17"/>
      <c r="L1248" s="166">
        <v>500000</v>
      </c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</row>
    <row r="1249" spans="1:24" customHeight="1" ht="15">
      <c r="A1249" s="137" t="s">
        <v>396</v>
      </c>
      <c r="B1249" s="138" t="s">
        <v>397</v>
      </c>
      <c r="C1249" s="17"/>
      <c r="D1249" s="165">
        <v>0</v>
      </c>
      <c r="E1249" s="17"/>
      <c r="F1249" s="165">
        <v>0</v>
      </c>
      <c r="G1249" s="17"/>
      <c r="H1249" s="165">
        <f>J1249-F1249</f>
        <v>0</v>
      </c>
      <c r="I1249" s="17"/>
      <c r="J1249" s="165">
        <v>0</v>
      </c>
      <c r="K1249" s="17"/>
      <c r="L1249" s="166">
        <v>500000</v>
      </c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</row>
    <row r="1250" spans="1:24" customHeight="1" ht="15">
      <c r="A1250" s="137" t="s">
        <v>398</v>
      </c>
      <c r="B1250" s="138" t="s">
        <v>399</v>
      </c>
      <c r="C1250" s="17"/>
      <c r="D1250" s="165">
        <v>0</v>
      </c>
      <c r="E1250" s="17"/>
      <c r="F1250" s="165">
        <v>0</v>
      </c>
      <c r="G1250" s="17"/>
      <c r="H1250" s="165">
        <f>J1250-F1250</f>
        <v>0</v>
      </c>
      <c r="I1250" s="17"/>
      <c r="J1250" s="165">
        <v>0</v>
      </c>
      <c r="K1250" s="17"/>
      <c r="L1250" s="166">
        <v>500000</v>
      </c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</row>
    <row r="1251" spans="1:24" customHeight="1" ht="15">
      <c r="A1251" s="110" t="s">
        <v>400</v>
      </c>
      <c r="B1251" s="138" t="s">
        <v>401</v>
      </c>
      <c r="C1251" s="17"/>
      <c r="D1251" s="165">
        <v>0</v>
      </c>
      <c r="E1251" s="17"/>
      <c r="F1251" s="165">
        <v>0</v>
      </c>
      <c r="G1251" s="17"/>
      <c r="H1251" s="165">
        <f>J1251-F1251</f>
        <v>0</v>
      </c>
      <c r="I1251" s="17"/>
      <c r="J1251" s="165">
        <v>0</v>
      </c>
      <c r="K1251" s="17"/>
      <c r="L1251" s="166">
        <v>500000</v>
      </c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</row>
    <row r="1252" spans="1:24" customHeight="1" ht="15">
      <c r="A1252" s="137" t="s">
        <v>402</v>
      </c>
      <c r="B1252" s="138" t="s">
        <v>403</v>
      </c>
      <c r="C1252" s="17"/>
      <c r="D1252" s="165">
        <v>0</v>
      </c>
      <c r="E1252" s="17"/>
      <c r="F1252" s="165">
        <v>0</v>
      </c>
      <c r="G1252" s="17"/>
      <c r="H1252" s="165">
        <f>J1252-F1252</f>
        <v>0</v>
      </c>
      <c r="I1252" s="17"/>
      <c r="J1252" s="165">
        <v>0</v>
      </c>
      <c r="K1252" s="17"/>
      <c r="L1252" s="166">
        <v>500000</v>
      </c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</row>
    <row r="1253" spans="1:24" customHeight="1" ht="15">
      <c r="A1253" s="137" t="s">
        <v>404</v>
      </c>
      <c r="B1253" s="138" t="s">
        <v>405</v>
      </c>
      <c r="C1253" s="17"/>
      <c r="D1253" s="88">
        <v>0</v>
      </c>
      <c r="E1253" s="17"/>
      <c r="F1253" s="165">
        <v>0</v>
      </c>
      <c r="G1253" s="17"/>
      <c r="H1253" s="165">
        <f>J1253-F1253</f>
        <v>0</v>
      </c>
      <c r="I1253" s="17"/>
      <c r="J1253" s="165">
        <v>0</v>
      </c>
      <c r="K1253" s="17"/>
      <c r="L1253" s="128">
        <v>500000</v>
      </c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</row>
    <row r="1254" spans="1:24" customHeight="1" ht="15">
      <c r="A1254" s="184" t="s">
        <v>406</v>
      </c>
      <c r="B1254" s="185"/>
      <c r="C1254" s="188" t="s">
        <v>365</v>
      </c>
      <c r="D1254" s="77">
        <f>SUM(D1233:D1253)</f>
        <v>28316468.07</v>
      </c>
      <c r="E1254" s="188" t="s">
        <v>365</v>
      </c>
      <c r="F1254" s="77">
        <f>SUM(F1233:F1253)</f>
        <v>17631299.63</v>
      </c>
      <c r="G1254" s="188" t="s">
        <v>365</v>
      </c>
      <c r="H1254" s="77">
        <f>SUM(H1233:H1253)</f>
        <v>16827487.61</v>
      </c>
      <c r="I1254" s="188" t="s">
        <v>365</v>
      </c>
      <c r="J1254" s="77">
        <f>SUM(J1233:J1253)</f>
        <v>34458787.24</v>
      </c>
      <c r="K1254" s="188" t="s">
        <v>365</v>
      </c>
      <c r="L1254" s="111">
        <f>SUM(L1233:L1253)</f>
        <v>35515379.08</v>
      </c>
      <c r="M1254" s="59"/>
      <c r="N1254" s="26"/>
      <c r="O1254" s="26"/>
      <c r="P1254" s="26"/>
      <c r="Q1254" s="26"/>
      <c r="R1254" s="26"/>
      <c r="S1254" s="26"/>
      <c r="T1254" s="26"/>
      <c r="U1254" s="26"/>
      <c r="V1254" s="26"/>
    </row>
    <row r="1255" spans="1:24" customHeight="1" ht="15">
      <c r="A1255" s="179"/>
      <c r="B1255" s="180"/>
      <c r="C1255" s="143"/>
      <c r="D1255" s="181"/>
      <c r="E1255" s="143"/>
      <c r="F1255" s="181"/>
      <c r="G1255" s="143"/>
      <c r="H1255" s="181"/>
      <c r="I1255" s="143"/>
      <c r="J1255" s="181"/>
      <c r="K1255" s="143"/>
      <c r="L1255" s="182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</row>
    <row r="1256" spans="1:24" customHeight="1" ht="15">
      <c r="A1256" s="183"/>
      <c r="B1256" s="2"/>
      <c r="C1256" s="17"/>
      <c r="D1256" s="89"/>
      <c r="E1256" s="17"/>
      <c r="F1256" s="89"/>
      <c r="G1256" s="17"/>
      <c r="H1256" s="89"/>
      <c r="I1256" s="17"/>
      <c r="J1256" s="89"/>
      <c r="K1256" s="17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</row>
    <row r="1257" spans="1:24" customHeight="1" ht="15">
      <c r="A1257" s="183"/>
      <c r="B1257" s="2"/>
      <c r="C1257" s="17"/>
      <c r="D1257" s="89"/>
      <c r="E1257" s="17"/>
      <c r="F1257" s="89"/>
      <c r="G1257" s="17"/>
      <c r="H1257" s="89"/>
      <c r="I1257" s="17"/>
      <c r="J1257" s="89"/>
      <c r="K1257" s="17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</row>
    <row r="1258" spans="1:24">
      <c r="A1258" s="7"/>
      <c r="B1258" s="8"/>
      <c r="C1258" s="203" t="s">
        <v>4</v>
      </c>
      <c r="D1258" s="204"/>
      <c r="E1258" s="205" t="s">
        <v>5</v>
      </c>
      <c r="F1258" s="206"/>
      <c r="G1258" s="206"/>
      <c r="H1258" s="206"/>
      <c r="I1258" s="206"/>
      <c r="J1258" s="207"/>
      <c r="K1258" s="203" t="s">
        <v>6</v>
      </c>
      <c r="L1258" s="224"/>
      <c r="M1258" s="4"/>
      <c r="N1258" s="4"/>
      <c r="O1258" s="4"/>
      <c r="P1258" s="4"/>
      <c r="Q1258" s="4"/>
      <c r="R1258" s="4"/>
      <c r="S1258" s="4"/>
      <c r="T1258" s="4"/>
      <c r="U1258" s="4"/>
      <c r="V1258" s="4"/>
    </row>
    <row r="1259" spans="1:24">
      <c r="A1259" s="9" t="s">
        <v>7</v>
      </c>
      <c r="B1259" s="10" t="s">
        <v>8</v>
      </c>
      <c r="C1259" s="210">
        <v>2024</v>
      </c>
      <c r="D1259" s="211"/>
      <c r="E1259" s="238" t="s">
        <v>9</v>
      </c>
      <c r="F1259" s="241"/>
      <c r="G1259" s="238" t="s">
        <v>10</v>
      </c>
      <c r="H1259" s="241"/>
      <c r="I1259" s="227" t="s">
        <v>11</v>
      </c>
      <c r="J1259" s="228"/>
      <c r="K1259" s="210">
        <v>2026</v>
      </c>
      <c r="L1259" s="229"/>
      <c r="M1259" s="4"/>
      <c r="N1259" s="4"/>
      <c r="O1259" s="4"/>
      <c r="P1259" s="4"/>
      <c r="Q1259" s="4"/>
      <c r="R1259" s="4"/>
      <c r="S1259" s="4"/>
      <c r="T1259" s="4"/>
      <c r="U1259" s="4"/>
      <c r="V1259" s="4"/>
    </row>
    <row r="1260" spans="1:24" customHeight="1" ht="15">
      <c r="A1260" s="13"/>
      <c r="B1260" s="14"/>
      <c r="C1260" s="220" t="s">
        <v>12</v>
      </c>
      <c r="D1260" s="221"/>
      <c r="E1260" s="220" t="s">
        <v>12</v>
      </c>
      <c r="F1260" s="221"/>
      <c r="G1260" s="220" t="s">
        <v>13</v>
      </c>
      <c r="H1260" s="221"/>
      <c r="I1260" s="216"/>
      <c r="J1260" s="217"/>
      <c r="K1260" s="220" t="s">
        <v>14</v>
      </c>
      <c r="L1260" s="230"/>
      <c r="M1260" s="4"/>
      <c r="N1260" s="4"/>
      <c r="O1260" s="4"/>
      <c r="P1260" s="4"/>
      <c r="Q1260" s="4"/>
      <c r="R1260" s="4"/>
      <c r="S1260" s="4"/>
      <c r="T1260" s="4"/>
      <c r="U1260" s="4"/>
      <c r="V1260" s="4"/>
    </row>
    <row r="1261" spans="1:24" customHeight="1" ht="29.25">
      <c r="A1261" s="137" t="s">
        <v>407</v>
      </c>
      <c r="B1261" s="138" t="s">
        <v>408</v>
      </c>
      <c r="C1261" t="s">
        <v>365</v>
      </c>
      <c r="D1261" s="165">
        <v>0</v>
      </c>
      <c r="E1261" t="s">
        <v>365</v>
      </c>
      <c r="F1261" s="165">
        <v>0</v>
      </c>
      <c r="G1261" t="s">
        <v>365</v>
      </c>
      <c r="H1261" s="165">
        <v>0</v>
      </c>
      <c r="I1261" t="s">
        <v>365</v>
      </c>
      <c r="J1261" s="165">
        <v>0</v>
      </c>
      <c r="K1261" t="s">
        <v>365</v>
      </c>
      <c r="L1261" s="166">
        <v>500000</v>
      </c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</row>
    <row r="1262" spans="1:24" customHeight="1" ht="15">
      <c r="A1262" s="137" t="s">
        <v>409</v>
      </c>
      <c r="B1262" s="138" t="s">
        <v>410</v>
      </c>
      <c r="C1262" s="17"/>
      <c r="D1262" s="165">
        <v>0</v>
      </c>
      <c r="E1262" s="17"/>
      <c r="F1262" s="165">
        <v>0</v>
      </c>
      <c r="G1262" s="17"/>
      <c r="H1262" s="165">
        <v>0</v>
      </c>
      <c r="I1262" s="17"/>
      <c r="J1262" s="165">
        <v>0</v>
      </c>
      <c r="K1262" s="17"/>
      <c r="L1262" s="166">
        <v>500000</v>
      </c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</row>
    <row r="1263" spans="1:24" customHeight="1" ht="15">
      <c r="A1263" s="137" t="s">
        <v>411</v>
      </c>
      <c r="B1263" s="138" t="s">
        <v>412</v>
      </c>
      <c r="C1263" s="17"/>
      <c r="D1263" s="165">
        <v>0</v>
      </c>
      <c r="E1263" s="17"/>
      <c r="F1263" s="165">
        <v>0</v>
      </c>
      <c r="G1263" s="17"/>
      <c r="H1263" s="165">
        <v>0</v>
      </c>
      <c r="I1263" s="17"/>
      <c r="J1263" s="165">
        <v>0</v>
      </c>
      <c r="K1263" s="17"/>
      <c r="L1263" s="166">
        <v>500000</v>
      </c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</row>
    <row r="1264" spans="1:24" customHeight="1" ht="15">
      <c r="A1264" s="137" t="s">
        <v>413</v>
      </c>
      <c r="B1264" s="138" t="s">
        <v>414</v>
      </c>
      <c r="C1264" s="17"/>
      <c r="D1264" s="165">
        <v>0</v>
      </c>
      <c r="E1264" s="17"/>
      <c r="F1264" s="165">
        <v>0</v>
      </c>
      <c r="G1264" s="17"/>
      <c r="H1264" s="165">
        <v>0</v>
      </c>
      <c r="I1264" s="17"/>
      <c r="J1264" s="165">
        <v>0</v>
      </c>
      <c r="K1264" s="17"/>
      <c r="L1264" s="166">
        <v>500000</v>
      </c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</row>
    <row r="1265" spans="1:24" customHeight="1" ht="15">
      <c r="A1265" s="137" t="s">
        <v>415</v>
      </c>
      <c r="B1265" s="138" t="s">
        <v>416</v>
      </c>
      <c r="C1265" s="17"/>
      <c r="D1265" s="165">
        <v>0</v>
      </c>
      <c r="E1265" s="17"/>
      <c r="F1265" s="165">
        <v>0</v>
      </c>
      <c r="G1265" s="17"/>
      <c r="H1265" s="165">
        <v>0</v>
      </c>
      <c r="I1265" s="17"/>
      <c r="J1265" s="165">
        <v>0</v>
      </c>
      <c r="K1265" s="17"/>
      <c r="L1265" s="166">
        <v>500000</v>
      </c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</row>
    <row r="1266" spans="1:24" customHeight="1" ht="15">
      <c r="A1266" s="137" t="s">
        <v>417</v>
      </c>
      <c r="B1266" s="138" t="s">
        <v>418</v>
      </c>
      <c r="C1266" s="17"/>
      <c r="D1266" s="165">
        <v>0</v>
      </c>
      <c r="E1266" s="17"/>
      <c r="F1266" s="165">
        <v>0</v>
      </c>
      <c r="G1266" s="17"/>
      <c r="H1266" s="165">
        <v>0</v>
      </c>
      <c r="I1266" s="17"/>
      <c r="J1266" s="165">
        <v>0</v>
      </c>
      <c r="K1266" s="17"/>
      <c r="L1266" s="166">
        <v>500000</v>
      </c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</row>
    <row r="1267" spans="1:24" customHeight="1" ht="15">
      <c r="A1267" s="137" t="s">
        <v>419</v>
      </c>
      <c r="B1267" s="138" t="s">
        <v>420</v>
      </c>
      <c r="C1267" s="17"/>
      <c r="D1267" s="88">
        <v>0</v>
      </c>
      <c r="E1267" s="17"/>
      <c r="F1267" s="88">
        <v>0</v>
      </c>
      <c r="G1267" s="17"/>
      <c r="H1267" s="88">
        <v>0</v>
      </c>
      <c r="I1267" s="17"/>
      <c r="J1267" s="88">
        <v>0</v>
      </c>
      <c r="K1267" s="17"/>
      <c r="L1267" s="128">
        <v>500000</v>
      </c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</row>
    <row r="1268" spans="1:24" customHeight="1" ht="15">
      <c r="A1268" s="184" t="s">
        <v>406</v>
      </c>
      <c r="B1268" s="185"/>
      <c r="C1268" s="188" t="s">
        <v>365</v>
      </c>
      <c r="D1268" s="186">
        <f>SUM(D1261:D1267)</f>
        <v>0</v>
      </c>
      <c r="E1268" s="188" t="s">
        <v>365</v>
      </c>
      <c r="F1268" s="186">
        <f>SUM(F1261:F1267)</f>
        <v>0</v>
      </c>
      <c r="G1268" s="188" t="s">
        <v>365</v>
      </c>
      <c r="H1268" s="186">
        <f>SUM(H1261:H1267)</f>
        <v>0</v>
      </c>
      <c r="I1268" s="188" t="s">
        <v>365</v>
      </c>
      <c r="J1268" s="186">
        <f>SUM(J1261:J1267)</f>
        <v>0</v>
      </c>
      <c r="K1268" s="188" t="s">
        <v>365</v>
      </c>
      <c r="L1268" s="187">
        <f>SUM(L1261:L1267)</f>
        <v>3500000</v>
      </c>
      <c r="M1268" s="89"/>
      <c r="N1268" s="26"/>
      <c r="O1268" s="26"/>
      <c r="P1268" s="26"/>
      <c r="Q1268" s="26"/>
      <c r="R1268" s="26"/>
      <c r="S1268" s="26"/>
      <c r="T1268" s="26"/>
      <c r="U1268" s="26"/>
      <c r="V1268" s="26"/>
    </row>
    <row r="1269" spans="1:24" customHeight="1" ht="15">
      <c r="A1269" s="79" t="s">
        <v>99</v>
      </c>
      <c r="B1269" s="80"/>
      <c r="C1269" s="81" t="s">
        <v>18</v>
      </c>
      <c r="D1269" s="82">
        <f>D1254+D1268</f>
        <v>28316468.07</v>
      </c>
      <c r="E1269" s="83" t="s">
        <v>18</v>
      </c>
      <c r="F1269" s="82">
        <f>F1254+F1268</f>
        <v>17631299.63</v>
      </c>
      <c r="G1269" s="83" t="s">
        <v>18</v>
      </c>
      <c r="H1269" s="82">
        <f>H1254+H1268</f>
        <v>16827487.61</v>
      </c>
      <c r="I1269" s="83" t="s">
        <v>18</v>
      </c>
      <c r="J1269" s="82">
        <f>J1254+J1268</f>
        <v>34458787.24</v>
      </c>
      <c r="K1269" s="83" t="s">
        <v>18</v>
      </c>
      <c r="L1269" s="82">
        <f>L1254+L1268</f>
        <v>39015379.08</v>
      </c>
      <c r="M1269" s="59"/>
      <c r="N1269" s="59"/>
      <c r="O1269" s="59"/>
      <c r="P1269" s="50"/>
      <c r="Q1269" s="50"/>
      <c r="R1269" s="50"/>
      <c r="S1269" s="50"/>
      <c r="T1269" s="50"/>
      <c r="U1269" s="50"/>
      <c r="V1269" s="50"/>
    </row>
    <row r="1270" spans="1:24" customHeight="1" ht="15">
      <c r="A1270" s="5"/>
      <c r="C1270" s="56"/>
      <c r="D1270" s="59"/>
      <c r="E1270" s="56"/>
      <c r="F1270" s="59"/>
      <c r="G1270" s="56"/>
      <c r="H1270" s="59"/>
      <c r="I1270" s="56"/>
      <c r="J1270" s="59"/>
      <c r="K1270" s="56"/>
      <c r="L1270" s="59"/>
      <c r="M1270" s="59"/>
      <c r="N1270" s="59"/>
      <c r="O1270" s="59"/>
      <c r="P1270" s="50"/>
      <c r="Q1270" s="50"/>
      <c r="R1270" s="50"/>
      <c r="S1270" s="50"/>
      <c r="T1270" s="50"/>
      <c r="U1270" s="50"/>
      <c r="V1270" s="50"/>
    </row>
    <row r="1271" spans="1:24">
      <c r="A1271" s="5"/>
      <c r="C1271" s="56"/>
      <c r="D1271" s="59"/>
      <c r="E1271" s="56"/>
      <c r="F1271" s="59"/>
      <c r="G1271" s="56"/>
      <c r="H1271" s="59"/>
      <c r="I1271" s="56"/>
      <c r="J1271" s="59"/>
      <c r="K1271" s="56"/>
      <c r="L1271" s="59"/>
      <c r="M1271" s="59"/>
      <c r="N1271" s="59"/>
      <c r="O1271" s="59"/>
      <c r="P1271" s="50"/>
      <c r="Q1271" s="50"/>
      <c r="R1271" s="50"/>
      <c r="S1271" s="50"/>
      <c r="T1271" s="50"/>
      <c r="U1271" s="50"/>
      <c r="V1271" s="50"/>
    </row>
    <row r="1272" spans="1:24" customHeight="1" ht="15.6">
      <c r="A1272" s="159" t="s">
        <v>100</v>
      </c>
      <c r="B1272" s="159" t="s">
        <v>101</v>
      </c>
      <c r="C1272" s="159"/>
      <c r="D1272" s="159"/>
      <c r="E1272" s="159"/>
      <c r="F1272" s="159"/>
      <c r="G1272" s="159" t="s">
        <v>102</v>
      </c>
      <c r="H1272" s="159"/>
      <c r="I1272" s="159"/>
      <c r="J1272" s="159"/>
      <c r="K1272" s="159"/>
      <c r="L1272" s="160"/>
      <c r="M1272" s="160"/>
    </row>
    <row r="1273" spans="1:24" customHeight="1" ht="15.6">
      <c r="A1273" s="159"/>
      <c r="B1273" s="159"/>
      <c r="C1273" s="159"/>
      <c r="D1273" s="159"/>
      <c r="E1273" s="159"/>
      <c r="F1273" s="159"/>
      <c r="G1273" s="159"/>
      <c r="H1273" s="159"/>
      <c r="I1273" s="159"/>
      <c r="J1273" s="159"/>
      <c r="K1273" s="159"/>
      <c r="L1273" s="160"/>
      <c r="M1273" s="160"/>
    </row>
    <row r="1274" spans="1:24" customHeight="1" ht="15.6">
      <c r="A1274" s="201" t="s">
        <v>421</v>
      </c>
      <c r="B1274" s="159"/>
      <c r="C1274" s="159"/>
      <c r="D1274" s="201" t="s">
        <v>112</v>
      </c>
      <c r="E1274" s="159"/>
      <c r="F1274" s="159"/>
      <c r="G1274" s="159"/>
      <c r="H1274" s="159"/>
      <c r="I1274" s="159"/>
      <c r="J1274" s="201" t="s">
        <v>112</v>
      </c>
      <c r="K1274" s="159"/>
      <c r="L1274" s="160"/>
      <c r="M1274" s="160"/>
    </row>
    <row r="1275" spans="1:24" customHeight="1" ht="15.6">
      <c r="A1275" s="3" t="s">
        <v>106</v>
      </c>
      <c r="B1275" s="236" t="s">
        <v>107</v>
      </c>
      <c r="C1275" s="236"/>
      <c r="D1275" s="236"/>
      <c r="E1275" s="236"/>
      <c r="F1275" s="236"/>
      <c r="G1275" s="159"/>
      <c r="H1275" s="236" t="s">
        <v>106</v>
      </c>
      <c r="I1275" s="236"/>
      <c r="J1275" s="236"/>
      <c r="K1275" s="236"/>
      <c r="L1275" s="236"/>
      <c r="M1275" s="3"/>
      <c r="N1275" s="66"/>
      <c r="O1275" s="66"/>
      <c r="P1275" s="66"/>
      <c r="Q1275" s="66"/>
      <c r="R1275" s="66"/>
      <c r="S1275" s="66"/>
      <c r="T1275" s="66"/>
      <c r="U1275" s="66"/>
      <c r="V1275" s="66"/>
    </row>
    <row r="1276" spans="1:24" customHeight="1" ht="15.6">
      <c r="A1276" s="161" t="s">
        <v>108</v>
      </c>
      <c r="B1276" s="237" t="s">
        <v>109</v>
      </c>
      <c r="C1276" s="237"/>
      <c r="D1276" s="237"/>
      <c r="E1276" s="237"/>
      <c r="F1276" s="237"/>
      <c r="G1276" s="159"/>
      <c r="H1276" s="237" t="s">
        <v>108</v>
      </c>
      <c r="I1276" s="237"/>
      <c r="J1276" s="237"/>
      <c r="K1276" s="237"/>
      <c r="L1276" s="237"/>
      <c r="M1276" s="161"/>
      <c r="N1276" s="68"/>
      <c r="O1276" s="68"/>
      <c r="P1276" s="68"/>
      <c r="Q1276" s="68"/>
      <c r="R1276" s="68"/>
      <c r="S1276" s="68"/>
      <c r="T1276" s="68"/>
      <c r="U1276" s="68"/>
      <c r="V1276" s="68"/>
    </row>
    <row r="1277" spans="1:24" customHeight="1" ht="15.6">
      <c r="A1277" s="159"/>
      <c r="B1277" s="159"/>
      <c r="C1277" s="159"/>
      <c r="D1277" s="159"/>
      <c r="E1277" s="159"/>
      <c r="F1277" s="159"/>
      <c r="G1277" s="159"/>
      <c r="H1277" s="159"/>
      <c r="I1277" s="159"/>
      <c r="J1277" s="159"/>
      <c r="K1277" s="159"/>
      <c r="L1277" s="160"/>
      <c r="M1277" s="160"/>
    </row>
    <row r="1278" spans="1:24" customHeight="1" ht="15.6">
      <c r="A1278" s="159"/>
      <c r="B1278" s="159"/>
      <c r="C1278" s="159"/>
      <c r="D1278" s="159"/>
      <c r="E1278" s="159"/>
      <c r="F1278" s="159"/>
      <c r="G1278" s="159"/>
      <c r="H1278" s="159"/>
      <c r="I1278" s="159"/>
      <c r="J1278" s="159"/>
      <c r="K1278" s="159"/>
      <c r="L1278" s="160"/>
      <c r="M1278" s="160"/>
    </row>
    <row r="1291" spans="1:24">
      <c r="A1291" s="235" t="s">
        <v>0</v>
      </c>
      <c r="B1291" s="235"/>
      <c r="C1291" s="235"/>
      <c r="D1291" s="235"/>
      <c r="E1291" s="235"/>
      <c r="F1291" s="235"/>
      <c r="G1291" s="235"/>
      <c r="H1291" s="235"/>
      <c r="I1291" s="235"/>
      <c r="J1291" s="235"/>
      <c r="K1291" s="235"/>
      <c r="L1291" s="235"/>
      <c r="M1291" s="69"/>
      <c r="N1291" s="69"/>
      <c r="O1291" s="69"/>
      <c r="P1291" s="69"/>
      <c r="Q1291" s="69"/>
      <c r="R1291" s="69"/>
      <c r="S1291" s="69"/>
      <c r="T1291" s="69"/>
      <c r="U1291" s="69"/>
      <c r="V1291" s="69"/>
    </row>
    <row r="1293" spans="1:24" customHeight="1" ht="15.6">
      <c r="A1293" s="236" t="s">
        <v>1</v>
      </c>
      <c r="B1293" s="236"/>
      <c r="C1293" s="236"/>
      <c r="D1293" s="236"/>
      <c r="E1293" s="236"/>
      <c r="F1293" s="236"/>
      <c r="G1293" s="236"/>
      <c r="H1293" s="236"/>
      <c r="I1293" s="236"/>
      <c r="J1293" s="236"/>
      <c r="K1293" s="236"/>
      <c r="L1293" s="236"/>
      <c r="M1293" s="3"/>
      <c r="N1293" s="3"/>
      <c r="O1293" s="3"/>
      <c r="P1293" s="3"/>
      <c r="Q1293" s="3"/>
      <c r="R1293" s="3"/>
      <c r="S1293" s="3"/>
      <c r="T1293" s="3"/>
      <c r="U1293" s="3"/>
      <c r="V1293" s="3"/>
    </row>
    <row r="1294" spans="1:24">
      <c r="A1294" s="231" t="s">
        <v>2</v>
      </c>
      <c r="B1294" s="231"/>
      <c r="C1294" s="231"/>
      <c r="D1294" s="231"/>
      <c r="E1294" s="231"/>
      <c r="F1294" s="231"/>
      <c r="G1294" s="231"/>
      <c r="H1294" s="231"/>
      <c r="I1294" s="231"/>
      <c r="J1294" s="231"/>
      <c r="K1294" s="231"/>
      <c r="L1294" s="231"/>
      <c r="M1294" s="4"/>
      <c r="N1294" s="4"/>
      <c r="O1294" s="4"/>
      <c r="P1294" s="4"/>
      <c r="Q1294" s="4"/>
      <c r="R1294" s="4"/>
      <c r="S1294" s="4"/>
      <c r="T1294" s="4"/>
      <c r="U1294" s="4"/>
      <c r="V1294" s="4"/>
    </row>
    <row r="1296" spans="1:24">
      <c r="A1296" s="5" t="s">
        <v>422</v>
      </c>
    </row>
    <row r="1297" spans="1:24" customHeight="1" ht="15"/>
    <row r="1298" spans="1:24">
      <c r="A1298" s="7"/>
      <c r="B1298" s="8"/>
      <c r="C1298" s="203" t="s">
        <v>4</v>
      </c>
      <c r="D1298" s="204"/>
      <c r="E1298" s="205" t="s">
        <v>5</v>
      </c>
      <c r="F1298" s="206"/>
      <c r="G1298" s="206"/>
      <c r="H1298" s="206"/>
      <c r="I1298" s="206"/>
      <c r="J1298" s="207"/>
      <c r="K1298" s="203" t="s">
        <v>6</v>
      </c>
      <c r="L1298" s="224"/>
      <c r="M1298" s="4"/>
      <c r="N1298" s="4"/>
      <c r="O1298" s="4"/>
      <c r="P1298" s="4"/>
      <c r="Q1298" s="4"/>
      <c r="R1298" s="4"/>
      <c r="S1298" s="4"/>
      <c r="T1298" s="4"/>
      <c r="U1298" s="4"/>
      <c r="V1298" s="4"/>
    </row>
    <row r="1299" spans="1:24">
      <c r="A1299" s="9" t="s">
        <v>7</v>
      </c>
      <c r="B1299" s="10" t="s">
        <v>8</v>
      </c>
      <c r="C1299" s="210">
        <v>2024</v>
      </c>
      <c r="D1299" s="211"/>
      <c r="E1299" s="233" t="s">
        <v>9</v>
      </c>
      <c r="F1299" s="234"/>
      <c r="G1299" s="233" t="s">
        <v>10</v>
      </c>
      <c r="H1299" s="234"/>
      <c r="I1299" s="214" t="s">
        <v>11</v>
      </c>
      <c r="J1299" s="215"/>
      <c r="K1299" s="210">
        <v>2026</v>
      </c>
      <c r="L1299" s="229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 spans="1:24" customHeight="1" ht="15">
      <c r="A1300" s="13"/>
      <c r="B1300" s="14"/>
      <c r="C1300" s="220" t="s">
        <v>12</v>
      </c>
      <c r="D1300" s="221"/>
      <c r="E1300" s="220" t="s">
        <v>12</v>
      </c>
      <c r="F1300" s="221"/>
      <c r="G1300" s="220" t="s">
        <v>13</v>
      </c>
      <c r="H1300" s="221"/>
      <c r="I1300" s="216"/>
      <c r="J1300" s="217"/>
      <c r="K1300" s="220" t="s">
        <v>14</v>
      </c>
      <c r="L1300" s="230"/>
      <c r="M1300" s="4"/>
      <c r="N1300" s="4"/>
      <c r="O1300" s="4"/>
      <c r="P1300" s="4"/>
      <c r="Q1300" s="4"/>
      <c r="R1300" s="4"/>
      <c r="S1300" s="4"/>
      <c r="T1300" s="4"/>
      <c r="U1300" s="4"/>
      <c r="V1300" s="4"/>
    </row>
    <row r="1301" spans="1:24">
      <c r="A1301" s="15" t="s">
        <v>15</v>
      </c>
      <c r="B1301" s="16"/>
      <c r="C1301" s="17"/>
      <c r="D1301" s="18"/>
      <c r="E1301" s="17"/>
      <c r="F1301" s="18"/>
      <c r="G1301" s="17"/>
      <c r="H1301" s="18"/>
      <c r="I1301" s="17"/>
      <c r="J1301" s="18"/>
      <c r="K1301" s="17"/>
      <c r="L1301" s="19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</row>
    <row r="1302" spans="1:24">
      <c r="A1302" s="21" t="s">
        <v>16</v>
      </c>
      <c r="B1302" s="16" t="s">
        <v>17</v>
      </c>
      <c r="C1302" s="17" t="s">
        <v>18</v>
      </c>
      <c r="D1302" s="22">
        <v>1287863.53</v>
      </c>
      <c r="E1302" s="17" t="s">
        <v>18</v>
      </c>
      <c r="F1302" s="22">
        <v>666522.93</v>
      </c>
      <c r="G1302" s="17" t="s">
        <v>18</v>
      </c>
      <c r="H1302" s="22">
        <f>J1302-F1302</f>
        <v>718607.07</v>
      </c>
      <c r="I1302" s="17" t="s">
        <v>18</v>
      </c>
      <c r="J1302" s="22">
        <v>1385130</v>
      </c>
      <c r="K1302" s="17" t="s">
        <v>18</v>
      </c>
      <c r="L1302" s="25">
        <v>1559533</v>
      </c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</row>
    <row r="1303" spans="1:24">
      <c r="A1303" s="27" t="s">
        <v>19</v>
      </c>
      <c r="B1303" s="16"/>
      <c r="C1303" s="17"/>
      <c r="D1303" s="28"/>
      <c r="E1303" s="17"/>
      <c r="F1303" s="28"/>
      <c r="G1303" s="17"/>
      <c r="H1303" s="28"/>
      <c r="I1303" s="17"/>
      <c r="J1303" s="28"/>
      <c r="K1303" s="17"/>
      <c r="L1303" s="30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</row>
    <row r="1304" spans="1:24">
      <c r="A1304" s="21" t="s">
        <v>20</v>
      </c>
      <c r="B1304" s="16" t="s">
        <v>21</v>
      </c>
      <c r="C1304" s="17"/>
      <c r="D1304" s="28">
        <v>232000</v>
      </c>
      <c r="E1304" s="17"/>
      <c r="F1304" s="28">
        <v>117000</v>
      </c>
      <c r="G1304" s="17"/>
      <c r="H1304" s="28">
        <f>J1304-F1304</f>
        <v>123000</v>
      </c>
      <c r="I1304" s="17"/>
      <c r="J1304" s="28">
        <v>240000</v>
      </c>
      <c r="K1304" s="17"/>
      <c r="L1304" s="30">
        <v>240000</v>
      </c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</row>
    <row r="1305" spans="1:24">
      <c r="A1305" s="21" t="s">
        <v>26</v>
      </c>
      <c r="B1305" s="16" t="s">
        <v>27</v>
      </c>
      <c r="C1305" s="17"/>
      <c r="D1305" s="91">
        <v>70000</v>
      </c>
      <c r="E1305" s="17"/>
      <c r="F1305" s="91">
        <v>63000</v>
      </c>
      <c r="G1305" s="17"/>
      <c r="H1305" s="91">
        <f>J1305-F1305</f>
        <v>7000</v>
      </c>
      <c r="I1305" s="17"/>
      <c r="J1305" s="91">
        <v>70000</v>
      </c>
      <c r="K1305" s="17"/>
      <c r="L1305" s="92">
        <v>70000</v>
      </c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</row>
    <row r="1306" spans="1:24">
      <c r="A1306" s="21" t="s">
        <v>28</v>
      </c>
      <c r="B1306" s="16" t="s">
        <v>29</v>
      </c>
      <c r="C1306" s="17"/>
      <c r="D1306" s="91">
        <v>45000</v>
      </c>
      <c r="E1306" s="17"/>
      <c r="F1306" s="91">
        <v>0</v>
      </c>
      <c r="G1306" s="17"/>
      <c r="H1306" s="91">
        <f>J1306-F1306</f>
        <v>50000</v>
      </c>
      <c r="I1306" s="17"/>
      <c r="J1306" s="91">
        <v>50000</v>
      </c>
      <c r="K1306" s="17"/>
      <c r="L1306" s="92">
        <v>0</v>
      </c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</row>
    <row r="1307" spans="1:24">
      <c r="A1307" s="21" t="s">
        <v>30</v>
      </c>
      <c r="B1307" s="16" t="s">
        <v>31</v>
      </c>
      <c r="C1307" s="17"/>
      <c r="D1307" s="91">
        <v>180000</v>
      </c>
      <c r="E1307" s="17"/>
      <c r="F1307" s="91">
        <v>0</v>
      </c>
      <c r="G1307" s="17"/>
      <c r="H1307" s="91">
        <f>J1307-F1307</f>
        <v>200000</v>
      </c>
      <c r="I1307" s="17"/>
      <c r="J1307" s="91">
        <v>200000</v>
      </c>
      <c r="K1307" s="17"/>
      <c r="L1307" s="92">
        <v>0</v>
      </c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</row>
    <row r="1308" spans="1:24">
      <c r="A1308" s="21" t="s">
        <v>32</v>
      </c>
      <c r="B1308" s="16" t="s">
        <v>33</v>
      </c>
      <c r="C1308" s="17"/>
      <c r="D1308" s="91">
        <v>103037</v>
      </c>
      <c r="E1308" s="17"/>
      <c r="F1308" s="91">
        <v>0</v>
      </c>
      <c r="G1308" s="17"/>
      <c r="H1308" s="91">
        <f>J1308-F1308</f>
        <v>118417</v>
      </c>
      <c r="I1308" s="17"/>
      <c r="J1308" s="91">
        <v>118417</v>
      </c>
      <c r="K1308" s="17"/>
      <c r="L1308" s="92">
        <v>153451</v>
      </c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</row>
    <row r="1309" spans="1:24">
      <c r="A1309" s="21" t="s">
        <v>34</v>
      </c>
      <c r="B1309" s="16" t="s">
        <v>35</v>
      </c>
      <c r="C1309" s="17"/>
      <c r="D1309" s="91">
        <v>45000</v>
      </c>
      <c r="E1309" s="17"/>
      <c r="F1309" s="91">
        <v>0</v>
      </c>
      <c r="G1309" s="17"/>
      <c r="H1309" s="91">
        <f>J1309-F1309</f>
        <v>50000</v>
      </c>
      <c r="I1309" s="17"/>
      <c r="J1309" s="91">
        <v>50000</v>
      </c>
      <c r="K1309" s="17"/>
      <c r="L1309" s="92">
        <v>50000</v>
      </c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</row>
    <row r="1310" spans="1:24">
      <c r="A1310" s="21" t="s">
        <v>36</v>
      </c>
      <c r="B1310" s="16" t="s">
        <v>37</v>
      </c>
      <c r="C1310" s="17"/>
      <c r="D1310" s="91">
        <v>99052</v>
      </c>
      <c r="E1310" s="17"/>
      <c r="F1310" s="91">
        <v>103119</v>
      </c>
      <c r="G1310" s="17"/>
      <c r="H1310" s="91">
        <f>J1310-F1310</f>
        <v>10824</v>
      </c>
      <c r="I1310" s="17"/>
      <c r="J1310" s="91">
        <v>113943</v>
      </c>
      <c r="K1310" s="17"/>
      <c r="L1310" s="92">
        <v>118429</v>
      </c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</row>
    <row r="1311" spans="1:24">
      <c r="A1311" s="27" t="s">
        <v>38</v>
      </c>
      <c r="B1311" s="16"/>
      <c r="C1311" s="17"/>
      <c r="D1311" s="28"/>
      <c r="E1311" s="17"/>
      <c r="F1311" s="28"/>
      <c r="G1311" s="17"/>
      <c r="H1311" s="28"/>
      <c r="I1311" s="17"/>
      <c r="J1311" s="28"/>
      <c r="K1311" s="17"/>
      <c r="L1311" s="30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</row>
    <row r="1312" spans="1:24">
      <c r="A1312" s="21" t="s">
        <v>39</v>
      </c>
      <c r="B1312" s="16" t="s">
        <v>40</v>
      </c>
      <c r="C1312" s="17"/>
      <c r="D1312" s="91">
        <v>154543.63</v>
      </c>
      <c r="E1312" s="17"/>
      <c r="F1312" s="28">
        <v>79982.75</v>
      </c>
      <c r="G1312" s="17"/>
      <c r="H1312" s="28">
        <f>J1312-F1312</f>
        <v>86235.25</v>
      </c>
      <c r="I1312" s="17"/>
      <c r="J1312" s="28">
        <v>166218</v>
      </c>
      <c r="K1312" s="17"/>
      <c r="L1312" s="30">
        <v>187450</v>
      </c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</row>
    <row r="1313" spans="1:24">
      <c r="A1313" s="21" t="s">
        <v>41</v>
      </c>
      <c r="B1313" s="16" t="s">
        <v>42</v>
      </c>
      <c r="C1313" s="17"/>
      <c r="D1313" s="91">
        <v>22300</v>
      </c>
      <c r="E1313" s="17"/>
      <c r="F1313" s="91">
        <v>11800</v>
      </c>
      <c r="G1313" s="17"/>
      <c r="H1313" s="91">
        <f>J1313-F1313</f>
        <v>12200</v>
      </c>
      <c r="I1313" s="17"/>
      <c r="J1313" s="91">
        <v>24000</v>
      </c>
      <c r="K1313" s="17"/>
      <c r="L1313" s="92">
        <v>24000</v>
      </c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</row>
    <row r="1314" spans="1:24">
      <c r="A1314" s="21" t="s">
        <v>43</v>
      </c>
      <c r="B1314" s="16" t="s">
        <v>44</v>
      </c>
      <c r="C1314" s="17"/>
      <c r="D1314" s="91">
        <v>32196.82</v>
      </c>
      <c r="E1314" s="17"/>
      <c r="F1314" s="91">
        <v>16547.13</v>
      </c>
      <c r="G1314" s="17"/>
      <c r="H1314" s="91">
        <f>J1314-F1314</f>
        <v>18081.87</v>
      </c>
      <c r="I1314" s="17"/>
      <c r="J1314" s="91">
        <v>34629</v>
      </c>
      <c r="K1314" s="17"/>
      <c r="L1314" s="92">
        <v>39140</v>
      </c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</row>
    <row r="1315" spans="1:24">
      <c r="A1315" s="21" t="s">
        <v>45</v>
      </c>
      <c r="B1315" s="16" t="s">
        <v>46</v>
      </c>
      <c r="C1315" s="17"/>
      <c r="D1315" s="91">
        <v>11800</v>
      </c>
      <c r="E1315" s="17"/>
      <c r="F1315" s="91">
        <v>5900</v>
      </c>
      <c r="G1315" s="17"/>
      <c r="H1315" s="91">
        <f>J1315-F1315</f>
        <v>6100</v>
      </c>
      <c r="I1315" s="17"/>
      <c r="J1315" s="91">
        <v>12000</v>
      </c>
      <c r="K1315" s="17"/>
      <c r="L1315" s="92">
        <v>12000</v>
      </c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</row>
    <row r="1316" spans="1:24">
      <c r="A1316" s="27" t="s">
        <v>47</v>
      </c>
      <c r="B1316" s="16"/>
      <c r="C1316" s="23"/>
      <c r="D1316" s="28"/>
      <c r="E1316" s="17"/>
      <c r="F1316" s="28"/>
      <c r="G1316" s="17"/>
      <c r="H1316" s="28"/>
      <c r="I1316" s="17"/>
      <c r="J1316" s="28"/>
      <c r="K1316" s="17"/>
      <c r="L1316" s="30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</row>
    <row r="1317" spans="1:24">
      <c r="A1317" s="21" t="s">
        <v>48</v>
      </c>
      <c r="B1317" s="16" t="s">
        <v>49</v>
      </c>
      <c r="C1317" s="17"/>
      <c r="D1317" s="22">
        <v>0</v>
      </c>
      <c r="E1317" s="17"/>
      <c r="F1317" s="22">
        <v>0</v>
      </c>
      <c r="G1317" s="17"/>
      <c r="H1317" s="22">
        <v>0</v>
      </c>
      <c r="I1317" s="17"/>
      <c r="J1317" s="22">
        <v>0</v>
      </c>
      <c r="K1317" s="17"/>
      <c r="L1317" s="25">
        <v>170000</v>
      </c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</row>
    <row r="1318" spans="1:24" customHeight="1" ht="15">
      <c r="A1318" s="21" t="s">
        <v>50</v>
      </c>
      <c r="B1318" s="16" t="s">
        <v>51</v>
      </c>
      <c r="C1318" s="17"/>
      <c r="D1318" s="41">
        <v>0</v>
      </c>
      <c r="E1318" s="17"/>
      <c r="F1318" s="41">
        <v>63000</v>
      </c>
      <c r="G1318" s="17"/>
      <c r="H1318" s="93">
        <f>J1318-F1318</f>
        <v>7000</v>
      </c>
      <c r="I1318" s="17"/>
      <c r="J1318" s="93">
        <v>70000</v>
      </c>
      <c r="K1318" s="17"/>
      <c r="L1318" s="43">
        <f>85000+50000</f>
        <v>135000</v>
      </c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</row>
    <row r="1319" spans="1:24" customHeight="1" ht="15">
      <c r="A1319" s="44" t="s">
        <v>52</v>
      </c>
      <c r="B1319" s="45"/>
      <c r="C1319" s="46" t="s">
        <v>18</v>
      </c>
      <c r="D1319" s="47">
        <f>SUM(D1302:D1318)</f>
        <v>2282792.98</v>
      </c>
      <c r="E1319" s="48" t="s">
        <v>18</v>
      </c>
      <c r="F1319" s="47">
        <f>SUM(F1302:F1318)</f>
        <v>1126871.81</v>
      </c>
      <c r="G1319" s="48" t="s">
        <v>18</v>
      </c>
      <c r="H1319" s="47">
        <f>SUM(H1302:H1318)</f>
        <v>1407465.19</v>
      </c>
      <c r="I1319" s="48" t="s">
        <v>18</v>
      </c>
      <c r="J1319" s="47">
        <f>SUM(J1302:J1318)</f>
        <v>2534337</v>
      </c>
      <c r="K1319" s="48" t="s">
        <v>18</v>
      </c>
      <c r="L1319" s="49">
        <f>SUM(L1302:L1318)</f>
        <v>2759003</v>
      </c>
      <c r="M1319" s="50"/>
      <c r="N1319" s="50"/>
      <c r="O1319" s="50"/>
      <c r="P1319" s="50"/>
      <c r="Q1319" s="50"/>
      <c r="R1319" s="50"/>
      <c r="S1319" s="50"/>
      <c r="T1319" s="50"/>
      <c r="U1319" s="50"/>
      <c r="V1319" s="50"/>
    </row>
    <row r="1320" spans="1:24">
      <c r="A1320" s="17"/>
      <c r="B1320" s="17"/>
      <c r="C1320" s="17"/>
      <c r="D1320" s="17"/>
      <c r="E1320" s="17"/>
      <c r="F1320" s="17"/>
      <c r="G1320" s="17"/>
      <c r="H1320" s="17"/>
    </row>
    <row r="1325" spans="1:24" customHeight="1" ht="17.25">
      <c r="A1325" s="235" t="s">
        <v>0</v>
      </c>
      <c r="B1325" s="235"/>
      <c r="C1325" s="235"/>
      <c r="D1325" s="235"/>
      <c r="E1325" s="235"/>
      <c r="F1325" s="235"/>
      <c r="G1325" s="235"/>
      <c r="H1325" s="235"/>
      <c r="I1325" s="235"/>
      <c r="J1325" s="235"/>
      <c r="K1325" s="235"/>
      <c r="L1325" s="235"/>
      <c r="M1325" s="69"/>
      <c r="N1325" s="69"/>
      <c r="O1325" s="69"/>
      <c r="P1325" s="69"/>
      <c r="Q1325" s="69"/>
      <c r="R1325" s="69"/>
      <c r="S1325" s="69"/>
      <c r="T1325" s="69"/>
      <c r="U1325" s="69"/>
      <c r="V1325" s="69"/>
    </row>
    <row r="1327" spans="1:24" customHeight="1" ht="15.6">
      <c r="A1327" s="236" t="s">
        <v>1</v>
      </c>
      <c r="B1327" s="236"/>
      <c r="C1327" s="236"/>
      <c r="D1327" s="236"/>
      <c r="E1327" s="236"/>
      <c r="F1327" s="236"/>
      <c r="G1327" s="236"/>
      <c r="H1327" s="236"/>
      <c r="I1327" s="236"/>
      <c r="J1327" s="236"/>
      <c r="K1327" s="236"/>
      <c r="L1327" s="236"/>
      <c r="M1327" s="3"/>
      <c r="N1327" s="3"/>
      <c r="O1327" s="3"/>
      <c r="P1327" s="3"/>
      <c r="Q1327" s="3"/>
      <c r="R1327" s="3"/>
      <c r="S1327" s="3"/>
      <c r="T1327" s="3"/>
      <c r="U1327" s="3"/>
      <c r="V1327" s="3"/>
    </row>
    <row r="1328" spans="1:24">
      <c r="A1328" s="231" t="s">
        <v>2</v>
      </c>
      <c r="B1328" s="231"/>
      <c r="C1328" s="231"/>
      <c r="D1328" s="231"/>
      <c r="E1328" s="231"/>
      <c r="F1328" s="231"/>
      <c r="G1328" s="231"/>
      <c r="H1328" s="231"/>
      <c r="I1328" s="231"/>
      <c r="J1328" s="231"/>
      <c r="K1328" s="231"/>
      <c r="L1328" s="231"/>
      <c r="M1328" s="4"/>
      <c r="N1328" s="4"/>
      <c r="O1328" s="4"/>
      <c r="P1328" s="4"/>
      <c r="Q1328" s="4"/>
      <c r="R1328" s="4"/>
      <c r="S1328" s="4"/>
      <c r="T1328" s="4"/>
      <c r="U1328" s="4"/>
      <c r="V1328" s="4"/>
    </row>
    <row r="1330" spans="1:24">
      <c r="A1330" s="5" t="s">
        <v>422</v>
      </c>
    </row>
    <row r="1331" spans="1:24" customHeight="1" ht="15"/>
    <row r="1332" spans="1:24">
      <c r="A1332" s="7"/>
      <c r="B1332" s="8"/>
      <c r="C1332" s="203" t="s">
        <v>4</v>
      </c>
      <c r="D1332" s="204"/>
      <c r="E1332" s="205" t="s">
        <v>5</v>
      </c>
      <c r="F1332" s="206"/>
      <c r="G1332" s="206"/>
      <c r="H1332" s="206"/>
      <c r="I1332" s="206"/>
      <c r="J1332" s="207"/>
      <c r="K1332" s="203" t="s">
        <v>6</v>
      </c>
      <c r="L1332" s="22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spans="1:24">
      <c r="A1333" s="9" t="s">
        <v>7</v>
      </c>
      <c r="B1333" s="10" t="s">
        <v>8</v>
      </c>
      <c r="C1333" s="210">
        <v>2024</v>
      </c>
      <c r="D1333" s="211"/>
      <c r="E1333" s="238" t="s">
        <v>9</v>
      </c>
      <c r="F1333" s="239"/>
      <c r="G1333" s="238" t="s">
        <v>10</v>
      </c>
      <c r="H1333" s="239"/>
      <c r="I1333" s="227" t="s">
        <v>11</v>
      </c>
      <c r="J1333" s="240"/>
      <c r="K1333" s="210">
        <v>2026</v>
      </c>
      <c r="L1333" s="229"/>
      <c r="M1333" s="4"/>
      <c r="N1333" s="4"/>
      <c r="O1333" s="4"/>
      <c r="P1333" s="4"/>
      <c r="Q1333" s="4"/>
      <c r="R1333" s="4"/>
      <c r="S1333" s="4"/>
      <c r="T1333" s="4"/>
      <c r="U1333" s="4"/>
      <c r="V1333" s="4"/>
    </row>
    <row r="1334" spans="1:24" customHeight="1" ht="15">
      <c r="A1334" s="13"/>
      <c r="B1334" s="14"/>
      <c r="C1334" s="220" t="s">
        <v>12</v>
      </c>
      <c r="D1334" s="221"/>
      <c r="E1334" s="220" t="s">
        <v>12</v>
      </c>
      <c r="F1334" s="221"/>
      <c r="G1334" s="220" t="s">
        <v>13</v>
      </c>
      <c r="H1334" s="221"/>
      <c r="I1334" s="216"/>
      <c r="J1334" s="217"/>
      <c r="K1334" s="220" t="s">
        <v>14</v>
      </c>
      <c r="L1334" s="230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 spans="1:24">
      <c r="A1335" s="27" t="s">
        <v>53</v>
      </c>
      <c r="B1335" s="52"/>
      <c r="C1335" s="17"/>
      <c r="D1335" s="139"/>
      <c r="E1335" s="17"/>
      <c r="F1335" s="139"/>
      <c r="G1335" s="17"/>
      <c r="H1335" s="139"/>
      <c r="I1335" s="17"/>
      <c r="J1335" s="139"/>
      <c r="K1335" s="17"/>
      <c r="L1335" s="74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</row>
    <row r="1336" spans="1:24">
      <c r="A1336" s="21" t="s">
        <v>54</v>
      </c>
      <c r="B1336" s="16" t="s">
        <v>55</v>
      </c>
      <c r="C1336" s="17" t="s">
        <v>18</v>
      </c>
      <c r="D1336" s="22">
        <v>0</v>
      </c>
      <c r="E1336" s="17" t="s">
        <v>18</v>
      </c>
      <c r="F1336" s="22">
        <v>0</v>
      </c>
      <c r="G1336" s="17" t="s">
        <v>18</v>
      </c>
      <c r="H1336" s="22">
        <f>J1336-F1336</f>
        <v>0</v>
      </c>
      <c r="I1336" s="17" t="s">
        <v>18</v>
      </c>
      <c r="J1336" s="22">
        <v>0</v>
      </c>
      <c r="K1336" s="17" t="s">
        <v>18</v>
      </c>
      <c r="L1336" s="25">
        <v>0</v>
      </c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</row>
    <row r="1337" spans="1:24">
      <c r="A1337" s="21" t="s">
        <v>58</v>
      </c>
      <c r="B1337" s="16" t="s">
        <v>59</v>
      </c>
      <c r="C1337" s="17"/>
      <c r="D1337" s="22">
        <v>0</v>
      </c>
      <c r="E1337" s="17"/>
      <c r="F1337" s="22">
        <v>37877.5</v>
      </c>
      <c r="G1337" s="17"/>
      <c r="H1337" s="22">
        <v>0</v>
      </c>
      <c r="I1337" s="17"/>
      <c r="J1337" s="22">
        <v>50000</v>
      </c>
      <c r="K1337" s="17"/>
      <c r="L1337" s="167">
        <v>0</v>
      </c>
      <c r="M1337" s="89"/>
      <c r="N1337" s="26"/>
      <c r="O1337" s="26"/>
      <c r="P1337" s="26"/>
      <c r="Q1337" s="26"/>
      <c r="R1337" s="26"/>
      <c r="S1337" s="26"/>
      <c r="T1337" s="26"/>
      <c r="U1337" s="26"/>
      <c r="V1337" s="26"/>
    </row>
    <row r="1338" spans="1:24">
      <c r="A1338" s="21" t="s">
        <v>423</v>
      </c>
      <c r="B1338" s="16" t="s">
        <v>61</v>
      </c>
      <c r="C1338" s="17"/>
      <c r="D1338" s="22">
        <v>0</v>
      </c>
      <c r="E1338" s="17"/>
      <c r="F1338" s="22">
        <v>0</v>
      </c>
      <c r="G1338" s="17"/>
      <c r="H1338" s="22">
        <v>0</v>
      </c>
      <c r="I1338" s="17"/>
      <c r="J1338" s="22">
        <v>0</v>
      </c>
      <c r="K1338" s="17"/>
      <c r="L1338" s="167">
        <v>100000</v>
      </c>
      <c r="M1338" s="89"/>
      <c r="N1338" s="26"/>
      <c r="O1338" s="26"/>
      <c r="P1338" s="26"/>
      <c r="Q1338" s="26"/>
      <c r="R1338" s="26"/>
      <c r="S1338" s="26"/>
      <c r="T1338" s="26"/>
      <c r="U1338" s="26"/>
      <c r="V1338" s="26"/>
    </row>
    <row r="1339" spans="1:24">
      <c r="A1339" s="21" t="s">
        <v>78</v>
      </c>
      <c r="B1339" s="16" t="s">
        <v>79</v>
      </c>
      <c r="C1339" s="17"/>
      <c r="D1339" s="168">
        <v>900000</v>
      </c>
      <c r="E1339" s="17"/>
      <c r="F1339" s="168">
        <v>655567.5</v>
      </c>
      <c r="G1339" s="17"/>
      <c r="H1339" s="168">
        <f>J1339-F1339</f>
        <v>194432.5</v>
      </c>
      <c r="I1339" s="17"/>
      <c r="J1339" s="168">
        <v>850000</v>
      </c>
      <c r="K1339" s="17"/>
      <c r="L1339" s="169">
        <f>889455+1542</f>
        <v>890997</v>
      </c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</row>
    <row r="1340" spans="1:24">
      <c r="A1340" s="21" t="s">
        <v>424</v>
      </c>
      <c r="B1340" s="16" t="s">
        <v>173</v>
      </c>
      <c r="C1340" s="17"/>
      <c r="D1340" s="170">
        <v>50000</v>
      </c>
      <c r="E1340" s="17"/>
      <c r="F1340" s="170">
        <v>50000</v>
      </c>
      <c r="G1340" s="17"/>
      <c r="H1340" s="170">
        <v>0</v>
      </c>
      <c r="I1340" s="17"/>
      <c r="J1340" s="168">
        <v>50000</v>
      </c>
      <c r="K1340" s="17"/>
      <c r="L1340" s="169">
        <v>50000</v>
      </c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</row>
    <row r="1341" spans="1:24" customHeight="1" ht="15">
      <c r="A1341" s="21" t="s">
        <v>92</v>
      </c>
      <c r="B1341" s="16" t="s">
        <v>93</v>
      </c>
      <c r="C1341" s="17"/>
      <c r="D1341" s="171">
        <v>80538.1</v>
      </c>
      <c r="E1341" s="17" t="s">
        <v>18</v>
      </c>
      <c r="F1341" s="171">
        <v>15663</v>
      </c>
      <c r="G1341" s="17" t="s">
        <v>18</v>
      </c>
      <c r="H1341" s="171">
        <f>J1341-F1341</f>
        <v>0</v>
      </c>
      <c r="I1341" s="17" t="s">
        <v>18</v>
      </c>
      <c r="J1341" s="41">
        <v>15663</v>
      </c>
      <c r="K1341" s="17"/>
      <c r="L1341" s="55">
        <v>0</v>
      </c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</row>
    <row r="1342" spans="1:24" customHeight="1" ht="15">
      <c r="A1342" s="27" t="s">
        <v>94</v>
      </c>
      <c r="B1342" s="52"/>
      <c r="C1342" s="56" t="s">
        <v>18</v>
      </c>
      <c r="D1342" s="47">
        <f>SUM(D1336:D1341)</f>
        <v>1030538.1</v>
      </c>
      <c r="E1342" s="56" t="s">
        <v>18</v>
      </c>
      <c r="F1342" s="47">
        <f>SUM(F1336:F1341)</f>
        <v>759108</v>
      </c>
      <c r="G1342" s="56" t="s">
        <v>18</v>
      </c>
      <c r="H1342" s="47">
        <f>SUM(H1336:H1341)</f>
        <v>194432.5</v>
      </c>
      <c r="I1342" s="56" t="s">
        <v>18</v>
      </c>
      <c r="J1342" s="47">
        <f>SUM(J1336:J1341)</f>
        <v>965663</v>
      </c>
      <c r="K1342" s="56" t="s">
        <v>18</v>
      </c>
      <c r="L1342" s="49">
        <f>SUM(L1336:L1341)</f>
        <v>1040997</v>
      </c>
      <c r="M1342" s="50"/>
      <c r="N1342" s="50"/>
      <c r="O1342" s="50"/>
      <c r="P1342" s="50"/>
      <c r="Q1342" s="50"/>
      <c r="R1342" s="50"/>
      <c r="S1342" s="50"/>
      <c r="T1342" s="50"/>
      <c r="U1342" s="50"/>
      <c r="V1342" s="50"/>
    </row>
    <row r="1343" spans="1:24" customHeight="1" ht="15">
      <c r="A1343" s="79" t="s">
        <v>99</v>
      </c>
      <c r="B1343" s="80"/>
      <c r="C1343" s="81" t="s">
        <v>18</v>
      </c>
      <c r="D1343" s="82">
        <f>D1319+D1342</f>
        <v>3313331.08</v>
      </c>
      <c r="E1343" s="83" t="s">
        <v>18</v>
      </c>
      <c r="F1343" s="82">
        <f>F1319+F1342</f>
        <v>1885979.81</v>
      </c>
      <c r="G1343" s="83" t="s">
        <v>18</v>
      </c>
      <c r="H1343" s="82">
        <f>H1319+H1342</f>
        <v>1601897.69</v>
      </c>
      <c r="I1343" s="83" t="s">
        <v>18</v>
      </c>
      <c r="J1343" s="82">
        <f>J1319+J1342</f>
        <v>3500000</v>
      </c>
      <c r="K1343" s="83" t="s">
        <v>18</v>
      </c>
      <c r="L1343" s="84">
        <f>L1319+L1342</f>
        <v>3800000</v>
      </c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X1343" s="140"/>
    </row>
    <row r="1344" spans="1:24" customHeight="1" ht="15">
      <c r="A1344" s="141"/>
      <c r="B1344" s="141"/>
      <c r="C1344" s="141"/>
      <c r="D1344" s="141"/>
      <c r="E1344" s="141"/>
      <c r="F1344" s="141"/>
      <c r="G1344" s="141"/>
      <c r="H1344" s="141"/>
      <c r="I1344" s="141"/>
      <c r="J1344" s="141"/>
      <c r="K1344" s="141"/>
      <c r="L1344" s="142"/>
    </row>
    <row r="1345" spans="1:24" customHeight="1" ht="15.6">
      <c r="A1345" s="159" t="s">
        <v>100</v>
      </c>
      <c r="B1345" s="159" t="s">
        <v>101</v>
      </c>
      <c r="C1345" s="159"/>
      <c r="D1345" s="159"/>
      <c r="E1345" s="159"/>
      <c r="F1345" s="159"/>
      <c r="G1345" s="159" t="s">
        <v>102</v>
      </c>
      <c r="H1345" s="159"/>
      <c r="I1345" s="159"/>
      <c r="J1345" s="159"/>
      <c r="K1345" s="159"/>
      <c r="L1345" s="160"/>
      <c r="M1345" s="160"/>
    </row>
    <row r="1346" spans="1:24" customHeight="1" ht="15.6">
      <c r="A1346" s="159"/>
      <c r="B1346" s="159"/>
      <c r="C1346" s="159"/>
      <c r="D1346" s="159"/>
      <c r="E1346" s="159"/>
      <c r="F1346" s="159"/>
      <c r="G1346" s="159"/>
      <c r="H1346" s="159"/>
      <c r="I1346" s="159"/>
      <c r="J1346" s="159"/>
      <c r="K1346" s="159"/>
      <c r="L1346" s="160"/>
      <c r="M1346" s="160"/>
    </row>
    <row r="1347" spans="1:24" customHeight="1" ht="15.6">
      <c r="A1347" s="201" t="s">
        <v>421</v>
      </c>
      <c r="B1347" s="159"/>
      <c r="C1347" s="159"/>
      <c r="D1347" s="201" t="s">
        <v>112</v>
      </c>
      <c r="E1347" s="159"/>
      <c r="F1347" s="159"/>
      <c r="G1347" s="159"/>
      <c r="H1347" s="159"/>
      <c r="I1347" s="159"/>
      <c r="J1347" s="201" t="s">
        <v>112</v>
      </c>
      <c r="K1347" s="159"/>
      <c r="L1347" s="160"/>
      <c r="M1347" s="160"/>
    </row>
    <row r="1348" spans="1:24" customHeight="1" ht="15.6">
      <c r="A1348" s="3" t="s">
        <v>106</v>
      </c>
      <c r="B1348" s="236" t="s">
        <v>107</v>
      </c>
      <c r="C1348" s="236"/>
      <c r="D1348" s="236"/>
      <c r="E1348" s="236"/>
      <c r="F1348" s="236"/>
      <c r="G1348" s="159"/>
      <c r="H1348" s="236" t="s">
        <v>106</v>
      </c>
      <c r="I1348" s="236"/>
      <c r="J1348" s="236"/>
      <c r="K1348" s="236"/>
      <c r="L1348" s="236"/>
      <c r="M1348" s="3"/>
      <c r="N1348" s="66"/>
      <c r="O1348" s="66"/>
      <c r="P1348" s="66"/>
      <c r="Q1348" s="66"/>
      <c r="R1348" s="66"/>
      <c r="S1348" s="66"/>
      <c r="T1348" s="66"/>
      <c r="U1348" s="66"/>
      <c r="V1348" s="66"/>
    </row>
    <row r="1349" spans="1:24" customHeight="1" ht="15.6">
      <c r="A1349" s="161" t="s">
        <v>108</v>
      </c>
      <c r="B1349" s="237" t="s">
        <v>109</v>
      </c>
      <c r="C1349" s="237"/>
      <c r="D1349" s="237"/>
      <c r="E1349" s="237"/>
      <c r="F1349" s="237"/>
      <c r="G1349" s="159"/>
      <c r="H1349" s="237" t="s">
        <v>108</v>
      </c>
      <c r="I1349" s="237"/>
      <c r="J1349" s="237"/>
      <c r="K1349" s="237"/>
      <c r="L1349" s="237"/>
      <c r="M1349" s="161"/>
      <c r="N1349" s="68"/>
      <c r="O1349" s="68"/>
      <c r="P1349" s="68"/>
      <c r="Q1349" s="68"/>
      <c r="R1349" s="68"/>
      <c r="S1349" s="68"/>
      <c r="T1349" s="68"/>
      <c r="U1349" s="68"/>
      <c r="V1349" s="68"/>
    </row>
    <row r="1358" spans="1:24">
      <c r="A1358" s="235" t="s">
        <v>0</v>
      </c>
      <c r="B1358" s="235"/>
      <c r="C1358" s="235"/>
      <c r="D1358" s="235"/>
      <c r="E1358" s="235"/>
      <c r="F1358" s="235"/>
      <c r="G1358" s="235"/>
      <c r="H1358" s="235"/>
      <c r="I1358" s="235"/>
      <c r="J1358" s="235"/>
      <c r="K1358" s="235"/>
      <c r="L1358" s="235"/>
      <c r="M1358" s="69"/>
      <c r="N1358" s="69"/>
      <c r="O1358" s="69"/>
      <c r="P1358" s="69"/>
      <c r="Q1358" s="69"/>
      <c r="R1358" s="69"/>
      <c r="S1358" s="69"/>
      <c r="T1358" s="69"/>
      <c r="U1358" s="69"/>
      <c r="V1358" s="69"/>
    </row>
    <row r="1360" spans="1:24" customHeight="1" ht="15.6">
      <c r="A1360" s="236" t="s">
        <v>1</v>
      </c>
      <c r="B1360" s="236"/>
      <c r="C1360" s="236"/>
      <c r="D1360" s="236"/>
      <c r="E1360" s="236"/>
      <c r="F1360" s="236"/>
      <c r="G1360" s="236"/>
      <c r="H1360" s="236"/>
      <c r="I1360" s="236"/>
      <c r="J1360" s="236"/>
      <c r="K1360" s="236"/>
      <c r="L1360" s="236"/>
      <c r="M1360" s="3"/>
      <c r="N1360" s="3"/>
      <c r="O1360" s="3"/>
      <c r="P1360" s="3"/>
      <c r="Q1360" s="3"/>
      <c r="R1360" s="3"/>
      <c r="S1360" s="3"/>
      <c r="T1360" s="3"/>
      <c r="U1360" s="3"/>
      <c r="V1360" s="3"/>
    </row>
    <row r="1361" spans="1:24">
      <c r="A1361" s="231" t="s">
        <v>2</v>
      </c>
      <c r="B1361" s="231"/>
      <c r="C1361" s="231"/>
      <c r="D1361" s="231"/>
      <c r="E1361" s="231"/>
      <c r="F1361" s="231"/>
      <c r="G1361" s="231"/>
      <c r="H1361" s="231"/>
      <c r="I1361" s="231"/>
      <c r="J1361" s="231"/>
      <c r="K1361" s="231"/>
      <c r="L1361" s="231"/>
      <c r="M1361" s="4"/>
      <c r="N1361" s="4"/>
      <c r="O1361" s="4"/>
      <c r="P1361" s="4"/>
      <c r="Q1361" s="4"/>
      <c r="R1361" s="4"/>
      <c r="S1361" s="4"/>
      <c r="T1361" s="4"/>
      <c r="U1361" s="4"/>
      <c r="V1361" s="4"/>
    </row>
    <row r="1363" spans="1:24">
      <c r="A1363" s="5" t="s">
        <v>425</v>
      </c>
    </row>
    <row r="1364" spans="1:24" customHeight="1" ht="15">
      <c r="A1364" s="5"/>
    </row>
    <row r="1365" spans="1:24">
      <c r="A1365" s="7"/>
      <c r="B1365" s="8"/>
      <c r="C1365" s="203" t="s">
        <v>4</v>
      </c>
      <c r="D1365" s="204"/>
      <c r="E1365" s="205" t="s">
        <v>5</v>
      </c>
      <c r="F1365" s="206"/>
      <c r="G1365" s="206"/>
      <c r="H1365" s="206"/>
      <c r="I1365" s="206"/>
      <c r="J1365" s="207"/>
      <c r="K1365" s="203" t="s">
        <v>6</v>
      </c>
      <c r="L1365" s="224"/>
      <c r="M1365" s="4"/>
      <c r="N1365" s="4"/>
      <c r="O1365" s="4"/>
      <c r="P1365" s="4"/>
      <c r="Q1365" s="4"/>
      <c r="R1365" s="4"/>
      <c r="S1365" s="4"/>
      <c r="T1365" s="4"/>
      <c r="U1365" s="4"/>
      <c r="V1365" s="4"/>
    </row>
    <row r="1366" spans="1:24">
      <c r="A1366" s="9" t="s">
        <v>7</v>
      </c>
      <c r="B1366" s="10" t="s">
        <v>8</v>
      </c>
      <c r="C1366" s="210">
        <v>2024</v>
      </c>
      <c r="D1366" s="211"/>
      <c r="E1366" s="233" t="s">
        <v>9</v>
      </c>
      <c r="F1366" s="234"/>
      <c r="G1366" s="233" t="s">
        <v>10</v>
      </c>
      <c r="H1366" s="234"/>
      <c r="I1366" s="214" t="s">
        <v>11</v>
      </c>
      <c r="J1366" s="215"/>
      <c r="K1366" s="210">
        <v>2026</v>
      </c>
      <c r="L1366" s="229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spans="1:24" customHeight="1" ht="15">
      <c r="A1367" s="13"/>
      <c r="B1367" s="14"/>
      <c r="C1367" s="220" t="s">
        <v>12</v>
      </c>
      <c r="D1367" s="221"/>
      <c r="E1367" s="220" t="s">
        <v>12</v>
      </c>
      <c r="F1367" s="221"/>
      <c r="G1367" s="220" t="s">
        <v>13</v>
      </c>
      <c r="H1367" s="221"/>
      <c r="I1367" s="216"/>
      <c r="J1367" s="217"/>
      <c r="K1367" s="220" t="s">
        <v>14</v>
      </c>
      <c r="L1367" s="230"/>
      <c r="M1367" s="4"/>
      <c r="N1367" s="4"/>
      <c r="O1367" s="4"/>
      <c r="P1367" s="4"/>
      <c r="Q1367" s="4"/>
      <c r="R1367" s="4"/>
      <c r="S1367" s="4"/>
      <c r="T1367" s="4"/>
      <c r="U1367" s="4"/>
      <c r="V1367" s="4"/>
    </row>
    <row r="1368" spans="1:24">
      <c r="A1368" s="15" t="s">
        <v>15</v>
      </c>
      <c r="B1368" s="16"/>
      <c r="C1368" s="17"/>
      <c r="D1368" s="18"/>
      <c r="E1368" s="17"/>
      <c r="F1368" s="18"/>
      <c r="G1368" s="17"/>
      <c r="H1368" s="18"/>
      <c r="I1368" s="17"/>
      <c r="J1368" s="18"/>
      <c r="K1368" s="17"/>
      <c r="L1368" s="19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</row>
    <row r="1369" spans="1:24">
      <c r="A1369" s="21" t="s">
        <v>16</v>
      </c>
      <c r="B1369" s="16" t="s">
        <v>17</v>
      </c>
      <c r="C1369" s="17" t="s">
        <v>18</v>
      </c>
      <c r="D1369" s="22">
        <v>322183</v>
      </c>
      <c r="E1369" s="17" t="s">
        <v>18</v>
      </c>
      <c r="F1369" s="22">
        <v>165792</v>
      </c>
      <c r="G1369" s="17" t="s">
        <v>18</v>
      </c>
      <c r="H1369" s="22">
        <f>J1369-F1369</f>
        <v>170472</v>
      </c>
      <c r="I1369" s="17" t="s">
        <v>18</v>
      </c>
      <c r="J1369" s="22">
        <v>336264</v>
      </c>
      <c r="K1369" s="17" t="s">
        <v>18</v>
      </c>
      <c r="L1369" s="25">
        <v>381959</v>
      </c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</row>
    <row r="1370" spans="1:24">
      <c r="A1370" s="27" t="s">
        <v>19</v>
      </c>
      <c r="B1370" s="16"/>
      <c r="C1370" s="17"/>
      <c r="D1370" s="28"/>
      <c r="E1370" s="17"/>
      <c r="F1370" s="28"/>
      <c r="G1370" s="17"/>
      <c r="H1370" s="28"/>
      <c r="I1370" s="17"/>
      <c r="J1370" s="28"/>
      <c r="K1370" s="17"/>
      <c r="L1370" s="30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</row>
    <row r="1371" spans="1:24">
      <c r="A1371" s="21" t="s">
        <v>20</v>
      </c>
      <c r="B1371" s="16" t="s">
        <v>21</v>
      </c>
      <c r="C1371" s="17"/>
      <c r="D1371" s="28">
        <v>48000</v>
      </c>
      <c r="E1371" s="17"/>
      <c r="F1371" s="28">
        <v>24000</v>
      </c>
      <c r="G1371" s="17"/>
      <c r="H1371" s="28">
        <f>J1371-F1371</f>
        <v>24000</v>
      </c>
      <c r="I1371" s="17"/>
      <c r="J1371" s="28">
        <v>48000</v>
      </c>
      <c r="K1371" s="17"/>
      <c r="L1371" s="30">
        <v>48000</v>
      </c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</row>
    <row r="1372" spans="1:24">
      <c r="A1372" s="21" t="s">
        <v>26</v>
      </c>
      <c r="B1372" s="16" t="s">
        <v>27</v>
      </c>
      <c r="C1372" s="17"/>
      <c r="D1372" s="91">
        <v>14000</v>
      </c>
      <c r="E1372" s="17"/>
      <c r="F1372" s="91">
        <v>14000</v>
      </c>
      <c r="G1372" s="17"/>
      <c r="H1372" s="91">
        <f>J1372-F1372</f>
        <v>0</v>
      </c>
      <c r="I1372" s="17"/>
      <c r="J1372" s="91">
        <v>14000</v>
      </c>
      <c r="K1372" s="17"/>
      <c r="L1372" s="92">
        <v>14000</v>
      </c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</row>
    <row r="1373" spans="1:24">
      <c r="A1373" s="21" t="s">
        <v>28</v>
      </c>
      <c r="B1373" s="16" t="s">
        <v>29</v>
      </c>
      <c r="C1373" s="17"/>
      <c r="D1373" s="91">
        <v>10000</v>
      </c>
      <c r="E1373" s="17"/>
      <c r="F1373" s="91">
        <v>0</v>
      </c>
      <c r="G1373" s="17"/>
      <c r="H1373" s="91">
        <f>J1373-F1373</f>
        <v>10000</v>
      </c>
      <c r="I1373" s="17"/>
      <c r="J1373" s="91">
        <v>10000</v>
      </c>
      <c r="K1373" s="17"/>
      <c r="L1373" s="92">
        <v>0</v>
      </c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</row>
    <row r="1374" spans="1:24">
      <c r="A1374" s="21" t="s">
        <v>30</v>
      </c>
      <c r="B1374" s="16" t="s">
        <v>31</v>
      </c>
      <c r="C1374" s="17"/>
      <c r="D1374" s="91">
        <v>40000</v>
      </c>
      <c r="E1374" s="17"/>
      <c r="F1374" s="91">
        <v>0</v>
      </c>
      <c r="G1374" s="17"/>
      <c r="H1374" s="91">
        <f>J1374-F1374</f>
        <v>40000</v>
      </c>
      <c r="I1374" s="17"/>
      <c r="J1374" s="91">
        <v>40000</v>
      </c>
      <c r="K1374" s="17"/>
      <c r="L1374" s="92">
        <v>0</v>
      </c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</row>
    <row r="1375" spans="1:24">
      <c r="A1375" s="21" t="s">
        <v>32</v>
      </c>
      <c r="B1375" s="16" t="s">
        <v>33</v>
      </c>
      <c r="C1375" s="17"/>
      <c r="D1375" s="91">
        <v>27550</v>
      </c>
      <c r="E1375" s="17"/>
      <c r="F1375" s="91">
        <v>0</v>
      </c>
      <c r="G1375" s="17"/>
      <c r="H1375" s="91">
        <f>J1375-F1375</f>
        <v>28802</v>
      </c>
      <c r="I1375" s="17"/>
      <c r="J1375" s="91">
        <v>28802</v>
      </c>
      <c r="K1375" s="17"/>
      <c r="L1375" s="92">
        <v>37768</v>
      </c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</row>
    <row r="1376" spans="1:24">
      <c r="A1376" s="21" t="s">
        <v>34</v>
      </c>
      <c r="B1376" s="16" t="s">
        <v>35</v>
      </c>
      <c r="C1376" s="17"/>
      <c r="D1376" s="91">
        <v>10000</v>
      </c>
      <c r="E1376" s="17"/>
      <c r="F1376" s="91">
        <v>0</v>
      </c>
      <c r="G1376" s="17"/>
      <c r="H1376" s="91">
        <f>J1376-F1376</f>
        <v>10000</v>
      </c>
      <c r="I1376" s="17"/>
      <c r="J1376" s="91">
        <v>10000</v>
      </c>
      <c r="K1376" s="17"/>
      <c r="L1376" s="92">
        <v>10000</v>
      </c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</row>
    <row r="1377" spans="1:24">
      <c r="A1377" s="21" t="s">
        <v>36</v>
      </c>
      <c r="B1377" s="16" t="s">
        <v>37</v>
      </c>
      <c r="C1377" s="17"/>
      <c r="D1377" s="91">
        <v>26483</v>
      </c>
      <c r="E1377" s="17"/>
      <c r="F1377" s="91">
        <v>27632</v>
      </c>
      <c r="G1377" s="17"/>
      <c r="H1377" s="91">
        <f>J1377-F1377</f>
        <v>0</v>
      </c>
      <c r="I1377" s="17"/>
      <c r="J1377" s="91">
        <v>27632</v>
      </c>
      <c r="K1377" s="17"/>
      <c r="L1377" s="92">
        <v>28802</v>
      </c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</row>
    <row r="1378" spans="1:24">
      <c r="A1378" s="27" t="s">
        <v>38</v>
      </c>
      <c r="B1378" s="16"/>
      <c r="C1378" s="17"/>
      <c r="D1378" s="28"/>
      <c r="E1378" s="17"/>
      <c r="F1378" s="28"/>
      <c r="G1378" s="17"/>
      <c r="H1378" s="28"/>
      <c r="I1378" s="17"/>
      <c r="J1378" s="28"/>
      <c r="K1378" s="17"/>
      <c r="L1378" s="30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</row>
    <row r="1379" spans="1:24">
      <c r="A1379" s="21" t="s">
        <v>39</v>
      </c>
      <c r="B1379" s="16" t="s">
        <v>40</v>
      </c>
      <c r="C1379" s="17"/>
      <c r="D1379" s="22">
        <v>38657.52</v>
      </c>
      <c r="E1379" s="17"/>
      <c r="F1379" s="22">
        <v>19895.04</v>
      </c>
      <c r="G1379" s="17"/>
      <c r="H1379" s="28">
        <f>J1379-F1379</f>
        <v>20456.96</v>
      </c>
      <c r="I1379" s="17"/>
      <c r="J1379" s="28">
        <v>40352</v>
      </c>
      <c r="K1379" s="17"/>
      <c r="L1379" s="30">
        <v>45860</v>
      </c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</row>
    <row r="1380" spans="1:24">
      <c r="A1380" s="21" t="s">
        <v>41</v>
      </c>
      <c r="B1380" s="16" t="s">
        <v>42</v>
      </c>
      <c r="C1380" s="17"/>
      <c r="D1380" s="91">
        <v>4600</v>
      </c>
      <c r="E1380" s="17"/>
      <c r="F1380" s="91">
        <v>2400</v>
      </c>
      <c r="G1380" s="17"/>
      <c r="H1380" s="91">
        <f>J1380-F1380</f>
        <v>2400</v>
      </c>
      <c r="I1380" s="17"/>
      <c r="J1380" s="91">
        <v>4800</v>
      </c>
      <c r="K1380" s="17"/>
      <c r="L1380" s="92">
        <v>4800</v>
      </c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</row>
    <row r="1381" spans="1:24">
      <c r="A1381" s="21" t="s">
        <v>43</v>
      </c>
      <c r="B1381" s="16" t="s">
        <v>44</v>
      </c>
      <c r="C1381" s="17"/>
      <c r="D1381" s="91">
        <v>8057.08</v>
      </c>
      <c r="E1381" s="17"/>
      <c r="F1381" s="91">
        <v>4144.8</v>
      </c>
      <c r="G1381" s="17"/>
      <c r="H1381" s="91">
        <f>J1381-F1381</f>
        <v>4262.2</v>
      </c>
      <c r="I1381" s="17"/>
      <c r="J1381" s="91">
        <v>8407</v>
      </c>
      <c r="K1381" s="17"/>
      <c r="L1381" s="92">
        <v>9580</v>
      </c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</row>
    <row r="1382" spans="1:24">
      <c r="A1382" s="21" t="s">
        <v>45</v>
      </c>
      <c r="B1382" s="16" t="s">
        <v>46</v>
      </c>
      <c r="C1382" s="17"/>
      <c r="D1382" s="91">
        <v>2300</v>
      </c>
      <c r="E1382" s="17"/>
      <c r="F1382" s="91">
        <v>1200</v>
      </c>
      <c r="G1382" s="17"/>
      <c r="H1382" s="91">
        <f>J1382-F1382</f>
        <v>1200</v>
      </c>
      <c r="I1382" s="17"/>
      <c r="J1382" s="91">
        <v>2400</v>
      </c>
      <c r="K1382" s="17"/>
      <c r="L1382" s="92">
        <v>2400</v>
      </c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</row>
    <row r="1383" spans="1:24">
      <c r="A1383" s="27" t="s">
        <v>47</v>
      </c>
      <c r="B1383" s="16"/>
      <c r="C1383" s="23"/>
      <c r="D1383" s="28"/>
      <c r="E1383" s="17"/>
      <c r="F1383" s="28"/>
      <c r="G1383" s="17"/>
      <c r="H1383" s="28"/>
      <c r="I1383" s="17"/>
      <c r="J1383" s="28"/>
      <c r="K1383" s="17"/>
      <c r="L1383" s="30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</row>
    <row r="1384" spans="1:24">
      <c r="A1384" s="40" t="s">
        <v>48</v>
      </c>
      <c r="B1384" s="16" t="s">
        <v>49</v>
      </c>
      <c r="C1384" s="17"/>
      <c r="D1384" s="22">
        <v>0</v>
      </c>
      <c r="E1384" s="17"/>
      <c r="F1384" s="22">
        <v>0</v>
      </c>
      <c r="G1384" s="17"/>
      <c r="H1384" s="22">
        <f>J1384-F1384</f>
        <v>0</v>
      </c>
      <c r="I1384" s="17"/>
      <c r="J1384" s="22">
        <v>0</v>
      </c>
      <c r="K1384" s="17"/>
      <c r="L1384" s="25">
        <v>0</v>
      </c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</row>
    <row r="1385" spans="1:24" customHeight="1" ht="15">
      <c r="A1385" s="40" t="s">
        <v>50</v>
      </c>
      <c r="B1385" s="16" t="s">
        <v>51</v>
      </c>
      <c r="C1385" s="17"/>
      <c r="D1385" s="41">
        <v>0</v>
      </c>
      <c r="E1385" s="17"/>
      <c r="F1385" s="41">
        <v>14000</v>
      </c>
      <c r="G1385" s="17"/>
      <c r="H1385" s="93">
        <f>J1385-F1385</f>
        <v>0</v>
      </c>
      <c r="I1385" s="17"/>
      <c r="J1385" s="41">
        <v>14000</v>
      </c>
      <c r="K1385" s="17"/>
      <c r="L1385" s="55">
        <f>14000+10000</f>
        <v>24000</v>
      </c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</row>
    <row r="1386" spans="1:24" customHeight="1" ht="15">
      <c r="A1386" s="44" t="s">
        <v>52</v>
      </c>
      <c r="B1386" s="45"/>
      <c r="C1386" s="46" t="s">
        <v>18</v>
      </c>
      <c r="D1386" s="47">
        <f>SUM(D1369:D1385)</f>
        <v>551830.6</v>
      </c>
      <c r="E1386" s="48" t="s">
        <v>18</v>
      </c>
      <c r="F1386" s="47">
        <f>SUM(F1369:F1385)</f>
        <v>273063.84</v>
      </c>
      <c r="G1386" s="48" t="s">
        <v>18</v>
      </c>
      <c r="H1386" s="47">
        <f>SUM(H1369:H1385)</f>
        <v>311593.16</v>
      </c>
      <c r="I1386" s="48" t="s">
        <v>18</v>
      </c>
      <c r="J1386" s="47">
        <f>SUM(J1369:J1385)</f>
        <v>584657</v>
      </c>
      <c r="K1386" s="48" t="s">
        <v>18</v>
      </c>
      <c r="L1386" s="49">
        <f>SUM(L1369:L1385)</f>
        <v>607169</v>
      </c>
      <c r="M1386" s="50"/>
      <c r="N1386" s="50"/>
      <c r="O1386" s="50"/>
      <c r="P1386" s="50"/>
      <c r="Q1386" s="50"/>
      <c r="R1386" s="50"/>
      <c r="S1386" s="50"/>
      <c r="T1386" s="50"/>
      <c r="U1386" s="50"/>
      <c r="V1386" s="50"/>
    </row>
    <row r="1392" spans="1:24">
      <c r="A1392" s="235" t="s">
        <v>0</v>
      </c>
      <c r="B1392" s="235"/>
      <c r="C1392" s="235"/>
      <c r="D1392" s="235"/>
      <c r="E1392" s="235"/>
      <c r="F1392" s="235"/>
      <c r="G1392" s="235"/>
      <c r="H1392" s="235"/>
      <c r="I1392" s="235"/>
      <c r="J1392" s="235"/>
      <c r="K1392" s="235"/>
      <c r="L1392" s="235"/>
      <c r="M1392" s="69"/>
      <c r="N1392" s="69"/>
      <c r="O1392" s="69"/>
      <c r="P1392" s="69"/>
      <c r="Q1392" s="69"/>
      <c r="R1392" s="69"/>
      <c r="S1392" s="69"/>
      <c r="T1392" s="69"/>
      <c r="U1392" s="69"/>
      <c r="V1392" s="69"/>
    </row>
    <row r="1394" spans="1:24" customHeight="1" ht="15.6">
      <c r="A1394" s="236" t="s">
        <v>1</v>
      </c>
      <c r="B1394" s="236"/>
      <c r="C1394" s="236"/>
      <c r="D1394" s="236"/>
      <c r="E1394" s="236"/>
      <c r="F1394" s="236"/>
      <c r="G1394" s="236"/>
      <c r="H1394" s="236"/>
      <c r="I1394" s="236"/>
      <c r="J1394" s="236"/>
      <c r="K1394" s="236"/>
      <c r="L1394" s="236"/>
      <c r="M1394" s="3"/>
      <c r="N1394" s="3"/>
      <c r="O1394" s="3"/>
      <c r="P1394" s="3"/>
      <c r="Q1394" s="3"/>
      <c r="R1394" s="3"/>
      <c r="S1394" s="3"/>
      <c r="T1394" s="3"/>
      <c r="U1394" s="3"/>
      <c r="V1394" s="3"/>
    </row>
    <row r="1395" spans="1:24">
      <c r="A1395" s="231" t="s">
        <v>2</v>
      </c>
      <c r="B1395" s="231"/>
      <c r="C1395" s="231"/>
      <c r="D1395" s="231"/>
      <c r="E1395" s="231"/>
      <c r="F1395" s="231"/>
      <c r="G1395" s="231"/>
      <c r="H1395" s="231"/>
      <c r="I1395" s="231"/>
      <c r="J1395" s="231"/>
      <c r="K1395" s="231"/>
      <c r="L1395" s="231"/>
      <c r="M1395" s="4"/>
      <c r="N1395" s="4"/>
      <c r="O1395" s="4"/>
      <c r="P1395" s="4"/>
      <c r="Q1395" s="4"/>
      <c r="R1395" s="4"/>
      <c r="S1395" s="4"/>
      <c r="T1395" s="4"/>
      <c r="U1395" s="4"/>
      <c r="V1395" s="4"/>
    </row>
    <row r="1397" spans="1:24">
      <c r="A1397" s="5" t="s">
        <v>425</v>
      </c>
    </row>
    <row r="1398" spans="1:24" customHeight="1" ht="15"/>
    <row r="1399" spans="1:24">
      <c r="A1399" s="7"/>
      <c r="B1399" s="8"/>
      <c r="C1399" s="203" t="s">
        <v>4</v>
      </c>
      <c r="D1399" s="204"/>
      <c r="E1399" s="205" t="s">
        <v>5</v>
      </c>
      <c r="F1399" s="206"/>
      <c r="G1399" s="206"/>
      <c r="H1399" s="206"/>
      <c r="I1399" s="206"/>
      <c r="J1399" s="207"/>
      <c r="K1399" s="203" t="s">
        <v>6</v>
      </c>
      <c r="L1399" s="224"/>
      <c r="M1399" s="4"/>
      <c r="N1399" s="4"/>
      <c r="O1399" s="4"/>
      <c r="P1399" s="4"/>
      <c r="Q1399" s="4"/>
      <c r="R1399" s="4"/>
      <c r="S1399" s="4"/>
      <c r="T1399" s="4"/>
      <c r="U1399" s="4"/>
      <c r="V1399" s="4"/>
    </row>
    <row r="1400" spans="1:24">
      <c r="A1400" s="9" t="s">
        <v>7</v>
      </c>
      <c r="B1400" s="10" t="s">
        <v>8</v>
      </c>
      <c r="C1400" s="210">
        <v>2024</v>
      </c>
      <c r="D1400" s="211"/>
      <c r="E1400" s="233" t="s">
        <v>9</v>
      </c>
      <c r="F1400" s="234"/>
      <c r="G1400" s="233" t="s">
        <v>10</v>
      </c>
      <c r="H1400" s="234"/>
      <c r="I1400" s="214" t="s">
        <v>11</v>
      </c>
      <c r="J1400" s="215"/>
      <c r="K1400" s="210">
        <v>2026</v>
      </c>
      <c r="L1400" s="229"/>
      <c r="M1400" s="4"/>
      <c r="N1400" s="4"/>
      <c r="O1400" s="4"/>
      <c r="P1400" s="4"/>
      <c r="Q1400" s="4"/>
      <c r="R1400" s="4"/>
      <c r="S1400" s="4"/>
      <c r="T1400" s="4"/>
      <c r="U1400" s="4"/>
      <c r="V1400" s="4"/>
    </row>
    <row r="1401" spans="1:24" customHeight="1" ht="15">
      <c r="A1401" s="13"/>
      <c r="B1401" s="14"/>
      <c r="C1401" s="220" t="s">
        <v>12</v>
      </c>
      <c r="D1401" s="221"/>
      <c r="E1401" s="220" t="s">
        <v>12</v>
      </c>
      <c r="F1401" s="221"/>
      <c r="G1401" s="220" t="s">
        <v>13</v>
      </c>
      <c r="H1401" s="221"/>
      <c r="I1401" s="216"/>
      <c r="J1401" s="217"/>
      <c r="K1401" s="220" t="s">
        <v>14</v>
      </c>
      <c r="L1401" s="230"/>
      <c r="M1401" s="4"/>
      <c r="N1401" s="4"/>
      <c r="O1401" s="4"/>
      <c r="P1401" s="4"/>
      <c r="Q1401" s="4"/>
      <c r="R1401" s="4"/>
      <c r="S1401" s="4"/>
      <c r="T1401" s="4"/>
      <c r="U1401" s="4"/>
      <c r="V1401" s="4"/>
    </row>
    <row r="1402" spans="1:24">
      <c r="A1402" s="27" t="s">
        <v>53</v>
      </c>
      <c r="B1402" s="52"/>
      <c r="C1402" s="17"/>
      <c r="D1402" s="139"/>
      <c r="E1402" s="17"/>
      <c r="F1402" s="139"/>
      <c r="G1402" s="17"/>
      <c r="H1402" s="139"/>
      <c r="I1402" s="17"/>
      <c r="J1402" s="139"/>
      <c r="K1402" s="17"/>
      <c r="L1402" s="74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</row>
    <row r="1403" spans="1:24" hidden="true">
      <c r="A1403" s="21" t="s">
        <v>54</v>
      </c>
      <c r="B1403" s="16" t="s">
        <v>55</v>
      </c>
      <c r="C1403" s="17" t="s">
        <v>18</v>
      </c>
      <c r="D1403" s="22">
        <v>0</v>
      </c>
      <c r="E1403" s="17" t="s">
        <v>18</v>
      </c>
      <c r="F1403" s="22">
        <v>0</v>
      </c>
      <c r="G1403" s="17" t="s">
        <v>18</v>
      </c>
      <c r="H1403" s="22">
        <f>J1403-F1403</f>
        <v>0</v>
      </c>
      <c r="I1403" s="17" t="s">
        <v>18</v>
      </c>
      <c r="J1403" s="22">
        <v>0</v>
      </c>
      <c r="K1403" s="17" t="s">
        <v>18</v>
      </c>
      <c r="L1403" s="25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</row>
    <row r="1404" spans="1:24" hidden="true">
      <c r="A1404" s="21" t="s">
        <v>58</v>
      </c>
      <c r="B1404" s="16" t="s">
        <v>59</v>
      </c>
      <c r="C1404" s="17"/>
      <c r="D1404" s="28">
        <v>0</v>
      </c>
      <c r="E1404" s="17"/>
      <c r="F1404" s="28">
        <v>0</v>
      </c>
      <c r="G1404" s="17"/>
      <c r="H1404" s="28">
        <v>0</v>
      </c>
      <c r="I1404" s="17"/>
      <c r="J1404" s="28">
        <v>0</v>
      </c>
      <c r="K1404" s="17"/>
      <c r="L1404" s="30">
        <v>0</v>
      </c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</row>
    <row r="1405" spans="1:24">
      <c r="A1405" s="21" t="s">
        <v>423</v>
      </c>
      <c r="B1405" s="16" t="s">
        <v>61</v>
      </c>
      <c r="C1405" s="17" t="s">
        <v>18</v>
      </c>
      <c r="D1405" s="22">
        <v>0</v>
      </c>
      <c r="E1405" s="17" t="s">
        <v>18</v>
      </c>
      <c r="F1405" s="22">
        <v>0</v>
      </c>
      <c r="G1405" s="17" t="s">
        <v>18</v>
      </c>
      <c r="H1405" s="22">
        <v>0</v>
      </c>
      <c r="I1405" s="17" t="s">
        <v>18</v>
      </c>
      <c r="J1405" s="22">
        <v>0</v>
      </c>
      <c r="K1405" s="17" t="s">
        <v>18</v>
      </c>
      <c r="L1405" s="167">
        <v>30000</v>
      </c>
      <c r="M1405" s="89"/>
      <c r="N1405" s="26"/>
      <c r="O1405" s="26"/>
      <c r="P1405" s="26"/>
      <c r="Q1405" s="26"/>
      <c r="R1405" s="26"/>
      <c r="S1405" s="26"/>
      <c r="T1405" s="26"/>
      <c r="U1405" s="26"/>
      <c r="V1405" s="26"/>
    </row>
    <row r="1406" spans="1:24">
      <c r="A1406" s="21" t="s">
        <v>78</v>
      </c>
      <c r="B1406" s="16" t="s">
        <v>79</v>
      </c>
      <c r="C1406" s="17"/>
      <c r="D1406" s="168">
        <v>0</v>
      </c>
      <c r="E1406" s="17"/>
      <c r="F1406" s="168">
        <v>0</v>
      </c>
      <c r="G1406" s="17"/>
      <c r="H1406" s="168">
        <v>0</v>
      </c>
      <c r="I1406" s="17"/>
      <c r="J1406" s="168">
        <v>0</v>
      </c>
      <c r="K1406" s="17"/>
      <c r="L1406" s="169">
        <v>50000</v>
      </c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</row>
    <row r="1407" spans="1:24">
      <c r="A1407" s="21" t="s">
        <v>424</v>
      </c>
      <c r="B1407" s="16" t="s">
        <v>173</v>
      </c>
      <c r="C1407" s="17"/>
      <c r="D1407" s="96">
        <v>0</v>
      </c>
      <c r="E1407" s="17"/>
      <c r="F1407" s="96">
        <v>0</v>
      </c>
      <c r="G1407" s="17"/>
      <c r="H1407" s="96">
        <v>0</v>
      </c>
      <c r="I1407" s="17"/>
      <c r="J1407" s="91">
        <v>50000</v>
      </c>
      <c r="K1407" s="17"/>
      <c r="L1407" s="92">
        <v>12831</v>
      </c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</row>
    <row r="1408" spans="1:24" customHeight="1" ht="15">
      <c r="A1408" s="21" t="s">
        <v>92</v>
      </c>
      <c r="B1408" s="16" t="s">
        <v>93</v>
      </c>
      <c r="C1408" s="17"/>
      <c r="D1408" s="93">
        <v>33004.5</v>
      </c>
      <c r="E1408" s="23"/>
      <c r="F1408" s="93">
        <v>65343</v>
      </c>
      <c r="G1408" s="23"/>
      <c r="H1408" s="93">
        <f>J1408-F1408</f>
        <v>0</v>
      </c>
      <c r="I1408" s="23"/>
      <c r="J1408" s="93">
        <v>65343</v>
      </c>
      <c r="K1408" s="17"/>
      <c r="L1408" s="163">
        <v>0</v>
      </c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</row>
    <row r="1409" spans="1:24" customHeight="1" ht="15">
      <c r="A1409" s="27" t="s">
        <v>94</v>
      </c>
      <c r="B1409" s="52"/>
      <c r="C1409" s="56" t="s">
        <v>18</v>
      </c>
      <c r="D1409" s="47">
        <f>SUM(D1403:D1408)</f>
        <v>33004.5</v>
      </c>
      <c r="E1409" s="56" t="s">
        <v>18</v>
      </c>
      <c r="F1409" s="47">
        <f>SUM(F1403:F1408)</f>
        <v>65343</v>
      </c>
      <c r="G1409" s="56" t="s">
        <v>18</v>
      </c>
      <c r="H1409" s="47">
        <f>SUM(H1403:H1408)</f>
        <v>0</v>
      </c>
      <c r="I1409" s="56" t="s">
        <v>18</v>
      </c>
      <c r="J1409" s="47">
        <f>SUM(J1403:J1408)</f>
        <v>115343</v>
      </c>
      <c r="K1409" s="56" t="s">
        <v>18</v>
      </c>
      <c r="L1409" s="49">
        <f>SUM(L1404:L1408)</f>
        <v>92831</v>
      </c>
      <c r="M1409" s="50"/>
      <c r="N1409" s="50"/>
      <c r="O1409" s="50"/>
      <c r="P1409" s="50"/>
      <c r="Q1409" s="50"/>
      <c r="R1409" s="50"/>
      <c r="S1409" s="50"/>
      <c r="T1409" s="50"/>
      <c r="U1409" s="50"/>
      <c r="V1409" s="50"/>
    </row>
    <row r="1410" spans="1:24" customHeight="1" ht="15">
      <c r="A1410" s="79" t="s">
        <v>99</v>
      </c>
      <c r="B1410" s="80"/>
      <c r="C1410" s="81" t="s">
        <v>18</v>
      </c>
      <c r="D1410" s="82">
        <f>D1386+D1409</f>
        <v>584835.1</v>
      </c>
      <c r="E1410" s="83" t="s">
        <v>18</v>
      </c>
      <c r="F1410" s="82">
        <f>F1386+F1409</f>
        <v>338406.84</v>
      </c>
      <c r="G1410" s="83" t="s">
        <v>18</v>
      </c>
      <c r="H1410" s="82">
        <f>H1386+H1409</f>
        <v>311593.16</v>
      </c>
      <c r="I1410" s="83" t="s">
        <v>18</v>
      </c>
      <c r="J1410" s="82">
        <f>J1386+J1409</f>
        <v>700000</v>
      </c>
      <c r="K1410" s="83" t="s">
        <v>18</v>
      </c>
      <c r="L1410" s="84">
        <f>L1386+L1409</f>
        <v>700000</v>
      </c>
      <c r="M1410" s="50"/>
      <c r="N1410" s="50"/>
      <c r="O1410" s="50"/>
      <c r="P1410" s="50"/>
      <c r="Q1410" s="50"/>
      <c r="R1410" s="50"/>
      <c r="S1410" s="50"/>
      <c r="T1410" s="50"/>
      <c r="U1410" s="50"/>
      <c r="V1410" s="50"/>
    </row>
    <row r="1411" spans="1:24" customHeight="1" ht="15">
      <c r="A1411" s="141"/>
      <c r="B1411" s="141"/>
      <c r="C1411" s="141"/>
      <c r="D1411" s="141"/>
      <c r="E1411" s="141"/>
      <c r="F1411" s="141"/>
      <c r="G1411" s="141"/>
      <c r="H1411" s="141"/>
      <c r="I1411" s="141"/>
      <c r="J1411" s="141"/>
      <c r="K1411" s="141"/>
      <c r="L1411" s="142"/>
    </row>
    <row r="1412" spans="1:24">
      <c r="A1412" t="s">
        <v>100</v>
      </c>
      <c r="B1412" t="s">
        <v>101</v>
      </c>
      <c r="G1412" t="s">
        <v>102</v>
      </c>
    </row>
    <row r="1414" spans="1:24">
      <c r="A1414" s="200" t="s">
        <v>103</v>
      </c>
      <c r="D1414" s="200" t="s">
        <v>112</v>
      </c>
      <c r="J1414" s="200" t="s">
        <v>112</v>
      </c>
    </row>
    <row r="1415" spans="1:24">
      <c r="A1415" s="4" t="s">
        <v>106</v>
      </c>
      <c r="B1415" s="231" t="s">
        <v>107</v>
      </c>
      <c r="C1415" s="231"/>
      <c r="D1415" s="231"/>
      <c r="E1415" s="231"/>
      <c r="F1415" s="231"/>
      <c r="H1415" s="231" t="s">
        <v>106</v>
      </c>
      <c r="I1415" s="231"/>
      <c r="J1415" s="231"/>
      <c r="K1415" s="231"/>
      <c r="L1415" s="231"/>
      <c r="M1415" s="4"/>
      <c r="N1415" s="66"/>
      <c r="O1415" s="66"/>
      <c r="P1415" s="66"/>
      <c r="Q1415" s="66"/>
      <c r="R1415" s="66"/>
      <c r="S1415" s="66"/>
      <c r="T1415" s="66"/>
      <c r="U1415" s="66"/>
      <c r="V1415" s="66"/>
    </row>
    <row r="1416" spans="1:24">
      <c r="A1416" s="158" t="s">
        <v>108</v>
      </c>
      <c r="B1416" s="232" t="s">
        <v>109</v>
      </c>
      <c r="C1416" s="232"/>
      <c r="D1416" s="232"/>
      <c r="E1416" s="232"/>
      <c r="F1416" s="232"/>
      <c r="H1416" s="232" t="s">
        <v>108</v>
      </c>
      <c r="I1416" s="232"/>
      <c r="J1416" s="232"/>
      <c r="K1416" s="232"/>
      <c r="L1416" s="232"/>
      <c r="M1416" s="158"/>
      <c r="N1416" s="68"/>
      <c r="O1416" s="68"/>
      <c r="P1416" s="68"/>
      <c r="Q1416" s="68"/>
      <c r="R1416" s="68"/>
      <c r="S1416" s="68"/>
      <c r="T1416" s="68"/>
      <c r="U1416" s="68"/>
      <c r="V1416" s="68"/>
    </row>
    <row r="1428" spans="1:24">
      <c r="A1428" s="235" t="s">
        <v>0</v>
      </c>
      <c r="B1428" s="235"/>
      <c r="C1428" s="235"/>
      <c r="D1428" s="235"/>
      <c r="E1428" s="235"/>
      <c r="F1428" s="235"/>
      <c r="G1428" s="235"/>
      <c r="H1428" s="235"/>
      <c r="I1428" s="235"/>
      <c r="J1428" s="235"/>
      <c r="K1428" s="235"/>
      <c r="L1428" s="235"/>
      <c r="M1428" s="69"/>
      <c r="N1428" s="69"/>
      <c r="O1428" s="69"/>
      <c r="P1428" s="69"/>
      <c r="Q1428" s="69"/>
      <c r="R1428" s="69"/>
      <c r="S1428" s="69"/>
      <c r="T1428" s="69"/>
      <c r="U1428" s="69"/>
      <c r="V1428" s="69"/>
    </row>
    <row r="1430" spans="1:24" customHeight="1" ht="15.6">
      <c r="A1430" s="236" t="s">
        <v>1</v>
      </c>
      <c r="B1430" s="236"/>
      <c r="C1430" s="236"/>
      <c r="D1430" s="236"/>
      <c r="E1430" s="236"/>
      <c r="F1430" s="236"/>
      <c r="G1430" s="236"/>
      <c r="H1430" s="236"/>
      <c r="I1430" s="236"/>
      <c r="J1430" s="236"/>
      <c r="K1430" s="236"/>
      <c r="L1430" s="236"/>
      <c r="M1430" s="3"/>
      <c r="N1430" s="3"/>
      <c r="O1430" s="3"/>
      <c r="P1430" s="3"/>
      <c r="Q1430" s="3"/>
      <c r="R1430" s="3"/>
      <c r="S1430" s="3"/>
      <c r="T1430" s="3"/>
      <c r="U1430" s="3"/>
      <c r="V1430" s="3"/>
    </row>
    <row r="1431" spans="1:24">
      <c r="A1431" s="231" t="s">
        <v>2</v>
      </c>
      <c r="B1431" s="231"/>
      <c r="C1431" s="231"/>
      <c r="D1431" s="231"/>
      <c r="E1431" s="231"/>
      <c r="F1431" s="231"/>
      <c r="G1431" s="231"/>
      <c r="H1431" s="231"/>
      <c r="I1431" s="231"/>
      <c r="J1431" s="231"/>
      <c r="K1431" s="231"/>
      <c r="L1431" s="231"/>
      <c r="M1431" s="4"/>
      <c r="N1431" s="4"/>
      <c r="O1431" s="4"/>
      <c r="P1431" s="4"/>
      <c r="Q1431" s="4"/>
      <c r="R1431" s="4"/>
      <c r="S1431" s="4"/>
      <c r="T1431" s="4"/>
      <c r="U1431" s="4"/>
      <c r="V1431" s="4"/>
    </row>
    <row r="1433" spans="1:24">
      <c r="A1433" s="5" t="s">
        <v>426</v>
      </c>
    </row>
    <row r="1434" spans="1:24" customHeight="1" ht="15">
      <c r="A1434" s="5"/>
    </row>
    <row r="1435" spans="1:24">
      <c r="A1435" s="7"/>
      <c r="B1435" s="8"/>
      <c r="C1435" s="203" t="s">
        <v>4</v>
      </c>
      <c r="D1435" s="204"/>
      <c r="E1435" s="205" t="s">
        <v>5</v>
      </c>
      <c r="F1435" s="206"/>
      <c r="G1435" s="206"/>
      <c r="H1435" s="206"/>
      <c r="I1435" s="206"/>
      <c r="J1435" s="207"/>
      <c r="K1435" s="203" t="s">
        <v>6</v>
      </c>
      <c r="L1435" s="224"/>
      <c r="M1435" s="4"/>
      <c r="N1435" s="4"/>
      <c r="O1435" s="4"/>
      <c r="P1435" s="4"/>
      <c r="Q1435" s="4"/>
      <c r="R1435" s="4"/>
      <c r="S1435" s="4"/>
      <c r="T1435" s="4"/>
      <c r="U1435" s="4"/>
      <c r="V1435" s="4"/>
    </row>
    <row r="1436" spans="1:24">
      <c r="A1436" s="9" t="s">
        <v>7</v>
      </c>
      <c r="B1436" s="10" t="s">
        <v>8</v>
      </c>
      <c r="C1436" s="210">
        <v>2024</v>
      </c>
      <c r="D1436" s="211"/>
      <c r="E1436" s="233" t="s">
        <v>9</v>
      </c>
      <c r="F1436" s="234"/>
      <c r="G1436" s="233" t="s">
        <v>10</v>
      </c>
      <c r="H1436" s="234"/>
      <c r="I1436" s="214" t="s">
        <v>11</v>
      </c>
      <c r="J1436" s="215"/>
      <c r="K1436" s="210">
        <v>2026</v>
      </c>
      <c r="L1436" s="229"/>
      <c r="M1436" s="4"/>
      <c r="N1436" s="4"/>
      <c r="O1436" s="4"/>
      <c r="P1436" s="4"/>
      <c r="Q1436" s="4"/>
      <c r="R1436" s="4"/>
      <c r="S1436" s="4"/>
      <c r="T1436" s="4"/>
      <c r="U1436" s="4"/>
      <c r="V1436" s="4"/>
    </row>
    <row r="1437" spans="1:24" customHeight="1" ht="15">
      <c r="A1437" s="13"/>
      <c r="B1437" s="14"/>
      <c r="C1437" s="220" t="s">
        <v>12</v>
      </c>
      <c r="D1437" s="221"/>
      <c r="E1437" s="220" t="s">
        <v>12</v>
      </c>
      <c r="F1437" s="221"/>
      <c r="G1437" s="220" t="s">
        <v>13</v>
      </c>
      <c r="H1437" s="221"/>
      <c r="I1437" s="216"/>
      <c r="J1437" s="217"/>
      <c r="K1437" s="220" t="s">
        <v>14</v>
      </c>
      <c r="L1437" s="230"/>
      <c r="M1437" s="4"/>
      <c r="N1437" s="4"/>
      <c r="O1437" s="4"/>
      <c r="P1437" s="4"/>
      <c r="Q1437" s="4"/>
      <c r="R1437" s="4"/>
      <c r="S1437" s="4"/>
      <c r="T1437" s="4"/>
      <c r="U1437" s="4"/>
      <c r="V1437" s="4"/>
    </row>
    <row r="1438" spans="1:24">
      <c r="A1438" s="15" t="s">
        <v>15</v>
      </c>
      <c r="B1438" s="16"/>
      <c r="C1438" s="17"/>
      <c r="D1438" s="18"/>
      <c r="E1438" s="17"/>
      <c r="F1438" s="18"/>
      <c r="G1438" s="17"/>
      <c r="H1438" s="18"/>
      <c r="I1438" s="17"/>
      <c r="J1438" s="18"/>
      <c r="K1438" s="17"/>
      <c r="L1438" s="19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</row>
    <row r="1439" spans="1:24">
      <c r="A1439" s="21" t="s">
        <v>16</v>
      </c>
      <c r="B1439" s="16" t="s">
        <v>17</v>
      </c>
      <c r="C1439" s="17" t="s">
        <v>18</v>
      </c>
      <c r="D1439" s="22">
        <v>541178</v>
      </c>
      <c r="E1439" s="17" t="s">
        <v>18</v>
      </c>
      <c r="F1439" s="22">
        <v>278284</v>
      </c>
      <c r="G1439" s="17" t="s">
        <v>18</v>
      </c>
      <c r="H1439" s="22">
        <f>J1439-F1439</f>
        <v>285768</v>
      </c>
      <c r="I1439" s="17" t="s">
        <v>18</v>
      </c>
      <c r="J1439" s="22">
        <v>564052</v>
      </c>
      <c r="K1439" s="17" t="s">
        <v>18</v>
      </c>
      <c r="L1439" s="25">
        <v>1231339</v>
      </c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</row>
    <row r="1440" spans="1:24">
      <c r="A1440" s="27" t="s">
        <v>19</v>
      </c>
      <c r="B1440" s="16"/>
      <c r="C1440" s="17"/>
      <c r="D1440" s="28"/>
      <c r="E1440" s="17"/>
      <c r="F1440" s="28"/>
      <c r="G1440" s="17"/>
      <c r="H1440" s="28"/>
      <c r="I1440" s="17"/>
      <c r="J1440" s="28"/>
      <c r="K1440" s="17"/>
      <c r="L1440" s="30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</row>
    <row r="1441" spans="1:24">
      <c r="A1441" s="21" t="s">
        <v>20</v>
      </c>
      <c r="B1441" s="16" t="s">
        <v>21</v>
      </c>
      <c r="C1441" s="17"/>
      <c r="D1441" s="22">
        <v>96000</v>
      </c>
      <c r="E1441" s="17"/>
      <c r="F1441" s="22">
        <v>48000</v>
      </c>
      <c r="G1441" s="17"/>
      <c r="H1441" s="28">
        <f>J1441-F1441</f>
        <v>48000</v>
      </c>
      <c r="I1441" s="17"/>
      <c r="J1441" s="28">
        <v>96000</v>
      </c>
      <c r="K1441" s="17"/>
      <c r="L1441" s="30">
        <v>192000</v>
      </c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</row>
    <row r="1442" spans="1:24">
      <c r="A1442" s="21" t="s">
        <v>26</v>
      </c>
      <c r="B1442" s="16" t="s">
        <v>27</v>
      </c>
      <c r="C1442" s="17"/>
      <c r="D1442" s="91">
        <v>28000</v>
      </c>
      <c r="E1442" s="17"/>
      <c r="F1442" s="91">
        <v>28000</v>
      </c>
      <c r="G1442" s="17"/>
      <c r="H1442" s="91">
        <f>J1442-F1442</f>
        <v>0</v>
      </c>
      <c r="I1442" s="17"/>
      <c r="J1442" s="91">
        <v>28000</v>
      </c>
      <c r="K1442" s="17"/>
      <c r="L1442" s="92">
        <v>56000</v>
      </c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</row>
    <row r="1443" spans="1:24">
      <c r="A1443" s="21" t="s">
        <v>28</v>
      </c>
      <c r="B1443" s="16" t="s">
        <v>29</v>
      </c>
      <c r="C1443" s="17"/>
      <c r="D1443" s="91">
        <v>20000</v>
      </c>
      <c r="E1443" s="17"/>
      <c r="F1443" s="91">
        <v>0</v>
      </c>
      <c r="G1443" s="17"/>
      <c r="H1443" s="91">
        <f>J1443-F1443</f>
        <v>20000</v>
      </c>
      <c r="I1443" s="17"/>
      <c r="J1443" s="91">
        <v>20000</v>
      </c>
      <c r="K1443" s="17"/>
      <c r="L1443" s="92">
        <v>0</v>
      </c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</row>
    <row r="1444" spans="1:24">
      <c r="A1444" s="21" t="s">
        <v>30</v>
      </c>
      <c r="B1444" s="16" t="s">
        <v>31</v>
      </c>
      <c r="C1444" s="17"/>
      <c r="D1444" s="91">
        <v>80000</v>
      </c>
      <c r="E1444" s="17"/>
      <c r="F1444" s="91">
        <v>0</v>
      </c>
      <c r="G1444" s="17"/>
      <c r="H1444" s="91">
        <f>J1444-F1444</f>
        <v>80000</v>
      </c>
      <c r="I1444" s="17"/>
      <c r="J1444" s="91">
        <v>80000</v>
      </c>
      <c r="K1444" s="17"/>
      <c r="L1444" s="92">
        <v>0</v>
      </c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</row>
    <row r="1445" spans="1:24">
      <c r="A1445" s="21" t="s">
        <v>32</v>
      </c>
      <c r="B1445" s="16" t="s">
        <v>33</v>
      </c>
      <c r="C1445" s="17"/>
      <c r="D1445" s="91">
        <v>46284</v>
      </c>
      <c r="E1445" s="17"/>
      <c r="F1445" s="91">
        <v>0</v>
      </c>
      <c r="G1445" s="17"/>
      <c r="H1445" s="91">
        <f>J1445-F1445</f>
        <v>48215</v>
      </c>
      <c r="I1445" s="17"/>
      <c r="J1445" s="91">
        <v>48215</v>
      </c>
      <c r="K1445" s="17"/>
      <c r="L1445" s="92">
        <v>121340</v>
      </c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</row>
    <row r="1446" spans="1:24">
      <c r="A1446" s="21" t="s">
        <v>34</v>
      </c>
      <c r="B1446" s="16" t="s">
        <v>35</v>
      </c>
      <c r="C1446" s="17"/>
      <c r="D1446" s="91">
        <v>20000</v>
      </c>
      <c r="E1446" s="17"/>
      <c r="F1446" s="91">
        <v>0</v>
      </c>
      <c r="G1446" s="17"/>
      <c r="H1446" s="91">
        <f>J1446-F1446</f>
        <v>20000</v>
      </c>
      <c r="I1446" s="17"/>
      <c r="J1446" s="91">
        <v>20000</v>
      </c>
      <c r="K1446" s="17"/>
      <c r="L1446" s="92">
        <v>40000</v>
      </c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</row>
    <row r="1447" spans="1:24">
      <c r="A1447" s="21" t="s">
        <v>36</v>
      </c>
      <c r="B1447" s="16" t="s">
        <v>37</v>
      </c>
      <c r="C1447" s="17"/>
      <c r="D1447" s="91">
        <v>44495</v>
      </c>
      <c r="E1447" s="17"/>
      <c r="F1447" s="91">
        <v>46366</v>
      </c>
      <c r="G1447" s="17"/>
      <c r="H1447" s="91">
        <f>J1447-F1447</f>
        <v>0</v>
      </c>
      <c r="I1447" s="17"/>
      <c r="J1447" s="91">
        <v>46366</v>
      </c>
      <c r="K1447" s="17"/>
      <c r="L1447" s="92">
        <v>93211</v>
      </c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</row>
    <row r="1448" spans="1:24">
      <c r="A1448" s="27" t="s">
        <v>38</v>
      </c>
      <c r="B1448" s="16"/>
      <c r="C1448" s="17"/>
      <c r="D1448" s="28"/>
      <c r="E1448" s="17"/>
      <c r="F1448" s="28"/>
      <c r="G1448" s="17"/>
      <c r="H1448" s="28"/>
      <c r="I1448" s="17"/>
      <c r="J1448" s="28"/>
      <c r="K1448" s="17"/>
      <c r="L1448" s="30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</row>
    <row r="1449" spans="1:24">
      <c r="A1449" s="21" t="s">
        <v>39</v>
      </c>
      <c r="B1449" s="16" t="s">
        <v>40</v>
      </c>
      <c r="C1449" s="17"/>
      <c r="D1449" s="22">
        <v>64941.36</v>
      </c>
      <c r="E1449" s="17"/>
      <c r="F1449" s="22">
        <v>33394.08</v>
      </c>
      <c r="G1449" s="17"/>
      <c r="H1449" s="28">
        <f>J1449-F1449</f>
        <v>34292.92</v>
      </c>
      <c r="I1449" s="17"/>
      <c r="J1449" s="28">
        <v>67687</v>
      </c>
      <c r="K1449" s="17"/>
      <c r="L1449" s="30">
        <v>147830</v>
      </c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</row>
    <row r="1450" spans="1:24">
      <c r="A1450" s="21" t="s">
        <v>41</v>
      </c>
      <c r="B1450" s="16" t="s">
        <v>42</v>
      </c>
      <c r="C1450" s="17"/>
      <c r="D1450" s="91">
        <v>9200</v>
      </c>
      <c r="E1450" s="17"/>
      <c r="F1450" s="91">
        <v>4800</v>
      </c>
      <c r="G1450" s="17"/>
      <c r="H1450" s="91">
        <f>J1450-F1450</f>
        <v>4800</v>
      </c>
      <c r="I1450" s="17"/>
      <c r="J1450" s="91">
        <v>9600</v>
      </c>
      <c r="K1450" s="17"/>
      <c r="L1450" s="92">
        <v>19200</v>
      </c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</row>
    <row r="1451" spans="1:24">
      <c r="A1451" s="21" t="s">
        <v>43</v>
      </c>
      <c r="B1451" s="16" t="s">
        <v>44</v>
      </c>
      <c r="C1451" s="17"/>
      <c r="D1451" s="91">
        <v>13529.53</v>
      </c>
      <c r="E1451" s="17"/>
      <c r="F1451" s="91">
        <v>6957.16</v>
      </c>
      <c r="G1451" s="17"/>
      <c r="H1451" s="91">
        <f>J1451-F1451</f>
        <v>7144.84</v>
      </c>
      <c r="I1451" s="17"/>
      <c r="J1451" s="91">
        <v>14102</v>
      </c>
      <c r="K1451" s="17"/>
      <c r="L1451" s="92">
        <v>30850</v>
      </c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</row>
    <row r="1452" spans="1:24">
      <c r="A1452" s="21" t="s">
        <v>45</v>
      </c>
      <c r="B1452" s="16" t="s">
        <v>46</v>
      </c>
      <c r="C1452" s="17"/>
      <c r="D1452" s="91">
        <v>4800</v>
      </c>
      <c r="E1452" s="17"/>
      <c r="F1452" s="91">
        <v>2400</v>
      </c>
      <c r="G1452" s="17"/>
      <c r="H1452" s="91">
        <f>J1452-F1452</f>
        <v>2400</v>
      </c>
      <c r="I1452" s="17"/>
      <c r="J1452" s="91">
        <v>4800</v>
      </c>
      <c r="K1452" s="17"/>
      <c r="L1452" s="92">
        <v>9600</v>
      </c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</row>
    <row r="1453" spans="1:24">
      <c r="A1453" s="27" t="s">
        <v>47</v>
      </c>
      <c r="B1453" s="16"/>
      <c r="C1453" s="23"/>
      <c r="D1453" s="28"/>
      <c r="E1453" s="17"/>
      <c r="F1453" s="28"/>
      <c r="G1453" s="17"/>
      <c r="H1453" s="28"/>
      <c r="I1453" s="17"/>
      <c r="J1453" s="28"/>
      <c r="K1453" s="17"/>
      <c r="L1453" s="30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</row>
    <row r="1454" spans="1:24">
      <c r="A1454" s="21" t="s">
        <v>48</v>
      </c>
      <c r="B1454" s="16" t="s">
        <v>49</v>
      </c>
      <c r="C1454" s="17"/>
      <c r="D1454" s="22">
        <v>0</v>
      </c>
      <c r="E1454" s="17"/>
      <c r="F1454" s="22">
        <v>0</v>
      </c>
      <c r="G1454" s="17"/>
      <c r="H1454" s="28">
        <f>J1454-F1454</f>
        <v>0</v>
      </c>
      <c r="I1454" s="17"/>
      <c r="J1454" s="22">
        <v>0</v>
      </c>
      <c r="K1454" s="17"/>
      <c r="L1454" s="25">
        <v>0</v>
      </c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</row>
    <row r="1455" spans="1:24">
      <c r="A1455" s="21" t="s">
        <v>50</v>
      </c>
      <c r="B1455" s="16" t="s">
        <v>51</v>
      </c>
      <c r="C1455" s="17"/>
      <c r="D1455" s="91">
        <v>5000</v>
      </c>
      <c r="E1455" s="17"/>
      <c r="F1455" s="91">
        <v>28000</v>
      </c>
      <c r="G1455" s="17"/>
      <c r="H1455" s="91">
        <f>J1455-F1455</f>
        <v>0</v>
      </c>
      <c r="I1455" s="17"/>
      <c r="J1455" s="91">
        <v>28000</v>
      </c>
      <c r="K1455" s="17"/>
      <c r="L1455" s="92">
        <f>56000+40000</f>
        <v>96000</v>
      </c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</row>
    <row r="1456" spans="1:24" customHeight="1" ht="15">
      <c r="A1456" s="44" t="s">
        <v>52</v>
      </c>
      <c r="B1456" s="45"/>
      <c r="C1456" s="46" t="s">
        <v>18</v>
      </c>
      <c r="D1456" s="47">
        <f>SUM(D1439:D1455)</f>
        <v>973427.89</v>
      </c>
      <c r="E1456" s="48" t="s">
        <v>18</v>
      </c>
      <c r="F1456" s="47">
        <f>SUM(F1439:F1455)</f>
        <v>476201.24</v>
      </c>
      <c r="G1456" s="48" t="s">
        <v>18</v>
      </c>
      <c r="H1456" s="47">
        <f>SUM(H1439:H1455)</f>
        <v>550620.76</v>
      </c>
      <c r="I1456" s="48" t="s">
        <v>18</v>
      </c>
      <c r="J1456" s="47">
        <f>SUM(J1439:J1455)</f>
        <v>1026822</v>
      </c>
      <c r="K1456" s="48" t="s">
        <v>18</v>
      </c>
      <c r="L1456" s="49">
        <f>SUM(L1439:L1455)</f>
        <v>2037370</v>
      </c>
      <c r="M1456" s="50"/>
      <c r="N1456" s="50"/>
      <c r="O1456" s="50"/>
      <c r="P1456" s="50"/>
      <c r="Q1456" s="50"/>
      <c r="R1456" s="50"/>
      <c r="S1456" s="50"/>
      <c r="T1456" s="50"/>
      <c r="U1456" s="50"/>
      <c r="V1456" s="50"/>
    </row>
    <row r="1462" spans="1:24">
      <c r="A1462" s="235" t="s">
        <v>0</v>
      </c>
      <c r="B1462" s="235"/>
      <c r="C1462" s="235"/>
      <c r="D1462" s="235"/>
      <c r="E1462" s="235"/>
      <c r="F1462" s="235"/>
      <c r="G1462" s="235"/>
      <c r="H1462" s="235"/>
      <c r="I1462" s="235"/>
      <c r="J1462" s="235"/>
      <c r="K1462" s="235"/>
      <c r="L1462" s="235"/>
      <c r="M1462" s="69"/>
      <c r="N1462" s="69"/>
      <c r="O1462" s="69"/>
      <c r="P1462" s="69"/>
      <c r="Q1462" s="69"/>
      <c r="R1462" s="69"/>
      <c r="S1462" s="69"/>
      <c r="T1462" s="69"/>
      <c r="U1462" s="69"/>
      <c r="V1462" s="69"/>
    </row>
    <row r="1464" spans="1:24" customHeight="1" ht="15.6">
      <c r="A1464" s="236" t="s">
        <v>1</v>
      </c>
      <c r="B1464" s="236"/>
      <c r="C1464" s="236"/>
      <c r="D1464" s="236"/>
      <c r="E1464" s="236"/>
      <c r="F1464" s="236"/>
      <c r="G1464" s="236"/>
      <c r="H1464" s="236"/>
      <c r="I1464" s="236"/>
      <c r="J1464" s="236"/>
      <c r="K1464" s="236"/>
      <c r="L1464" s="236"/>
      <c r="M1464" s="3"/>
      <c r="N1464" s="3"/>
      <c r="O1464" s="3"/>
      <c r="P1464" s="3"/>
      <c r="Q1464" s="3"/>
      <c r="R1464" s="3"/>
      <c r="S1464" s="3"/>
      <c r="T1464" s="3"/>
      <c r="U1464" s="3"/>
      <c r="V1464" s="3"/>
    </row>
    <row r="1465" spans="1:24">
      <c r="A1465" s="231" t="s">
        <v>2</v>
      </c>
      <c r="B1465" s="231"/>
      <c r="C1465" s="231"/>
      <c r="D1465" s="231"/>
      <c r="E1465" s="231"/>
      <c r="F1465" s="231"/>
      <c r="G1465" s="231"/>
      <c r="H1465" s="231"/>
      <c r="I1465" s="231"/>
      <c r="J1465" s="231"/>
      <c r="K1465" s="231"/>
      <c r="L1465" s="231"/>
      <c r="M1465" s="4"/>
      <c r="N1465" s="4"/>
      <c r="O1465" s="4"/>
      <c r="P1465" s="4"/>
      <c r="Q1465" s="4"/>
      <c r="R1465" s="4"/>
      <c r="S1465" s="4"/>
      <c r="T1465" s="4"/>
      <c r="U1465" s="4"/>
      <c r="V1465" s="4"/>
    </row>
    <row r="1467" spans="1:24">
      <c r="A1467" s="5" t="s">
        <v>427</v>
      </c>
    </row>
    <row r="1468" spans="1:24" customHeight="1" ht="15"/>
    <row r="1469" spans="1:24">
      <c r="A1469" s="7"/>
      <c r="B1469" s="8"/>
      <c r="C1469" s="203" t="s">
        <v>4</v>
      </c>
      <c r="D1469" s="204"/>
      <c r="E1469" s="205" t="s">
        <v>5</v>
      </c>
      <c r="F1469" s="206"/>
      <c r="G1469" s="206"/>
      <c r="H1469" s="206"/>
      <c r="I1469" s="206"/>
      <c r="J1469" s="207"/>
      <c r="K1469" s="203" t="s">
        <v>6</v>
      </c>
      <c r="L1469" s="224"/>
      <c r="M1469" s="4"/>
      <c r="N1469" s="4"/>
      <c r="O1469" s="4"/>
      <c r="P1469" s="4"/>
      <c r="Q1469" s="4"/>
      <c r="R1469" s="4"/>
      <c r="S1469" s="4"/>
      <c r="T1469" s="4"/>
      <c r="U1469" s="4"/>
      <c r="V1469" s="4"/>
    </row>
    <row r="1470" spans="1:24">
      <c r="A1470" s="9" t="s">
        <v>7</v>
      </c>
      <c r="B1470" s="10" t="s">
        <v>8</v>
      </c>
      <c r="C1470" s="210">
        <v>2024</v>
      </c>
      <c r="D1470" s="211"/>
      <c r="E1470" s="233" t="s">
        <v>9</v>
      </c>
      <c r="F1470" s="234"/>
      <c r="G1470" s="233" t="s">
        <v>10</v>
      </c>
      <c r="H1470" s="234"/>
      <c r="I1470" s="214" t="s">
        <v>11</v>
      </c>
      <c r="J1470" s="215"/>
      <c r="K1470" s="210">
        <v>2026</v>
      </c>
      <c r="L1470" s="229"/>
      <c r="M1470" s="4"/>
      <c r="N1470" s="4"/>
      <c r="O1470" s="4"/>
      <c r="P1470" s="4"/>
      <c r="Q1470" s="4"/>
      <c r="R1470" s="4"/>
      <c r="S1470" s="4"/>
      <c r="T1470" s="4"/>
      <c r="U1470" s="4"/>
      <c r="V1470" s="4"/>
    </row>
    <row r="1471" spans="1:24" customHeight="1" ht="15">
      <c r="A1471" s="13"/>
      <c r="B1471" s="14"/>
      <c r="C1471" s="220" t="s">
        <v>12</v>
      </c>
      <c r="D1471" s="221"/>
      <c r="E1471" s="220" t="s">
        <v>12</v>
      </c>
      <c r="F1471" s="221"/>
      <c r="G1471" s="220" t="s">
        <v>13</v>
      </c>
      <c r="H1471" s="221"/>
      <c r="I1471" s="216"/>
      <c r="J1471" s="217"/>
      <c r="K1471" s="220" t="s">
        <v>14</v>
      </c>
      <c r="L1471" s="230"/>
      <c r="M1471" s="4"/>
      <c r="N1471" s="4"/>
      <c r="O1471" s="4"/>
      <c r="P1471" s="4"/>
      <c r="Q1471" s="4"/>
      <c r="R1471" s="4"/>
      <c r="S1471" s="4"/>
      <c r="T1471" s="4"/>
      <c r="U1471" s="4"/>
      <c r="V1471" s="4"/>
    </row>
    <row r="1472" spans="1:24">
      <c r="A1472" s="27" t="s">
        <v>53</v>
      </c>
      <c r="B1472" s="52"/>
      <c r="C1472" s="17"/>
      <c r="D1472" s="139"/>
      <c r="E1472" s="143"/>
      <c r="F1472" s="139"/>
      <c r="G1472" s="143"/>
      <c r="H1472" s="139"/>
      <c r="I1472" s="143"/>
      <c r="J1472" s="139"/>
      <c r="K1472" s="17"/>
      <c r="L1472" s="74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</row>
    <row r="1473" spans="1:24">
      <c r="A1473" s="21" t="s">
        <v>58</v>
      </c>
      <c r="B1473" s="16" t="s">
        <v>59</v>
      </c>
      <c r="C1473" s="17"/>
      <c r="D1473" s="91">
        <v>0</v>
      </c>
      <c r="E1473" s="17"/>
      <c r="F1473" s="91">
        <v>0</v>
      </c>
      <c r="G1473" s="17"/>
      <c r="H1473" s="91">
        <v>0</v>
      </c>
      <c r="I1473" s="17"/>
      <c r="J1473" s="168">
        <v>50000</v>
      </c>
      <c r="K1473" s="17" t="s">
        <v>18</v>
      </c>
      <c r="L1473" s="92">
        <v>10000</v>
      </c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</row>
    <row r="1474" spans="1:24">
      <c r="A1474" s="21" t="s">
        <v>423</v>
      </c>
      <c r="B1474" s="16" t="s">
        <v>61</v>
      </c>
      <c r="C1474" s="17"/>
      <c r="D1474" s="22">
        <v>0</v>
      </c>
      <c r="E1474" s="17"/>
      <c r="F1474" s="22">
        <v>0</v>
      </c>
      <c r="G1474" s="17"/>
      <c r="H1474" s="22">
        <v>0</v>
      </c>
      <c r="I1474" s="17"/>
      <c r="J1474" s="22">
        <v>0</v>
      </c>
      <c r="K1474" s="17"/>
      <c r="L1474" s="167">
        <v>50000</v>
      </c>
      <c r="M1474" s="89"/>
      <c r="N1474" s="26"/>
      <c r="O1474" s="26"/>
      <c r="P1474" s="26"/>
      <c r="Q1474" s="26"/>
      <c r="R1474" s="26"/>
      <c r="S1474" s="26"/>
      <c r="T1474" s="26"/>
      <c r="U1474" s="26"/>
      <c r="V1474" s="26"/>
    </row>
    <row r="1475" spans="1:24">
      <c r="A1475" s="21" t="s">
        <v>78</v>
      </c>
      <c r="B1475" s="16" t="s">
        <v>79</v>
      </c>
      <c r="C1475" s="17" t="s">
        <v>18</v>
      </c>
      <c r="D1475" s="22">
        <v>973950</v>
      </c>
      <c r="E1475" s="17" t="s">
        <v>18</v>
      </c>
      <c r="F1475" s="22">
        <v>503278.75</v>
      </c>
      <c r="G1475" s="17" t="s">
        <v>18</v>
      </c>
      <c r="H1475" s="22">
        <f>J1475-F1475</f>
        <v>1096721.25</v>
      </c>
      <c r="I1475" s="17" t="s">
        <v>18</v>
      </c>
      <c r="J1475" s="22">
        <v>1600000</v>
      </c>
      <c r="K1475" s="17"/>
      <c r="L1475" s="25">
        <v>1852630</v>
      </c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</row>
    <row r="1476" spans="1:24">
      <c r="A1476" s="21" t="s">
        <v>424</v>
      </c>
      <c r="B1476" s="16" t="s">
        <v>173</v>
      </c>
      <c r="C1476" s="17"/>
      <c r="D1476" s="91">
        <v>9950</v>
      </c>
      <c r="E1476" s="17"/>
      <c r="F1476" s="91">
        <v>0</v>
      </c>
      <c r="G1476" s="17"/>
      <c r="H1476" s="22">
        <f>J1476-F1476</f>
        <v>200000</v>
      </c>
      <c r="I1476" s="17"/>
      <c r="J1476" s="168">
        <v>200000</v>
      </c>
      <c r="K1476" s="17"/>
      <c r="L1476" s="92">
        <v>50000</v>
      </c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</row>
    <row r="1477" spans="1:24" customHeight="1" ht="15">
      <c r="A1477" s="21" t="s">
        <v>92</v>
      </c>
      <c r="B1477" s="16" t="s">
        <v>93</v>
      </c>
      <c r="C1477" s="17" t="s">
        <v>18</v>
      </c>
      <c r="D1477" s="41">
        <v>273782.9</v>
      </c>
      <c r="E1477" s="17" t="s">
        <v>18</v>
      </c>
      <c r="F1477" s="41">
        <v>12000</v>
      </c>
      <c r="G1477" s="17" t="s">
        <v>18</v>
      </c>
      <c r="H1477" s="41">
        <f>J1477-F1477</f>
        <v>511178</v>
      </c>
      <c r="I1477" s="17" t="s">
        <v>18</v>
      </c>
      <c r="J1477" s="41">
        <v>523178</v>
      </c>
      <c r="K1477" s="17" t="s">
        <v>18</v>
      </c>
      <c r="L1477" s="55">
        <v>100000</v>
      </c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</row>
    <row r="1478" spans="1:24" customHeight="1" ht="15">
      <c r="A1478" s="27" t="s">
        <v>94</v>
      </c>
      <c r="B1478" s="52"/>
      <c r="C1478" s="56" t="s">
        <v>18</v>
      </c>
      <c r="D1478" s="47">
        <f>SUM(D1475:D1477)</f>
        <v>1257682.9</v>
      </c>
      <c r="E1478" s="56" t="s">
        <v>18</v>
      </c>
      <c r="F1478" s="47">
        <f>SUM(F1475:F1477)</f>
        <v>515278.75</v>
      </c>
      <c r="G1478" s="56" t="s">
        <v>18</v>
      </c>
      <c r="H1478" s="47">
        <f>SUM(H1475:H1477)</f>
        <v>1807899.25</v>
      </c>
      <c r="I1478" s="56" t="s">
        <v>18</v>
      </c>
      <c r="J1478" s="95">
        <f>SUM(J1473:J1477)</f>
        <v>2373178</v>
      </c>
      <c r="K1478" s="56" t="s">
        <v>18</v>
      </c>
      <c r="L1478" s="49">
        <f>SUM(L1473:L1477)</f>
        <v>2062630</v>
      </c>
      <c r="M1478" s="50"/>
      <c r="N1478" s="50"/>
      <c r="O1478" s="50"/>
      <c r="P1478" s="50"/>
      <c r="Q1478" s="50"/>
      <c r="R1478" s="50"/>
      <c r="S1478" s="50"/>
      <c r="T1478" s="50"/>
      <c r="U1478" s="50"/>
      <c r="V1478" s="50"/>
    </row>
    <row r="1479" spans="1:24">
      <c r="A1479" s="27"/>
      <c r="B1479" s="52"/>
      <c r="C1479" s="56"/>
      <c r="D1479" s="57"/>
      <c r="E1479" s="56"/>
      <c r="F1479" s="57"/>
      <c r="G1479" s="56"/>
      <c r="H1479" s="57"/>
      <c r="I1479" s="56"/>
      <c r="J1479" s="172"/>
      <c r="K1479" s="56"/>
      <c r="L1479" s="164"/>
      <c r="M1479" s="50"/>
      <c r="N1479" s="50"/>
      <c r="O1479" s="50"/>
      <c r="P1479" s="50"/>
      <c r="Q1479" s="50"/>
      <c r="R1479" s="50"/>
      <c r="S1479" s="50"/>
      <c r="T1479" s="50"/>
      <c r="U1479" s="50"/>
      <c r="V1479" s="50"/>
    </row>
    <row r="1480" spans="1:24">
      <c r="A1480" s="27" t="s">
        <v>95</v>
      </c>
      <c r="B1480" s="52"/>
      <c r="D1480" s="28"/>
      <c r="E1480" s="17"/>
      <c r="F1480" s="28"/>
      <c r="G1480" s="17"/>
      <c r="H1480" s="28"/>
      <c r="I1480" s="17"/>
      <c r="J1480" s="28"/>
      <c r="K1480" s="17"/>
      <c r="L1480" s="30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</row>
    <row r="1481" spans="1:24" customHeight="1" ht="15">
      <c r="A1481" s="21" t="s">
        <v>428</v>
      </c>
      <c r="B1481" s="52" t="s">
        <v>189</v>
      </c>
      <c r="C1481" s="17" t="s">
        <v>18</v>
      </c>
      <c r="D1481" s="22">
        <v>0</v>
      </c>
      <c r="E1481" s="17" t="s">
        <v>18</v>
      </c>
      <c r="F1481" s="22">
        <v>0</v>
      </c>
      <c r="G1481" s="17" t="s">
        <v>18</v>
      </c>
      <c r="H1481" s="41">
        <f>J1481-F1481</f>
        <v>300000</v>
      </c>
      <c r="I1481" s="17" t="s">
        <v>18</v>
      </c>
      <c r="J1481" s="41">
        <v>300000</v>
      </c>
      <c r="K1481" s="17" t="s">
        <v>18</v>
      </c>
      <c r="L1481" s="25">
        <v>400000</v>
      </c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</row>
    <row r="1482" spans="1:24" customHeight="1" ht="15">
      <c r="A1482" s="27" t="s">
        <v>98</v>
      </c>
      <c r="B1482" s="16"/>
      <c r="C1482" s="56" t="s">
        <v>18</v>
      </c>
      <c r="D1482" s="150">
        <f>SUM(D1481:D1481)</f>
        <v>0</v>
      </c>
      <c r="E1482" s="56" t="s">
        <v>18</v>
      </c>
      <c r="F1482" s="150">
        <f>SUM(F1481:F1481)</f>
        <v>0</v>
      </c>
      <c r="G1482" s="56" t="s">
        <v>18</v>
      </c>
      <c r="H1482" s="150">
        <f>SUM(H1481:H1481)</f>
        <v>300000</v>
      </c>
      <c r="I1482" s="56" t="s">
        <v>18</v>
      </c>
      <c r="J1482" s="150">
        <f>SUM(J1481:J1481)</f>
        <v>300000</v>
      </c>
      <c r="K1482" s="56" t="s">
        <v>18</v>
      </c>
      <c r="L1482" s="78">
        <f>SUM(L1481:L1481)</f>
        <v>400000</v>
      </c>
      <c r="M1482" s="50"/>
      <c r="N1482" s="50"/>
      <c r="O1482" s="50"/>
      <c r="P1482" s="50"/>
      <c r="Q1482" s="50"/>
      <c r="R1482" s="50"/>
      <c r="S1482" s="50"/>
      <c r="T1482" s="50"/>
      <c r="U1482" s="50"/>
      <c r="V1482" s="50"/>
    </row>
    <row r="1483" spans="1:24" customHeight="1" ht="15">
      <c r="A1483" s="79" t="s">
        <v>99</v>
      </c>
      <c r="B1483" s="80"/>
      <c r="C1483" s="81" t="s">
        <v>18</v>
      </c>
      <c r="D1483" s="82">
        <f>D1456+D1478</f>
        <v>2231110.79</v>
      </c>
      <c r="E1483" s="83" t="s">
        <v>18</v>
      </c>
      <c r="F1483" s="82">
        <f>F1456+F1478</f>
        <v>991479.99</v>
      </c>
      <c r="G1483" s="83" t="s">
        <v>18</v>
      </c>
      <c r="H1483" s="82">
        <f>H1456+H1478</f>
        <v>2358520.01</v>
      </c>
      <c r="I1483" s="83" t="s">
        <v>18</v>
      </c>
      <c r="J1483" s="82">
        <f>J1456+J1478</f>
        <v>3400000</v>
      </c>
      <c r="K1483" s="83" t="s">
        <v>18</v>
      </c>
      <c r="L1483" s="84">
        <f>L1482+L1478+L1456</f>
        <v>4500000</v>
      </c>
      <c r="M1483" s="50"/>
      <c r="N1483" s="50"/>
      <c r="O1483" s="50"/>
      <c r="P1483" s="50"/>
      <c r="Q1483" s="50"/>
      <c r="R1483" s="50"/>
      <c r="S1483" s="50"/>
      <c r="T1483" s="50"/>
      <c r="U1483" s="50"/>
      <c r="V1483" s="50"/>
    </row>
    <row r="1484" spans="1:24" customHeight="1" ht="15">
      <c r="A1484" s="141"/>
      <c r="B1484" s="141"/>
      <c r="C1484" s="141"/>
      <c r="D1484" s="141"/>
      <c r="E1484" s="141"/>
      <c r="F1484" s="141"/>
      <c r="G1484" s="141"/>
      <c r="H1484" s="141"/>
      <c r="I1484" s="141"/>
      <c r="J1484" s="141"/>
      <c r="K1484" s="141"/>
      <c r="L1484" s="142"/>
    </row>
    <row r="1485" spans="1:24">
      <c r="A1485" t="s">
        <v>100</v>
      </c>
      <c r="B1485" t="s">
        <v>101</v>
      </c>
      <c r="G1485" t="s">
        <v>102</v>
      </c>
      <c r="J1485" s="51"/>
    </row>
    <row r="1486" spans="1:24">
      <c r="J1486" s="51"/>
    </row>
    <row r="1488" spans="1:24">
      <c r="A1488" s="200" t="s">
        <v>144</v>
      </c>
      <c r="D1488" s="200" t="s">
        <v>112</v>
      </c>
      <c r="J1488" s="200" t="s">
        <v>112</v>
      </c>
    </row>
    <row r="1489" spans="1:24">
      <c r="A1489" s="4" t="s">
        <v>106</v>
      </c>
      <c r="B1489" s="231" t="s">
        <v>107</v>
      </c>
      <c r="C1489" s="231"/>
      <c r="D1489" s="231"/>
      <c r="E1489" s="231"/>
      <c r="F1489" s="231"/>
      <c r="H1489" s="231" t="s">
        <v>106</v>
      </c>
      <c r="I1489" s="231"/>
      <c r="J1489" s="231"/>
      <c r="K1489" s="231"/>
      <c r="L1489" s="231"/>
      <c r="M1489" s="4"/>
      <c r="N1489" s="66"/>
      <c r="O1489" s="66"/>
      <c r="P1489" s="66"/>
      <c r="Q1489" s="66"/>
      <c r="R1489" s="66"/>
      <c r="S1489" s="66"/>
      <c r="T1489" s="66"/>
      <c r="U1489" s="66"/>
      <c r="V1489" s="66"/>
    </row>
    <row r="1490" spans="1:24">
      <c r="A1490" s="158" t="s">
        <v>108</v>
      </c>
      <c r="B1490" s="232" t="s">
        <v>109</v>
      </c>
      <c r="C1490" s="232"/>
      <c r="D1490" s="232"/>
      <c r="E1490" s="232"/>
      <c r="F1490" s="232"/>
      <c r="H1490" s="232" t="s">
        <v>108</v>
      </c>
      <c r="I1490" s="232"/>
      <c r="J1490" s="232"/>
      <c r="K1490" s="232"/>
      <c r="L1490" s="232"/>
      <c r="M1490" s="158"/>
      <c r="N1490" s="68"/>
      <c r="O1490" s="68"/>
      <c r="P1490" s="68"/>
      <c r="Q1490" s="68"/>
      <c r="R1490" s="68"/>
      <c r="S1490" s="68"/>
      <c r="T1490" s="68"/>
      <c r="U1490" s="68"/>
      <c r="V1490" s="68"/>
    </row>
    <row r="1502" spans="1:24">
      <c r="J1502" s="17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1260:L1260"/>
    <mergeCell ref="G75:H75"/>
    <mergeCell ref="K75:L75"/>
    <mergeCell ref="A239:L239"/>
    <mergeCell ref="A241:L241"/>
    <mergeCell ref="A242:L242"/>
    <mergeCell ref="C245:D245"/>
    <mergeCell ref="E245:J245"/>
    <mergeCell ref="K245:L245"/>
    <mergeCell ref="C246:D246"/>
    <mergeCell ref="E246:F246"/>
    <mergeCell ref="G246:H246"/>
    <mergeCell ref="I246:J247"/>
    <mergeCell ref="K246:L246"/>
    <mergeCell ref="C247:D247"/>
    <mergeCell ref="E247:F247"/>
    <mergeCell ref="G247:H247"/>
    <mergeCell ref="K247:L247"/>
    <mergeCell ref="A103:L103"/>
    <mergeCell ref="A105:L105"/>
    <mergeCell ref="A106:L106"/>
    <mergeCell ref="C110:D110"/>
    <mergeCell ref="E110:J110"/>
    <mergeCell ref="K110:L110"/>
    <mergeCell ref="C10:D10"/>
    <mergeCell ref="E10:F10"/>
    <mergeCell ref="G10:H10"/>
    <mergeCell ref="K10:L10"/>
    <mergeCell ref="A36:L36"/>
    <mergeCell ref="A37:L37"/>
    <mergeCell ref="A3:L3"/>
    <mergeCell ref="A4:L4"/>
    <mergeCell ref="C8:D8"/>
    <mergeCell ref="E8:J8"/>
    <mergeCell ref="K8:L8"/>
    <mergeCell ref="C9:D9"/>
    <mergeCell ref="E9:F9"/>
    <mergeCell ref="G9:H9"/>
    <mergeCell ref="I9:J10"/>
    <mergeCell ref="K9:L9"/>
    <mergeCell ref="C39:D39"/>
    <mergeCell ref="E39:J39"/>
    <mergeCell ref="K39:L39"/>
    <mergeCell ref="C40:D40"/>
    <mergeCell ref="E40:F40"/>
    <mergeCell ref="G40:H40"/>
    <mergeCell ref="I40:J41"/>
    <mergeCell ref="K40:L40"/>
    <mergeCell ref="C41:D41"/>
    <mergeCell ref="E41:F41"/>
    <mergeCell ref="G41:H41"/>
    <mergeCell ref="K41:L41"/>
    <mergeCell ref="B88:F88"/>
    <mergeCell ref="H88:L88"/>
    <mergeCell ref="B89:F89"/>
    <mergeCell ref="H89:L89"/>
    <mergeCell ref="A70:L70"/>
    <mergeCell ref="A71:L71"/>
    <mergeCell ref="C73:D73"/>
    <mergeCell ref="E73:J73"/>
    <mergeCell ref="K73:L73"/>
    <mergeCell ref="C74:D74"/>
    <mergeCell ref="E74:F74"/>
    <mergeCell ref="G74:H74"/>
    <mergeCell ref="I74:J75"/>
    <mergeCell ref="K74:L74"/>
    <mergeCell ref="C75:D75"/>
    <mergeCell ref="E75:F75"/>
    <mergeCell ref="A137:L137"/>
    <mergeCell ref="A139:L139"/>
    <mergeCell ref="A140:L140"/>
    <mergeCell ref="C144:D144"/>
    <mergeCell ref="E144:J144"/>
    <mergeCell ref="K144:L144"/>
    <mergeCell ref="C111:D111"/>
    <mergeCell ref="E111:F111"/>
    <mergeCell ref="G111:H111"/>
    <mergeCell ref="I111:J112"/>
    <mergeCell ref="K111:L111"/>
    <mergeCell ref="C112:D112"/>
    <mergeCell ref="E112:F112"/>
    <mergeCell ref="G112:H112"/>
    <mergeCell ref="K112:L112"/>
    <mergeCell ref="B163:F163"/>
    <mergeCell ref="H163:L163"/>
    <mergeCell ref="B164:F164"/>
    <mergeCell ref="H164:L164"/>
    <mergeCell ref="A171:L171"/>
    <mergeCell ref="A173:L173"/>
    <mergeCell ref="C145:D145"/>
    <mergeCell ref="E145:F145"/>
    <mergeCell ref="G145:H145"/>
    <mergeCell ref="I145:J146"/>
    <mergeCell ref="K145:L145"/>
    <mergeCell ref="C146:D146"/>
    <mergeCell ref="E146:F146"/>
    <mergeCell ref="G146:H146"/>
    <mergeCell ref="K146:L146"/>
    <mergeCell ref="E180:F180"/>
    <mergeCell ref="G180:H180"/>
    <mergeCell ref="K180:L180"/>
    <mergeCell ref="A205:L205"/>
    <mergeCell ref="A207:L207"/>
    <mergeCell ref="A208:L208"/>
    <mergeCell ref="A174:L174"/>
    <mergeCell ref="C178:D178"/>
    <mergeCell ref="E178:J178"/>
    <mergeCell ref="K178:L178"/>
    <mergeCell ref="C179:D179"/>
    <mergeCell ref="E179:F179"/>
    <mergeCell ref="G179:H179"/>
    <mergeCell ref="I179:J180"/>
    <mergeCell ref="K179:L179"/>
    <mergeCell ref="C180:D180"/>
    <mergeCell ref="C211:D211"/>
    <mergeCell ref="E211:J211"/>
    <mergeCell ref="K211:L211"/>
    <mergeCell ref="C212:D212"/>
    <mergeCell ref="E212:F212"/>
    <mergeCell ref="G212:H212"/>
    <mergeCell ref="I212:J213"/>
    <mergeCell ref="K212:L212"/>
    <mergeCell ref="C213:D213"/>
    <mergeCell ref="E213:F213"/>
    <mergeCell ref="A273:L273"/>
    <mergeCell ref="A275:L275"/>
    <mergeCell ref="A276:L276"/>
    <mergeCell ref="C280:D280"/>
    <mergeCell ref="E280:J280"/>
    <mergeCell ref="K280:L280"/>
    <mergeCell ref="G213:H213"/>
    <mergeCell ref="K213:L213"/>
    <mergeCell ref="B262:F262"/>
    <mergeCell ref="H262:L262"/>
    <mergeCell ref="B263:F263"/>
    <mergeCell ref="H263:L263"/>
    <mergeCell ref="A307:L307"/>
    <mergeCell ref="A309:L309"/>
    <mergeCell ref="A310:L310"/>
    <mergeCell ref="C314:D314"/>
    <mergeCell ref="E314:J314"/>
    <mergeCell ref="K314:L314"/>
    <mergeCell ref="C281:D281"/>
    <mergeCell ref="E281:F281"/>
    <mergeCell ref="G281:H281"/>
    <mergeCell ref="I281:J282"/>
    <mergeCell ref="K281:L281"/>
    <mergeCell ref="C282:D282"/>
    <mergeCell ref="E282:F282"/>
    <mergeCell ref="G282:H282"/>
    <mergeCell ref="K282:L282"/>
    <mergeCell ref="B332:F332"/>
    <mergeCell ref="H332:L332"/>
    <mergeCell ref="B333:F333"/>
    <mergeCell ref="H333:L333"/>
    <mergeCell ref="A341:L341"/>
    <mergeCell ref="A343:L343"/>
    <mergeCell ref="C315:D315"/>
    <mergeCell ref="E315:F315"/>
    <mergeCell ref="G315:H315"/>
    <mergeCell ref="I315:J316"/>
    <mergeCell ref="K315:L315"/>
    <mergeCell ref="C316:D316"/>
    <mergeCell ref="E316:F316"/>
    <mergeCell ref="G316:H316"/>
    <mergeCell ref="K316:L316"/>
    <mergeCell ref="E350:F350"/>
    <mergeCell ref="G350:H350"/>
    <mergeCell ref="K350:L350"/>
    <mergeCell ref="A375:L375"/>
    <mergeCell ref="A377:L377"/>
    <mergeCell ref="A378:L378"/>
    <mergeCell ref="A344:L344"/>
    <mergeCell ref="C348:D348"/>
    <mergeCell ref="E348:J348"/>
    <mergeCell ref="K348:L348"/>
    <mergeCell ref="C349:D349"/>
    <mergeCell ref="E349:F349"/>
    <mergeCell ref="G349:H349"/>
    <mergeCell ref="I349:J350"/>
    <mergeCell ref="K349:L349"/>
    <mergeCell ref="C350:D350"/>
    <mergeCell ref="C382:D382"/>
    <mergeCell ref="E382:J382"/>
    <mergeCell ref="K382:L382"/>
    <mergeCell ref="C383:D383"/>
    <mergeCell ref="E383:F383"/>
    <mergeCell ref="G383:H383"/>
    <mergeCell ref="I383:J384"/>
    <mergeCell ref="K383:L383"/>
    <mergeCell ref="C384:D384"/>
    <mergeCell ref="E384:F384"/>
    <mergeCell ref="A409:L409"/>
    <mergeCell ref="A411:L411"/>
    <mergeCell ref="A412:L412"/>
    <mergeCell ref="C416:D416"/>
    <mergeCell ref="E416:J416"/>
    <mergeCell ref="K416:L416"/>
    <mergeCell ref="G384:H384"/>
    <mergeCell ref="K384:L384"/>
    <mergeCell ref="B402:F402"/>
    <mergeCell ref="H402:L402"/>
    <mergeCell ref="B403:F403"/>
    <mergeCell ref="H403:L403"/>
    <mergeCell ref="A443:L443"/>
    <mergeCell ref="A445:L445"/>
    <mergeCell ref="A446:L446"/>
    <mergeCell ref="C450:D450"/>
    <mergeCell ref="E450:J450"/>
    <mergeCell ref="K450:L450"/>
    <mergeCell ref="C417:D417"/>
    <mergeCell ref="E417:F417"/>
    <mergeCell ref="G417:H417"/>
    <mergeCell ref="I417:J418"/>
    <mergeCell ref="K417:L417"/>
    <mergeCell ref="C418:D418"/>
    <mergeCell ref="E418:F418"/>
    <mergeCell ref="G418:H418"/>
    <mergeCell ref="K418:L418"/>
    <mergeCell ref="B469:F469"/>
    <mergeCell ref="H469:L469"/>
    <mergeCell ref="B470:F470"/>
    <mergeCell ref="H470:L470"/>
    <mergeCell ref="A476:L476"/>
    <mergeCell ref="A478:L478"/>
    <mergeCell ref="C451:D451"/>
    <mergeCell ref="E451:F451"/>
    <mergeCell ref="G451:H451"/>
    <mergeCell ref="I451:J452"/>
    <mergeCell ref="K451:L451"/>
    <mergeCell ref="C452:D452"/>
    <mergeCell ref="E452:F452"/>
    <mergeCell ref="G452:H452"/>
    <mergeCell ref="K452:L452"/>
    <mergeCell ref="E485:F485"/>
    <mergeCell ref="G485:H485"/>
    <mergeCell ref="K485:L485"/>
    <mergeCell ref="A510:L510"/>
    <mergeCell ref="A512:L512"/>
    <mergeCell ref="A513:L513"/>
    <mergeCell ref="A479:L479"/>
    <mergeCell ref="C483:D483"/>
    <mergeCell ref="E483:J483"/>
    <mergeCell ref="K483:L483"/>
    <mergeCell ref="C484:D484"/>
    <mergeCell ref="E484:F484"/>
    <mergeCell ref="G484:H484"/>
    <mergeCell ref="I484:J485"/>
    <mergeCell ref="K484:L484"/>
    <mergeCell ref="C485:D485"/>
    <mergeCell ref="C517:D517"/>
    <mergeCell ref="E517:J517"/>
    <mergeCell ref="K517:L517"/>
    <mergeCell ref="C518:D518"/>
    <mergeCell ref="E518:F518"/>
    <mergeCell ref="G518:H518"/>
    <mergeCell ref="I518:J519"/>
    <mergeCell ref="K518:L518"/>
    <mergeCell ref="C519:D519"/>
    <mergeCell ref="E519:F519"/>
    <mergeCell ref="A543:L543"/>
    <mergeCell ref="A545:L545"/>
    <mergeCell ref="A546:L546"/>
    <mergeCell ref="C550:D550"/>
    <mergeCell ref="E550:J550"/>
    <mergeCell ref="K550:L550"/>
    <mergeCell ref="G519:H519"/>
    <mergeCell ref="K519:L519"/>
    <mergeCell ref="B536:F536"/>
    <mergeCell ref="H536:L536"/>
    <mergeCell ref="B537:F537"/>
    <mergeCell ref="H537:L537"/>
    <mergeCell ref="A577:L577"/>
    <mergeCell ref="A579:L579"/>
    <mergeCell ref="A580:L580"/>
    <mergeCell ref="C584:D584"/>
    <mergeCell ref="E584:J584"/>
    <mergeCell ref="K584:L584"/>
    <mergeCell ref="C551:D551"/>
    <mergeCell ref="E551:F551"/>
    <mergeCell ref="G551:H551"/>
    <mergeCell ref="I551:J552"/>
    <mergeCell ref="K551:L551"/>
    <mergeCell ref="C552:D552"/>
    <mergeCell ref="E552:F552"/>
    <mergeCell ref="G552:H552"/>
    <mergeCell ref="K552:L552"/>
    <mergeCell ref="B604:F604"/>
    <mergeCell ref="H604:L604"/>
    <mergeCell ref="B605:F605"/>
    <mergeCell ref="H605:L605"/>
    <mergeCell ref="A611:L611"/>
    <mergeCell ref="A613:L613"/>
    <mergeCell ref="C585:D585"/>
    <mergeCell ref="E585:F585"/>
    <mergeCell ref="G585:H585"/>
    <mergeCell ref="I585:J586"/>
    <mergeCell ref="K585:L585"/>
    <mergeCell ref="C586:D586"/>
    <mergeCell ref="E586:F586"/>
    <mergeCell ref="G586:H586"/>
    <mergeCell ref="K586:L586"/>
    <mergeCell ref="A603:B603"/>
    <mergeCell ref="E620:F620"/>
    <mergeCell ref="G620:H620"/>
    <mergeCell ref="K620:L620"/>
    <mergeCell ref="A645:L645"/>
    <mergeCell ref="A647:L647"/>
    <mergeCell ref="A648:L648"/>
    <mergeCell ref="A614:L614"/>
    <mergeCell ref="C618:D618"/>
    <mergeCell ref="E618:J618"/>
    <mergeCell ref="K618:L618"/>
    <mergeCell ref="C619:D619"/>
    <mergeCell ref="E619:F619"/>
    <mergeCell ref="G619:H619"/>
    <mergeCell ref="I619:J620"/>
    <mergeCell ref="K619:L619"/>
    <mergeCell ref="C620:D620"/>
    <mergeCell ref="C652:D652"/>
    <mergeCell ref="E652:J652"/>
    <mergeCell ref="K652:L652"/>
    <mergeCell ref="C653:D653"/>
    <mergeCell ref="E653:F653"/>
    <mergeCell ref="G653:H653"/>
    <mergeCell ref="I653:J654"/>
    <mergeCell ref="K653:L653"/>
    <mergeCell ref="C654:D654"/>
    <mergeCell ref="E654:F654"/>
    <mergeCell ref="A679:L679"/>
    <mergeCell ref="A681:L681"/>
    <mergeCell ref="A682:L682"/>
    <mergeCell ref="C686:D686"/>
    <mergeCell ref="E686:J686"/>
    <mergeCell ref="K686:L686"/>
    <mergeCell ref="G654:H654"/>
    <mergeCell ref="K654:L654"/>
    <mergeCell ref="B671:F671"/>
    <mergeCell ref="H671:L671"/>
    <mergeCell ref="B672:F672"/>
    <mergeCell ref="H672:L672"/>
    <mergeCell ref="A713:L713"/>
    <mergeCell ref="A715:L715"/>
    <mergeCell ref="A716:L716"/>
    <mergeCell ref="C720:D720"/>
    <mergeCell ref="E720:J720"/>
    <mergeCell ref="K720:L720"/>
    <mergeCell ref="C687:D687"/>
    <mergeCell ref="E687:F687"/>
    <mergeCell ref="G687:H687"/>
    <mergeCell ref="I687:J688"/>
    <mergeCell ref="K687:L687"/>
    <mergeCell ref="C688:D688"/>
    <mergeCell ref="E688:F688"/>
    <mergeCell ref="G688:H688"/>
    <mergeCell ref="K688:L688"/>
    <mergeCell ref="B743:F743"/>
    <mergeCell ref="H743:L743"/>
    <mergeCell ref="B744:F744"/>
    <mergeCell ref="H744:L744"/>
    <mergeCell ref="A747:L747"/>
    <mergeCell ref="A749:L749"/>
    <mergeCell ref="C721:D721"/>
    <mergeCell ref="E721:F721"/>
    <mergeCell ref="G721:H721"/>
    <mergeCell ref="I721:J722"/>
    <mergeCell ref="K721:L721"/>
    <mergeCell ref="C722:D722"/>
    <mergeCell ref="E722:F722"/>
    <mergeCell ref="G722:H722"/>
    <mergeCell ref="K722:L722"/>
    <mergeCell ref="E756:F756"/>
    <mergeCell ref="G756:H756"/>
    <mergeCell ref="K756:L756"/>
    <mergeCell ref="A781:L781"/>
    <mergeCell ref="A783:L783"/>
    <mergeCell ref="A784:L784"/>
    <mergeCell ref="A750:L750"/>
    <mergeCell ref="C754:D754"/>
    <mergeCell ref="E754:J754"/>
    <mergeCell ref="K754:L754"/>
    <mergeCell ref="C755:D755"/>
    <mergeCell ref="E755:F755"/>
    <mergeCell ref="G755:H755"/>
    <mergeCell ref="I755:J756"/>
    <mergeCell ref="K755:L755"/>
    <mergeCell ref="C756:D756"/>
    <mergeCell ref="C788:D788"/>
    <mergeCell ref="E788:J788"/>
    <mergeCell ref="K788:L788"/>
    <mergeCell ref="C789:D789"/>
    <mergeCell ref="E789:F789"/>
    <mergeCell ref="G789:H789"/>
    <mergeCell ref="I789:J790"/>
    <mergeCell ref="K789:L789"/>
    <mergeCell ref="C790:D790"/>
    <mergeCell ref="E790:F790"/>
    <mergeCell ref="A815:L815"/>
    <mergeCell ref="A817:L817"/>
    <mergeCell ref="A818:L818"/>
    <mergeCell ref="C822:D822"/>
    <mergeCell ref="E822:J822"/>
    <mergeCell ref="K822:L822"/>
    <mergeCell ref="G790:H790"/>
    <mergeCell ref="K790:L790"/>
    <mergeCell ref="B808:F808"/>
    <mergeCell ref="H808:L808"/>
    <mergeCell ref="B809:F809"/>
    <mergeCell ref="H809:L809"/>
    <mergeCell ref="A849:L849"/>
    <mergeCell ref="A851:L851"/>
    <mergeCell ref="A852:L852"/>
    <mergeCell ref="C856:D856"/>
    <mergeCell ref="E856:J856"/>
    <mergeCell ref="K856:L856"/>
    <mergeCell ref="C823:D823"/>
    <mergeCell ref="E823:F823"/>
    <mergeCell ref="G823:H823"/>
    <mergeCell ref="I823:J824"/>
    <mergeCell ref="K823:L823"/>
    <mergeCell ref="C824:D824"/>
    <mergeCell ref="E824:F824"/>
    <mergeCell ref="G824:H824"/>
    <mergeCell ref="K824:L824"/>
    <mergeCell ref="B881:F881"/>
    <mergeCell ref="H881:L881"/>
    <mergeCell ref="B882:F882"/>
    <mergeCell ref="H882:L882"/>
    <mergeCell ref="A886:L886"/>
    <mergeCell ref="A888:L888"/>
    <mergeCell ref="C857:D857"/>
    <mergeCell ref="E857:F857"/>
    <mergeCell ref="G857:H857"/>
    <mergeCell ref="I857:J858"/>
    <mergeCell ref="K857:L857"/>
    <mergeCell ref="C858:D858"/>
    <mergeCell ref="E858:F858"/>
    <mergeCell ref="G858:H858"/>
    <mergeCell ref="K858:L858"/>
    <mergeCell ref="E895:F895"/>
    <mergeCell ref="G895:H895"/>
    <mergeCell ref="K895:L895"/>
    <mergeCell ref="A920:L920"/>
    <mergeCell ref="A921:L921"/>
    <mergeCell ref="A922:L922"/>
    <mergeCell ref="A889:L889"/>
    <mergeCell ref="C893:D893"/>
    <mergeCell ref="E893:J893"/>
    <mergeCell ref="K893:L893"/>
    <mergeCell ref="C894:D894"/>
    <mergeCell ref="E894:F894"/>
    <mergeCell ref="G894:H894"/>
    <mergeCell ref="I894:J895"/>
    <mergeCell ref="K894:L894"/>
    <mergeCell ref="C895:D895"/>
    <mergeCell ref="C926:D926"/>
    <mergeCell ref="E926:J926"/>
    <mergeCell ref="K926:L926"/>
    <mergeCell ref="C927:D927"/>
    <mergeCell ref="E927:F927"/>
    <mergeCell ref="G927:H927"/>
    <mergeCell ref="I927:J928"/>
    <mergeCell ref="K927:L927"/>
    <mergeCell ref="C928:D928"/>
    <mergeCell ref="E928:F928"/>
    <mergeCell ref="A954:L954"/>
    <mergeCell ref="A956:L956"/>
    <mergeCell ref="A957:L957"/>
    <mergeCell ref="C961:D961"/>
    <mergeCell ref="E961:J961"/>
    <mergeCell ref="K961:L961"/>
    <mergeCell ref="G928:H928"/>
    <mergeCell ref="K928:L928"/>
    <mergeCell ref="B944:F944"/>
    <mergeCell ref="H944:L944"/>
    <mergeCell ref="B945:F945"/>
    <mergeCell ref="H945:L945"/>
    <mergeCell ref="A988:L988"/>
    <mergeCell ref="A990:L990"/>
    <mergeCell ref="A991:L991"/>
    <mergeCell ref="C995:D995"/>
    <mergeCell ref="E995:J995"/>
    <mergeCell ref="K995:L995"/>
    <mergeCell ref="C962:D962"/>
    <mergeCell ref="E962:F962"/>
    <mergeCell ref="G962:H962"/>
    <mergeCell ref="I962:J963"/>
    <mergeCell ref="K962:L962"/>
    <mergeCell ref="C963:D963"/>
    <mergeCell ref="E963:F963"/>
    <mergeCell ref="G963:H963"/>
    <mergeCell ref="K963:L963"/>
    <mergeCell ref="B1017:F1017"/>
    <mergeCell ref="H1017:L1017"/>
    <mergeCell ref="B1018:F1018"/>
    <mergeCell ref="H1018:L1018"/>
    <mergeCell ref="A1023:L1023"/>
    <mergeCell ref="A1025:L1025"/>
    <mergeCell ref="C996:D996"/>
    <mergeCell ref="E996:F996"/>
    <mergeCell ref="G996:H996"/>
    <mergeCell ref="I996:J997"/>
    <mergeCell ref="K996:L996"/>
    <mergeCell ref="C997:D997"/>
    <mergeCell ref="E997:F997"/>
    <mergeCell ref="G997:H997"/>
    <mergeCell ref="K997:L997"/>
    <mergeCell ref="E1032:F1032"/>
    <mergeCell ref="G1032:H1032"/>
    <mergeCell ref="K1032:L1032"/>
    <mergeCell ref="A1057:L1057"/>
    <mergeCell ref="A1059:L1059"/>
    <mergeCell ref="A1060:L1060"/>
    <mergeCell ref="A1026:L1026"/>
    <mergeCell ref="C1030:D1030"/>
    <mergeCell ref="E1030:J1030"/>
    <mergeCell ref="K1030:L1030"/>
    <mergeCell ref="C1031:D1031"/>
    <mergeCell ref="E1031:F1031"/>
    <mergeCell ref="G1031:H1031"/>
    <mergeCell ref="I1031:J1032"/>
    <mergeCell ref="K1031:L1031"/>
    <mergeCell ref="C1032:D1032"/>
    <mergeCell ref="C1064:D1064"/>
    <mergeCell ref="E1064:J1064"/>
    <mergeCell ref="K1064:L1064"/>
    <mergeCell ref="C1065:D1065"/>
    <mergeCell ref="E1065:F1065"/>
    <mergeCell ref="G1065:H1065"/>
    <mergeCell ref="I1065:J1066"/>
    <mergeCell ref="K1065:L1065"/>
    <mergeCell ref="C1066:D1066"/>
    <mergeCell ref="E1066:F1066"/>
    <mergeCell ref="A1090:L1090"/>
    <mergeCell ref="A1091:L1091"/>
    <mergeCell ref="A1092:L1092"/>
    <mergeCell ref="C1095:D1095"/>
    <mergeCell ref="E1095:J1095"/>
    <mergeCell ref="K1095:L1095"/>
    <mergeCell ref="G1066:H1066"/>
    <mergeCell ref="K1066:L1066"/>
    <mergeCell ref="B1083:F1083"/>
    <mergeCell ref="H1083:L1083"/>
    <mergeCell ref="B1084:F1084"/>
    <mergeCell ref="H1084:L1084"/>
    <mergeCell ref="C1096:D1096"/>
    <mergeCell ref="E1096:F1096"/>
    <mergeCell ref="G1096:H1096"/>
    <mergeCell ref="I1096:J1097"/>
    <mergeCell ref="K1096:L1096"/>
    <mergeCell ref="C1097:D1097"/>
    <mergeCell ref="E1097:F1097"/>
    <mergeCell ref="G1097:H1097"/>
    <mergeCell ref="K1097:L1097"/>
    <mergeCell ref="A1192:L1192"/>
    <mergeCell ref="A1194:L1194"/>
    <mergeCell ref="A1195:L1195"/>
    <mergeCell ref="C1199:D1199"/>
    <mergeCell ref="E1199:J1199"/>
    <mergeCell ref="K1199:L1199"/>
    <mergeCell ref="B1188:F1188"/>
    <mergeCell ref="H1188:L1188"/>
    <mergeCell ref="B1189:F1189"/>
    <mergeCell ref="H1189:L1189"/>
    <mergeCell ref="B1222:F1222"/>
    <mergeCell ref="H1222:L1222"/>
    <mergeCell ref="B1223:F1223"/>
    <mergeCell ref="H1223:L1223"/>
    <mergeCell ref="A1225:L1225"/>
    <mergeCell ref="A1226:L1226"/>
    <mergeCell ref="C1200:D1200"/>
    <mergeCell ref="E1200:F1200"/>
    <mergeCell ref="G1200:H1200"/>
    <mergeCell ref="I1200:J1201"/>
    <mergeCell ref="K1200:L1200"/>
    <mergeCell ref="C1201:D1201"/>
    <mergeCell ref="E1201:F1201"/>
    <mergeCell ref="G1201:H1201"/>
    <mergeCell ref="K1201:L1201"/>
    <mergeCell ref="A1227:L1227"/>
    <mergeCell ref="C1230:D1230"/>
    <mergeCell ref="E1230:J1230"/>
    <mergeCell ref="K1230:L1230"/>
    <mergeCell ref="C1231:D1231"/>
    <mergeCell ref="E1231:F1231"/>
    <mergeCell ref="G1231:H1231"/>
    <mergeCell ref="I1231:J1232"/>
    <mergeCell ref="K1231:L1231"/>
    <mergeCell ref="C1232:D1232"/>
    <mergeCell ref="A1291:L1291"/>
    <mergeCell ref="A1293:L1293"/>
    <mergeCell ref="A1294:L1294"/>
    <mergeCell ref="C1298:D1298"/>
    <mergeCell ref="E1298:J1298"/>
    <mergeCell ref="K1298:L1298"/>
    <mergeCell ref="E1232:F1232"/>
    <mergeCell ref="G1232:H1232"/>
    <mergeCell ref="K1232:L1232"/>
    <mergeCell ref="B1275:F1275"/>
    <mergeCell ref="H1275:L1275"/>
    <mergeCell ref="B1276:F1276"/>
    <mergeCell ref="H1276:L1276"/>
    <mergeCell ref="C1258:D1258"/>
    <mergeCell ref="E1258:J1258"/>
    <mergeCell ref="K1258:L1258"/>
    <mergeCell ref="C1259:D1259"/>
    <mergeCell ref="E1259:F1259"/>
    <mergeCell ref="G1259:H1259"/>
    <mergeCell ref="I1259:J1260"/>
    <mergeCell ref="K1259:L1259"/>
    <mergeCell ref="C1260:D1260"/>
    <mergeCell ref="E1260:F1260"/>
    <mergeCell ref="G1260:H1260"/>
    <mergeCell ref="A1325:L1325"/>
    <mergeCell ref="A1327:L1327"/>
    <mergeCell ref="C1299:D1299"/>
    <mergeCell ref="E1299:F1299"/>
    <mergeCell ref="G1299:H1299"/>
    <mergeCell ref="I1299:J1300"/>
    <mergeCell ref="K1299:L1299"/>
    <mergeCell ref="C1300:D1300"/>
    <mergeCell ref="E1300:F1300"/>
    <mergeCell ref="G1300:H1300"/>
    <mergeCell ref="K1300:L1300"/>
    <mergeCell ref="A1328:L1328"/>
    <mergeCell ref="C1332:D1332"/>
    <mergeCell ref="E1332:J1332"/>
    <mergeCell ref="K1332:L1332"/>
    <mergeCell ref="C1333:D1333"/>
    <mergeCell ref="E1333:F1333"/>
    <mergeCell ref="G1333:H1333"/>
    <mergeCell ref="I1333:J1334"/>
    <mergeCell ref="K1333:L1333"/>
    <mergeCell ref="C1334:D1334"/>
    <mergeCell ref="A1358:L1358"/>
    <mergeCell ref="A1360:L1360"/>
    <mergeCell ref="A1361:L1361"/>
    <mergeCell ref="C1365:D1365"/>
    <mergeCell ref="E1365:J1365"/>
    <mergeCell ref="K1365:L1365"/>
    <mergeCell ref="E1334:F1334"/>
    <mergeCell ref="G1334:H1334"/>
    <mergeCell ref="K1334:L1334"/>
    <mergeCell ref="B1348:F1348"/>
    <mergeCell ref="H1348:L1348"/>
    <mergeCell ref="B1349:F1349"/>
    <mergeCell ref="H1349:L1349"/>
    <mergeCell ref="A1392:L1392"/>
    <mergeCell ref="A1394:L1394"/>
    <mergeCell ref="A1395:L1395"/>
    <mergeCell ref="C1399:D1399"/>
    <mergeCell ref="E1399:J1399"/>
    <mergeCell ref="K1399:L1399"/>
    <mergeCell ref="C1366:D1366"/>
    <mergeCell ref="E1366:F1366"/>
    <mergeCell ref="G1366:H1366"/>
    <mergeCell ref="I1366:J1367"/>
    <mergeCell ref="K1366:L1366"/>
    <mergeCell ref="C1367:D1367"/>
    <mergeCell ref="E1367:F1367"/>
    <mergeCell ref="G1367:H1367"/>
    <mergeCell ref="K1367:L1367"/>
    <mergeCell ref="B1415:F1415"/>
    <mergeCell ref="H1415:L1415"/>
    <mergeCell ref="B1416:F1416"/>
    <mergeCell ref="H1416:L1416"/>
    <mergeCell ref="A1428:L1428"/>
    <mergeCell ref="A1430:L1430"/>
    <mergeCell ref="C1400:D1400"/>
    <mergeCell ref="E1400:F1400"/>
    <mergeCell ref="G1400:H1400"/>
    <mergeCell ref="I1400:J1401"/>
    <mergeCell ref="K1400:L1400"/>
    <mergeCell ref="C1401:D1401"/>
    <mergeCell ref="E1401:F1401"/>
    <mergeCell ref="G1401:H1401"/>
    <mergeCell ref="K1401:L1401"/>
    <mergeCell ref="E1437:F1437"/>
    <mergeCell ref="G1437:H1437"/>
    <mergeCell ref="K1437:L1437"/>
    <mergeCell ref="A1462:L1462"/>
    <mergeCell ref="A1464:L1464"/>
    <mergeCell ref="A1465:L1465"/>
    <mergeCell ref="A1431:L1431"/>
    <mergeCell ref="C1435:D1435"/>
    <mergeCell ref="E1435:J1435"/>
    <mergeCell ref="K1435:L1435"/>
    <mergeCell ref="C1436:D1436"/>
    <mergeCell ref="E1436:F1436"/>
    <mergeCell ref="G1436:H1436"/>
    <mergeCell ref="I1436:J1437"/>
    <mergeCell ref="K1436:L1436"/>
    <mergeCell ref="C1437:D1437"/>
    <mergeCell ref="G1471:H1471"/>
    <mergeCell ref="K1471:L1471"/>
    <mergeCell ref="B1489:F1489"/>
    <mergeCell ref="H1489:L1489"/>
    <mergeCell ref="B1490:F1490"/>
    <mergeCell ref="H1490:L1490"/>
    <mergeCell ref="C1469:D1469"/>
    <mergeCell ref="E1469:J1469"/>
    <mergeCell ref="K1469:L1469"/>
    <mergeCell ref="C1470:D1470"/>
    <mergeCell ref="E1470:F1470"/>
    <mergeCell ref="G1470:H1470"/>
    <mergeCell ref="I1470:J1471"/>
    <mergeCell ref="K1470:L1470"/>
    <mergeCell ref="C1471:D1471"/>
    <mergeCell ref="E1471:F1471"/>
    <mergeCell ref="C1125:D1125"/>
    <mergeCell ref="E1125:J1125"/>
    <mergeCell ref="K1125:L1125"/>
    <mergeCell ref="C1126:D1126"/>
    <mergeCell ref="E1126:F1126"/>
    <mergeCell ref="G1126:H1126"/>
    <mergeCell ref="I1126:J1127"/>
    <mergeCell ref="K1126:L1126"/>
    <mergeCell ref="C1127:D1127"/>
    <mergeCell ref="E1127:F1127"/>
    <mergeCell ref="G1127:H1127"/>
    <mergeCell ref="K1127:L1127"/>
    <mergeCell ref="C1159:D1159"/>
    <mergeCell ref="E1159:J1159"/>
    <mergeCell ref="K1159:L1159"/>
    <mergeCell ref="C1160:D1160"/>
    <mergeCell ref="E1160:F1160"/>
    <mergeCell ref="G1160:H1160"/>
    <mergeCell ref="I1160:J1161"/>
    <mergeCell ref="K1160:L1160"/>
    <mergeCell ref="C1161:D1161"/>
    <mergeCell ref="E1161:F1161"/>
    <mergeCell ref="G1161:H1161"/>
    <mergeCell ref="K1161:L1161"/>
  </mergeCells>
  <printOptions gridLines="false" gridLinesSet="true"/>
  <pageMargins left="0.7" right="0.7" top="0.75" bottom="0.75" header="0.3" footer="0.3"/>
  <pageSetup paperSize="5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FINAL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Maryrose Biagtan</dc:creator>
  <cp:lastModifiedBy>hp</cp:lastModifiedBy>
  <dcterms:created xsi:type="dcterms:W3CDTF">2024-08-24T09:51:20+08:00</dcterms:created>
  <dcterms:modified xsi:type="dcterms:W3CDTF">2026-07-15T17:42:14+08:00</dcterms:modified>
  <dc:title/>
  <dc:description/>
  <dc:subject/>
  <cp:keywords/>
  <cp:category/>
</cp:coreProperties>
</file>