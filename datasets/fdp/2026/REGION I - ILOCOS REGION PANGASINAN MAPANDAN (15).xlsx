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3" minimized="false" showHorizontalScroll="true" showSheetTabs="true" showVerticalScroll="true" tabRatio="600" visibility="visible"/>
  </bookViews>
  <sheets>
    <sheet name="Form 7 - DFU " sheetId="1" state="hidden" r:id="rId4"/>
    <sheet name="Q3_2025 " sheetId="2" state="hidden" r:id="rId5"/>
    <sheet name="Q4_2025" sheetId="3" state="hidden" r:id="rId6"/>
    <sheet name="Q1 2026" sheetId="4" r:id="rId7"/>
    <sheet name="Form 7 - DFU (2)" sheetId="5" state="hidden" r:id="rId8"/>
    <sheet name="FDPP LICENSE" sheetId="6" state="veryHidden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<sst xmlns="http://schemas.openxmlformats.org/spreadsheetml/2006/main" uniqueCount="88">
  <si>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</si>
  <si>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</si>
  <si>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</si>
  <si>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</si>
  <si>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</si>
  <si>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</si>
  <si>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</si>
  <si>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</si>
  <si>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</si>
  <si>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</si>
  <si>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</si>
  <si>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</si>
  <si>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</si>
  <si>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</si>
  <si>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</si>
  <si>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</si>
  <si>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</si>
  <si>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</si>
  <si>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</si>
  <si>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LGU payment of Loan</t>
  </si>
  <si>
    <t>Mapandan, Pangasinan</t>
  </si>
  <si>
    <t>In process</t>
  </si>
  <si>
    <t>LDF-Construction of One (1) Stop Shop Building Phase 4</t>
  </si>
  <si>
    <t>Brgy. Poblacion, Mapandan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</si>
  <si>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</si>
  <si>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</si>
  <si>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</si>
  <si>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ANA MARICRIS B. NATAVIO</t>
  </si>
  <si>
    <r>
      <t xml:space="preserve">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 RUTH B. SOTTO , CPA</t>
    </r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</si>
  <si>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HON. KARL CHRISTIAN F. VEGA</t>
    </r>
  </si>
  <si>
    <t xml:space="preserve">                         Local Budget Officer</t>
  </si>
  <si>
    <t xml:space="preserve">                       Municipal Accountant</t>
  </si>
  <si>
    <t>Local Chief Executive</t>
  </si>
  <si>
    <t>In Process</t>
  </si>
  <si>
    <t>Completed</t>
  </si>
  <si>
    <t>Construction of One (1) Stop Shop Phase 5</t>
  </si>
  <si>
    <t>Brgy. Poblacion, Mapandan.</t>
  </si>
  <si>
    <t>Not yet started</t>
  </si>
  <si>
    <t>LGU Payment of Loans</t>
  </si>
  <si>
    <t>Construction of Perimeter Fence, Backfilling and Concreting of Super Rural Health Unit's Ground Phase 2</t>
  </si>
  <si>
    <t>Brgy. Torres, Mapandan</t>
  </si>
  <si>
    <t>Rehabilitation/Improvement of Mapandan Tennis Clubhouse inside Public Plaza and Comfort Room inside Public Auditorium</t>
  </si>
  <si>
    <t>Construction of Stalls for Ambulant Vendors at Public Market</t>
  </si>
  <si>
    <t>Construction of Sewerage Treatment Plant at Public Market</t>
  </si>
  <si>
    <t>Construction of Drainage Canal along Agila Street, Brgy.  Amanoaoac</t>
  </si>
  <si>
    <t>Brgy. Amanoaoac, Mapandan</t>
  </si>
  <si>
    <t>Construction of Drainage Canal along Apayas Street, Brgy.  Apaya</t>
  </si>
  <si>
    <t>Brgy. Apaya, Mapandan</t>
  </si>
  <si>
    <t>Construction of Drainage Canal along Caimito Street Ext. , Brgy. Aserda</t>
  </si>
  <si>
    <t>Brgy. Aserda, Mapandan</t>
  </si>
  <si>
    <t>Improvement of Road Along Tibule St. Brgy. Baloling</t>
  </si>
  <si>
    <t>Brgy. Baloling, Mapandan</t>
  </si>
  <si>
    <t>Construction of Drainage Canal along Pico Avenue, Brgy. Coral</t>
  </si>
  <si>
    <t>Brgy. Coral, Mapandan</t>
  </si>
  <si>
    <t>Construction of Drainage Canal along Golden Shower Street, Brgy. Golden</t>
  </si>
  <si>
    <t>Brgy. Golden., Mapandan</t>
  </si>
  <si>
    <t>Construction of Drainage Canal along Wag-wag Street and Raminad Street, Brgy. Jimenez</t>
  </si>
  <si>
    <t>Brgy.Jimenez, Mapandan</t>
  </si>
  <si>
    <t xml:space="preserve">Concrete Paving of Road along Chico Street Extension, Brgy. Luyan </t>
  </si>
  <si>
    <t>Brgy. Luyan, Mapandan</t>
  </si>
  <si>
    <t>Concrete Paving of Road along Seniguelas Street, Brgy. Pias</t>
  </si>
  <si>
    <t>Brgy. Pias, Mapandan</t>
  </si>
  <si>
    <t>Construction of Drainage Canal along Cadena de Amor Street, Brgy. Poblacion</t>
  </si>
  <si>
    <t>Construction of Drainage Canal along Gondol Street, Brgy. Primicias</t>
  </si>
  <si>
    <t>Brgy. Primicias, Mapandan</t>
  </si>
  <si>
    <t>Construction of Drainage Canal along Sitio Sabangan, Brgy. Sta. Maria</t>
  </si>
  <si>
    <t>Brgy. Sta. Maria, Mapandan</t>
  </si>
  <si>
    <t>Construction of Drainage Canal along Salumague Street Ext., Brgy. Torres</t>
  </si>
  <si>
    <t xml:space="preserve">                                         Sgd</t>
  </si>
  <si>
    <t>Sgd</t>
  </si>
  <si>
    <t>Construction of Perimeter Fence, Backfilling and Concreting of Super Rural Health Unit's Ground</t>
  </si>
  <si>
    <t>COMPLETED</t>
  </si>
  <si>
    <t>Construction of Cross/Drainage Canal along Gondol Street , Primicias</t>
  </si>
  <si>
    <t>Improvement/Extension of Office for MDRRM Command Center at Brgy. Poblacion</t>
  </si>
  <si>
    <t>NOT YET PAID</t>
  </si>
  <si>
    <t>Improvement/Re-painting of Roof of the Mapandan Municipal Hall</t>
  </si>
  <si>
    <t>Re-conctruction of Drainage Canal along Pico Avenue at Brgy. Coral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</si>
  <si>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</si>
  <si>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</si>
  <si>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</si>
  <si>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</si>
  <si>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</si>
  <si>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Additional Illumination of Mapandan Town Plaza Phase 2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</si>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</sst>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3">
    <numFmt numFmtId="164" formatCode="_(* #,##0.00_);_(* \(#,##0.00\);_(* &quot;-&quot;??_);_(@_)"/>
    <numFmt numFmtId="165" formatCode="[$-409]mmmm\ d\,\ yyyy;@"/>
    <numFmt numFmtId="166" formatCode="_-* #,##0.00_-;\-* #,##0.00_-;_-* &quot;-&quot;??_-;_-@_-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numFmtId="0" fontId="0" fillId="0" borderId="0"/>
  </cellStyleXfs>
  <cellXfs count="7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17" fillId="2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4" fillId="2" borderId="1" applyFont="1" applyNumberFormat="1" applyFill="0" applyBorder="1" applyAlignment="0">
      <alignment horizontal="general" vertical="bottom" textRotation="0" wrapText="false" shrinkToFit="false"/>
    </xf>
    <xf xfId="0" fontId="3" numFmtId="4" fillId="2" borderId="12" applyFont="1" applyNumberFormat="1" applyFill="0" applyBorder="1" applyAlignment="0">
      <alignment horizontal="general" vertical="bottom" textRotation="0" wrapText="false" shrinkToFit="false"/>
    </xf>
    <xf xfId="0" fontId="3" numFmtId="4" fillId="2" borderId="13" applyFont="1" applyNumberFormat="1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left" vertical="bottom" textRotation="0" wrapText="true" shrinkToFit="false"/>
    </xf>
    <xf xfId="0" fontId="5" numFmtId="166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5" applyFont="1" applyNumberFormat="0" applyFill="0" applyBorder="1" applyAlignment="1">
      <alignment horizontal="center" vertical="center" textRotation="0" wrapText="true" shrinkToFit="false"/>
    </xf>
    <xf xfId="0" fontId="4" numFmtId="0" fillId="2" borderId="16" applyFont="1" applyNumberFormat="0" applyFill="0" applyBorder="1" applyAlignment="1">
      <alignment horizontal="center" vertical="center" textRotation="0" wrapText="true" shrinkToFit="false"/>
    </xf>
    <xf xfId="0" fontId="4" numFmtId="0" fillId="2" borderId="17" applyFont="1" applyNumberFormat="0" applyFill="0" applyBorder="1" applyAlignment="1">
      <alignment horizontal="center" vertical="center" textRotation="0" wrapText="false" shrinkToFit="false"/>
    </xf>
    <xf xfId="0" fontId="4" numFmtId="0" fillId="2" borderId="17" applyFont="1" applyNumberFormat="0" applyFill="0" applyBorder="1" applyAlignment="1">
      <alignment horizontal="center" vertical="center" textRotation="0" wrapText="true" shrinkToFit="false"/>
    </xf>
    <xf xfId="0" fontId="4" numFmtId="0" fillId="2" borderId="18" applyFont="1" applyNumberFormat="0" applyFill="0" applyBorder="1" applyAlignment="1">
      <alignment horizontal="center" vertical="center" textRotation="0" wrapText="false" shrinkToFit="false"/>
    </xf>
    <xf xfId="0" fontId="4" numFmtId="0" fillId="2" borderId="19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E109E06-C3E4-43D8-9F80-E49903C91D57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4EDFB03-1723-442F-AE47-66AD1E3C3E46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98A9D37E-415C-4A6D-BF9C-ADD07D89813A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46F7949-A995-46FE-AD27-D0AF497F7553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A9CBB47-140C-4D25-9030-119684B62EAF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D7771261-9E37-43D4-8B7B-20D9CBEF7B81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DF0BE9E-C720-447A-AF0E-5BC6ED961C11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2F92E014-03BC-45AE-8474-34644EAFE533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C575BDE3-C5A6-4F22-8E12-3A1D85687814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40</xdr:row>
      <xdr:rowOff>7471</xdr:rowOff>
    </xdr:from>
    <xdr:to>
      <xdr:col>0</xdr:col>
      <xdr:colOff>2935942</xdr:colOff>
      <xdr:row>40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9A53568-0A7D-4A97-88EE-B0F2463728D4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40</xdr:row>
      <xdr:rowOff>6349</xdr:rowOff>
    </xdr:from>
    <xdr:to>
      <xdr:col>7</xdr:col>
      <xdr:colOff>38660</xdr:colOff>
      <xdr:row>40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48B4B068-7CAC-4A82-9C12-1BAA48C5725B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40</xdr:row>
      <xdr:rowOff>1</xdr:rowOff>
    </xdr:from>
    <xdr:to>
      <xdr:col>2</xdr:col>
      <xdr:colOff>1016001</xdr:colOff>
      <xdr:row>40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1BCC25CC-133B-464D-906D-8CABD7F3A7CC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5350AE94-9E73-42E1-900C-1830FDFE1ED2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8DA7E057-06AE-42E0-AB87-8B75AC7F28B9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91109</xdr:rowOff>
    </xdr:from>
    <xdr:to>
      <xdr:col>0</xdr:col>
      <xdr:colOff>2459935</xdr:colOff>
      <xdr:row>32</xdr:row>
      <xdr:rowOff>164353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5C1EE07-5AFC-4073-A1A0-C86989678146}"/>
            </a:ext>
          </a:extLst>
        </xdr:cNvPr>
        <xdr:cNvSpPr txBox="1"/>
      </xdr:nvSpPr>
      <xdr:spPr>
        <a:xfrm>
          <a:off x="481854" y="7006259"/>
          <a:ext cx="1978081" cy="2732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2DA6E23F-BA1A-49C4-BFE1-670EF4859A35}"/>
            </a:ext>
          </a:extLst>
        </xdr:cNvPr>
        <xdr:cNvSpPr txBox="1"/>
      </xdr:nvSpPr>
      <xdr:spPr>
        <a:xfrm>
          <a:off x="9745568" y="6989856"/>
          <a:ext cx="2302437" cy="297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285C4ED6-C958-45C8-BEAA-E55E7D7723E4}"/>
            </a:ext>
          </a:extLst>
        </xdr:cNvPr>
        <xdr:cNvSpPr txBox="1"/>
      </xdr:nvSpPr>
      <xdr:spPr>
        <a:xfrm>
          <a:off x="5796990" y="6997328"/>
          <a:ext cx="1217332" cy="2896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B59A2AD9-52CE-4DCD-9ACA-0164CAF5B626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E7" sqref="E7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2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0.43919224710283</v>
      </c>
      <c r="G14" s="23">
        <v>11400898.1</v>
      </c>
      <c r="H14" s="24"/>
      <c r="I14" s="32" t="s">
        <v>21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f>G15/C15</f>
        <v>0.66156446705882</v>
      </c>
      <c r="G15" s="23">
        <v>5623297.97</v>
      </c>
      <c r="H15" s="28"/>
      <c r="I15" s="32" t="s">
        <v>21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0.49404513140376</v>
      </c>
      <c r="G18" s="50">
        <f>SUM(G14:G17)</f>
        <v>17024196.07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A19" sqref="A19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3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0.68394049867793</v>
      </c>
      <c r="G14" s="23">
        <v>17754265.89</v>
      </c>
      <c r="H14" s="24"/>
      <c r="I14" s="32" t="s">
        <v>33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v>1</v>
      </c>
      <c r="G15" s="23">
        <v>8497315.18</v>
      </c>
      <c r="H15" s="28"/>
      <c r="I15" s="32" t="s">
        <v>34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0.76182544925803</v>
      </c>
      <c r="G18" s="50">
        <f>SUM(G14:G17)</f>
        <v>26251581.07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E20" sqref="E20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v>1</v>
      </c>
      <c r="G14" s="23">
        <v>24022083.98</v>
      </c>
      <c r="H14" s="24"/>
      <c r="I14" s="32" t="s">
        <v>34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v>1</v>
      </c>
      <c r="G15" s="23">
        <v>8497315.18</v>
      </c>
      <c r="H15" s="28"/>
      <c r="I15" s="32" t="s">
        <v>34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v>1</v>
      </c>
      <c r="G18" s="50">
        <f>SUM(G14:G17)</f>
        <v>32519399.16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41"/>
  <sheetViews>
    <sheetView tabSelected="0" workbookViewId="0" zoomScale="70" zoomScaleNormal="70" showGridLines="true" showRowColHeaders="1">
      <selection activeCell="L27" sqref="L27"/>
    </sheetView>
  </sheetViews>
  <sheetFormatPr defaultRowHeight="14.4" defaultColWidth="9.109375" outlineLevelRow="0" outlineLevelCol="0"/>
  <cols>
    <col min="1" max="1" width="72.6640625" customWidth="true" style="5"/>
    <col min="2" max="2" width="26.10937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2026</v>
      </c>
    </row>
    <row r="6" spans="1:12">
      <c r="A6" s="13" t="s">
        <v>4</v>
      </c>
      <c r="B6" s="11"/>
      <c r="C6" s="12"/>
      <c r="D6" s="17" t="s">
        <v>5</v>
      </c>
      <c r="E6" s="15">
        <v>1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51" t="s">
        <v>35</v>
      </c>
      <c r="B14" s="18" t="s">
        <v>36</v>
      </c>
      <c r="C14" s="56">
        <v>6500000</v>
      </c>
      <c r="D14" s="54"/>
      <c r="E14" s="20">
        <v>46357</v>
      </c>
      <c r="F14" s="26">
        <f>G14/C14</f>
        <v>0</v>
      </c>
      <c r="G14" s="23">
        <v>0</v>
      </c>
      <c r="H14" s="24"/>
      <c r="I14" s="32" t="s">
        <v>37</v>
      </c>
    </row>
    <row r="15" spans="1:12" customHeight="1" ht="15.6" s="5" customFormat="1">
      <c r="A15" s="52" t="s">
        <v>38</v>
      </c>
      <c r="B15" s="25" t="s">
        <v>20</v>
      </c>
      <c r="C15" s="57">
        <v>22695379.08</v>
      </c>
      <c r="D15" s="54">
        <v>46023</v>
      </c>
      <c r="E15" s="20">
        <v>46357</v>
      </c>
      <c r="F15" s="26">
        <f>G15/C15</f>
        <v>0.25177082699779</v>
      </c>
      <c r="G15" s="23">
        <v>5714034.36</v>
      </c>
      <c r="H15" s="28"/>
      <c r="I15" s="32" t="s">
        <v>33</v>
      </c>
    </row>
    <row r="16" spans="1:12" customHeight="1" ht="15.6" s="5" customFormat="1">
      <c r="A16" s="53" t="s">
        <v>39</v>
      </c>
      <c r="B16" s="18" t="s">
        <v>40</v>
      </c>
      <c r="C16" s="57">
        <v>550000</v>
      </c>
      <c r="D16" s="54"/>
      <c r="E16" s="20">
        <v>46357</v>
      </c>
      <c r="F16" s="26">
        <v>0</v>
      </c>
      <c r="G16" s="23">
        <v>0</v>
      </c>
      <c r="H16" s="28"/>
      <c r="I16" s="32" t="s">
        <v>37</v>
      </c>
    </row>
    <row r="17" spans="1:12" customHeight="1" ht="32.25" s="5" customFormat="1">
      <c r="A17" s="59" t="s">
        <v>41</v>
      </c>
      <c r="B17" s="18" t="s">
        <v>36</v>
      </c>
      <c r="C17" s="57">
        <v>950000</v>
      </c>
      <c r="D17" s="54"/>
      <c r="E17" s="20">
        <v>46357</v>
      </c>
      <c r="F17" s="26">
        <v>0</v>
      </c>
      <c r="G17" s="23">
        <v>0</v>
      </c>
      <c r="H17" s="28"/>
      <c r="I17" s="32" t="s">
        <v>37</v>
      </c>
    </row>
    <row r="18" spans="1:12" customHeight="1" ht="15.6" s="5" customFormat="1">
      <c r="A18" s="53" t="s">
        <v>42</v>
      </c>
      <c r="B18" s="18" t="s">
        <v>36</v>
      </c>
      <c r="C18" s="57">
        <v>625000</v>
      </c>
      <c r="D18" s="54"/>
      <c r="E18" s="20">
        <v>46357</v>
      </c>
      <c r="F18" s="26">
        <v>0</v>
      </c>
      <c r="G18" s="23">
        <v>0</v>
      </c>
      <c r="H18" s="28"/>
      <c r="I18" s="32" t="s">
        <v>37</v>
      </c>
    </row>
    <row r="19" spans="1:12" customHeight="1" ht="15.6" s="5" customFormat="1">
      <c r="A19" s="53" t="s">
        <v>43</v>
      </c>
      <c r="B19" s="18" t="s">
        <v>36</v>
      </c>
      <c r="C19" s="57">
        <v>1195000</v>
      </c>
      <c r="D19" s="54"/>
      <c r="E19" s="20">
        <v>46357</v>
      </c>
      <c r="F19" s="26">
        <v>0</v>
      </c>
      <c r="G19" s="23">
        <v>0</v>
      </c>
      <c r="H19" s="28"/>
      <c r="I19" s="32" t="s">
        <v>37</v>
      </c>
    </row>
    <row r="20" spans="1:12" customHeight="1" ht="15.6" s="5" customFormat="1">
      <c r="A20" s="53" t="s">
        <v>44</v>
      </c>
      <c r="B20" s="18" t="s">
        <v>45</v>
      </c>
      <c r="C20" s="57">
        <v>500000</v>
      </c>
      <c r="D20" s="54"/>
      <c r="E20" s="20">
        <v>46357</v>
      </c>
      <c r="F20" s="26">
        <v>0</v>
      </c>
      <c r="G20" s="23">
        <v>0</v>
      </c>
      <c r="H20" s="28"/>
      <c r="I20" s="32" t="s">
        <v>37</v>
      </c>
    </row>
    <row r="21" spans="1:12" customHeight="1" ht="15.6" s="5" customFormat="1">
      <c r="A21" s="53" t="s">
        <v>46</v>
      </c>
      <c r="B21" s="18" t="s">
        <v>47</v>
      </c>
      <c r="C21" s="57">
        <v>500000</v>
      </c>
      <c r="D21" s="54"/>
      <c r="E21" s="20">
        <v>46357</v>
      </c>
      <c r="F21" s="26">
        <v>0</v>
      </c>
      <c r="G21" s="23">
        <v>0</v>
      </c>
      <c r="H21" s="28"/>
      <c r="I21" s="32" t="s">
        <v>37</v>
      </c>
    </row>
    <row r="22" spans="1:12" customHeight="1" ht="15.6" s="5" customFormat="1">
      <c r="A22" s="53" t="s">
        <v>48</v>
      </c>
      <c r="B22" s="18" t="s">
        <v>49</v>
      </c>
      <c r="C22" s="57">
        <v>500000</v>
      </c>
      <c r="D22" s="54"/>
      <c r="E22" s="20">
        <v>46357</v>
      </c>
      <c r="F22" s="26">
        <v>0</v>
      </c>
      <c r="G22" s="23">
        <v>0</v>
      </c>
      <c r="H22" s="28"/>
      <c r="I22" s="32" t="s">
        <v>37</v>
      </c>
    </row>
    <row r="23" spans="1:12" customHeight="1" ht="15.6" s="5" customFormat="1">
      <c r="A23" s="53" t="s">
        <v>50</v>
      </c>
      <c r="B23" s="18" t="s">
        <v>51</v>
      </c>
      <c r="C23" s="57">
        <v>500000</v>
      </c>
      <c r="D23" s="54"/>
      <c r="E23" s="20">
        <v>46357</v>
      </c>
      <c r="F23" s="26">
        <v>0</v>
      </c>
      <c r="G23" s="23">
        <v>0</v>
      </c>
      <c r="H23" s="28"/>
      <c r="I23" s="32" t="s">
        <v>37</v>
      </c>
    </row>
    <row r="24" spans="1:12" customHeight="1" ht="15.6" s="5" customFormat="1">
      <c r="A24" s="53" t="s">
        <v>52</v>
      </c>
      <c r="B24" s="18" t="s">
        <v>53</v>
      </c>
      <c r="C24" s="57">
        <v>500000</v>
      </c>
      <c r="D24" s="54"/>
      <c r="E24" s="20">
        <v>46357</v>
      </c>
      <c r="F24" s="26">
        <v>0</v>
      </c>
      <c r="G24" s="23">
        <v>0</v>
      </c>
      <c r="H24" s="28"/>
      <c r="I24" s="32" t="s">
        <v>37</v>
      </c>
    </row>
    <row r="25" spans="1:12" customHeight="1" ht="15.6" s="5" customFormat="1">
      <c r="A25" s="53" t="s">
        <v>54</v>
      </c>
      <c r="B25" s="18" t="s">
        <v>55</v>
      </c>
      <c r="C25" s="57">
        <v>500000</v>
      </c>
      <c r="D25" s="54"/>
      <c r="E25" s="20">
        <v>46357</v>
      </c>
      <c r="F25" s="26">
        <v>0</v>
      </c>
      <c r="G25" s="23">
        <v>0</v>
      </c>
      <c r="H25" s="28"/>
      <c r="I25" s="32" t="s">
        <v>37</v>
      </c>
    </row>
    <row r="26" spans="1:12" customHeight="1" ht="36" s="5" customFormat="1">
      <c r="A26" s="53" t="s">
        <v>56</v>
      </c>
      <c r="B26" s="18" t="s">
        <v>57</v>
      </c>
      <c r="C26" s="57">
        <v>500000</v>
      </c>
      <c r="D26" s="54"/>
      <c r="E26" s="20">
        <v>46357</v>
      </c>
      <c r="F26" s="26">
        <v>0</v>
      </c>
      <c r="G26" s="23">
        <v>0</v>
      </c>
      <c r="H26" s="28"/>
      <c r="I26" s="32" t="s">
        <v>37</v>
      </c>
    </row>
    <row r="27" spans="1:12" customHeight="1" ht="15.6" s="5" customFormat="1">
      <c r="A27" s="53" t="s">
        <v>58</v>
      </c>
      <c r="B27" s="18" t="s">
        <v>59</v>
      </c>
      <c r="C27" s="57">
        <v>500000</v>
      </c>
      <c r="D27" s="54"/>
      <c r="E27" s="20">
        <v>46357</v>
      </c>
      <c r="F27" s="26">
        <v>0</v>
      </c>
      <c r="G27" s="23">
        <v>0</v>
      </c>
      <c r="H27" s="28"/>
      <c r="I27" s="32" t="s">
        <v>37</v>
      </c>
    </row>
    <row r="28" spans="1:12" customHeight="1" ht="15.6" s="5" customFormat="1">
      <c r="A28" s="53" t="s">
        <v>60</v>
      </c>
      <c r="B28" s="18" t="s">
        <v>61</v>
      </c>
      <c r="C28" s="57">
        <v>500000</v>
      </c>
      <c r="D28" s="54"/>
      <c r="E28" s="20">
        <v>46357</v>
      </c>
      <c r="F28" s="26">
        <v>0</v>
      </c>
      <c r="G28" s="23">
        <v>0</v>
      </c>
      <c r="H28" s="28"/>
      <c r="I28" s="32" t="s">
        <v>37</v>
      </c>
    </row>
    <row r="29" spans="1:12" customHeight="1" ht="15.6" s="5" customFormat="1">
      <c r="A29" s="53" t="s">
        <v>62</v>
      </c>
      <c r="B29" s="18" t="s">
        <v>36</v>
      </c>
      <c r="C29" s="57">
        <v>500000</v>
      </c>
      <c r="D29" s="54"/>
      <c r="E29" s="20">
        <v>46357</v>
      </c>
      <c r="F29" s="26">
        <v>0</v>
      </c>
      <c r="G29" s="23">
        <v>0</v>
      </c>
      <c r="H29" s="28"/>
      <c r="I29" s="32" t="s">
        <v>37</v>
      </c>
    </row>
    <row r="30" spans="1:12" customHeight="1" ht="15.6" s="5" customFormat="1">
      <c r="A30" s="53" t="s">
        <v>63</v>
      </c>
      <c r="B30" s="18" t="s">
        <v>64</v>
      </c>
      <c r="C30" s="57">
        <v>500000</v>
      </c>
      <c r="D30" s="54"/>
      <c r="E30" s="20">
        <v>46357</v>
      </c>
      <c r="F30" s="26">
        <v>0</v>
      </c>
      <c r="G30" s="23">
        <v>0</v>
      </c>
      <c r="H30" s="28"/>
      <c r="I30" s="32" t="s">
        <v>37</v>
      </c>
    </row>
    <row r="31" spans="1:12" customHeight="1" ht="15.6" s="5" customFormat="1">
      <c r="A31" s="53" t="s">
        <v>65</v>
      </c>
      <c r="B31" s="18" t="s">
        <v>66</v>
      </c>
      <c r="C31" s="57">
        <v>500000</v>
      </c>
      <c r="D31" s="54"/>
      <c r="E31" s="20">
        <v>46357</v>
      </c>
      <c r="F31" s="26">
        <v>0</v>
      </c>
      <c r="G31" s="23">
        <v>0</v>
      </c>
      <c r="H31" s="28"/>
      <c r="I31" s="32" t="s">
        <v>37</v>
      </c>
    </row>
    <row r="32" spans="1:12" customHeight="1" ht="15.6" s="5" customFormat="1">
      <c r="A32" s="53" t="s">
        <v>67</v>
      </c>
      <c r="B32" s="18" t="s">
        <v>40</v>
      </c>
      <c r="C32" s="57">
        <v>500000</v>
      </c>
      <c r="D32" s="54"/>
      <c r="E32" s="20">
        <v>46357</v>
      </c>
      <c r="F32" s="26">
        <v>0</v>
      </c>
      <c r="G32" s="23">
        <v>0</v>
      </c>
      <c r="H32" s="28"/>
      <c r="I32" s="32" t="s">
        <v>37</v>
      </c>
    </row>
    <row r="33" spans="1:12" customHeight="1" ht="16.2">
      <c r="A33" s="37" t="s">
        <v>24</v>
      </c>
      <c r="B33" s="38"/>
      <c r="C33" s="58"/>
      <c r="D33" s="55"/>
      <c r="E33" s="41"/>
      <c r="F33" s="40"/>
      <c r="G33" s="40"/>
      <c r="H33" s="40"/>
      <c r="I33" s="42"/>
    </row>
    <row r="34" spans="1:12" customHeight="1" ht="18.6" s="49" customFormat="1">
      <c r="A34" s="43" t="s">
        <v>25</v>
      </c>
      <c r="B34" s="60"/>
      <c r="C34" s="45">
        <f>SUM(C14:C33)</f>
        <v>39015379.08</v>
      </c>
      <c r="D34" s="44"/>
      <c r="E34" s="44"/>
      <c r="F34" s="46">
        <f>G34/C34</f>
        <v>0.14645594877557</v>
      </c>
      <c r="G34" s="50">
        <f>SUM(G14:G33)</f>
        <v>5714034.36</v>
      </c>
      <c r="H34" s="44"/>
      <c r="I34" s="47"/>
      <c r="J34" s="48"/>
      <c r="K34" s="48"/>
    </row>
    <row r="36" spans="1:12">
      <c r="A36" s="5" t="s">
        <v>26</v>
      </c>
    </row>
    <row r="39" spans="1:12">
      <c r="A39" s="71" t="s">
        <v>68</v>
      </c>
      <c r="B39" s="70" t="s">
        <v>69</v>
      </c>
      <c r="C39" s="70"/>
      <c r="F39" s="70" t="s">
        <v>69</v>
      </c>
      <c r="G39" s="70"/>
    </row>
    <row r="40" spans="1:12" s="5" customFormat="1">
      <c r="A40" s="8" t="s">
        <v>27</v>
      </c>
      <c r="B40" s="5" t="s">
        <v>28</v>
      </c>
      <c r="E40" s="5" t="s">
        <v>29</v>
      </c>
    </row>
    <row r="41" spans="1:12" s="5" customFormat="1">
      <c r="A41" s="16" t="s">
        <v>30</v>
      </c>
      <c r="B41" s="16" t="s">
        <v>31</v>
      </c>
      <c r="F41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9:C39"/>
    <mergeCell ref="F39:G39"/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0" workbookViewId="0" zoomScale="115" zoomScaleNormal="115" showGridLines="true" showRowColHeaders="1">
      <selection activeCell="F20" sqref="F20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2">
      <c r="A14" s="31" t="s">
        <v>70</v>
      </c>
      <c r="B14" s="18" t="s">
        <v>40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71</v>
      </c>
    </row>
    <row r="15" spans="1:12">
      <c r="A15" s="31" t="s">
        <v>72</v>
      </c>
      <c r="B15" s="18" t="s">
        <v>64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71</v>
      </c>
    </row>
    <row r="16" spans="1:12" customHeight="1" ht="31.2">
      <c r="A16" s="31" t="s">
        <v>73</v>
      </c>
      <c r="B16" s="18" t="s">
        <v>23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74</v>
      </c>
    </row>
    <row r="17" spans="1:12">
      <c r="A17" s="31" t="s">
        <v>75</v>
      </c>
      <c r="B17" s="18" t="s">
        <v>23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71</v>
      </c>
    </row>
    <row r="18" spans="1:12">
      <c r="A18" s="33" t="s">
        <v>76</v>
      </c>
      <c r="B18" s="18" t="s">
        <v>53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71</v>
      </c>
    </row>
    <row r="19" spans="1:12" customHeight="1" ht="31.2">
      <c r="A19" s="31" t="s">
        <v>77</v>
      </c>
      <c r="B19" s="18" t="s">
        <v>23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71</v>
      </c>
    </row>
    <row r="20" spans="1:12">
      <c r="A20" s="33" t="s">
        <v>78</v>
      </c>
      <c r="B20" s="18" t="s">
        <v>23</v>
      </c>
      <c r="C20" s="19">
        <v>300000</v>
      </c>
      <c r="D20" s="20">
        <v>45536</v>
      </c>
      <c r="E20" s="20">
        <v>45566</v>
      </c>
      <c r="F20" s="26">
        <v>0.99857178</v>
      </c>
      <c r="G20" s="23">
        <v>298000</v>
      </c>
      <c r="H20" s="24"/>
      <c r="I20" s="32" t="s">
        <v>71</v>
      </c>
    </row>
    <row r="21" spans="1:12">
      <c r="A21" s="33" t="s">
        <v>79</v>
      </c>
      <c r="B21" s="18" t="s">
        <v>23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74</v>
      </c>
    </row>
    <row r="22" spans="1:12">
      <c r="A22" s="34" t="s">
        <v>80</v>
      </c>
      <c r="B22" s="18" t="s">
        <v>81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71</v>
      </c>
    </row>
    <row r="23" spans="1:12">
      <c r="A23" s="35" t="s">
        <v>19</v>
      </c>
      <c r="B23" s="25" t="s">
        <v>20</v>
      </c>
      <c r="C23" s="19">
        <v>21176026.09</v>
      </c>
      <c r="D23" s="20">
        <v>45292</v>
      </c>
      <c r="E23" s="20">
        <v>45627</v>
      </c>
      <c r="F23" s="26">
        <v>1</v>
      </c>
      <c r="G23" s="23">
        <v>20560750.94</v>
      </c>
      <c r="H23" s="24"/>
      <c r="I23" s="32" t="s">
        <v>71</v>
      </c>
    </row>
    <row r="24" spans="1:12" customHeight="1" ht="15.6">
      <c r="A24" s="36" t="s">
        <v>82</v>
      </c>
      <c r="B24" s="18" t="s">
        <v>23</v>
      </c>
      <c r="C24" s="27">
        <v>571506.51</v>
      </c>
      <c r="D24" s="20">
        <v>45425</v>
      </c>
      <c r="E24" s="20">
        <v>45460</v>
      </c>
      <c r="F24" s="26">
        <v>1</v>
      </c>
      <c r="G24" s="23">
        <v>568293.91</v>
      </c>
      <c r="H24" s="28"/>
      <c r="I24" s="32" t="s">
        <v>71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2">
      <c r="A26" s="37" t="s">
        <v>24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8.6" s="49" customFormat="1">
      <c r="A27" s="43" t="s">
        <v>25</v>
      </c>
      <c r="B27" s="44"/>
      <c r="C27" s="45">
        <f>SUM(C12:C26)</f>
        <v>28947532.6</v>
      </c>
      <c r="D27" s="44"/>
      <c r="E27" s="44"/>
      <c r="F27" s="46">
        <f>G27/C27</f>
        <v>0.93690111847391</v>
      </c>
      <c r="G27" s="50">
        <f>SUM(G14:G26)</f>
        <v>27120975.67</v>
      </c>
      <c r="H27" s="44"/>
      <c r="I27" s="47"/>
      <c r="J27" s="48"/>
      <c r="K27" s="48"/>
    </row>
    <row r="29" spans="1:12">
      <c r="A29" s="5" t="s">
        <v>26</v>
      </c>
    </row>
    <row r="34" spans="1:12">
      <c r="A34" s="16" t="s">
        <v>30</v>
      </c>
      <c r="B34" s="16" t="s">
        <v>31</v>
      </c>
      <c r="F34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">
      <c r="A1" s="2" t="s">
        <v>83</v>
      </c>
    </row>
    <row r="3" spans="1:1">
      <c r="A3" t="s">
        <v>84</v>
      </c>
    </row>
    <row r="5" spans="1:1">
      <c r="A5" t="s">
        <v>85</v>
      </c>
    </row>
    <row r="6" spans="1:1">
      <c r="A6" s="1" t="s">
        <v>86</v>
      </c>
    </row>
    <row r="9" spans="1:1">
      <c r="A9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7 - DFU </vt:lpstr>
      <vt:lpstr>Q3_2025 </vt:lpstr>
      <vt:lpstr>Q4_2025</vt:lpstr>
      <vt:lpstr>Q1 2026</vt:lpstr>
      <vt:lpstr>Form 7 - DFU (2)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2026-07-28T11:48:19+08:00</dcterms:modified>
  <dc:title/>
  <dc:description/>
  <dc:subject/>
  <cp:keywords/>
  <cp:category/>
</cp:coreProperties>
</file>