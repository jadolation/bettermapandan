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3" minimized="false" showHorizontalScroll="true" showSheetTabs="true" showVerticalScroll="true" tabRatio="600" visibility="visible"/>
  </bookViews>
  <sheets>
    <sheet name="Form 7 - DFU " sheetId="1" state="hidden" r:id="rId4"/>
    <sheet name="Q3_2025 " sheetId="2" state="hidden" r:id="rId5"/>
    <sheet name="Q4_2025" sheetId="3" state="hidden" r:id="rId6"/>
    <sheet name="Q2 2026" sheetId="4" r:id="rId7"/>
    <sheet name="Form 7 - DFU (2)" sheetId="5" state="hidden" r:id="rId8"/>
    <sheet name="FDPP LICENSE" sheetId="6" state="veryHidden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<sst xmlns="http://schemas.openxmlformats.org/spreadsheetml/2006/main" uniqueCount="88">
  <si>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FDP Form 7 - 20% Development Fund Utilization</t>
  </si>
  <si>
    <t>UTILIZATION OF THE 20%  OF THE NATIONAL TAX ALLOTMENT</t>
  </si>
  <si>
    <t>REGION: I</t>
  </si>
  <si>
    <t>CALENDAR YEAR:</t>
  </si>
  <si>
    <t>PROVINCE: PANGASINAN</t>
  </si>
  <si>
    <t>QUARTER:</t>
  </si>
  <si>
    <t>CITY/MUNICIPALITY: MUNICIPALITY OF MAPANDAN</t>
  </si>
  <si>
    <t>Program or
Project</t>
  </si>
  <si>
    <t>Location</t>
  </si>
  <si>
    <t>Total Cost</t>
  </si>
  <si>
    <t>Date Started</t>
  </si>
  <si>
    <t>Target
Completion
Date</t>
  </si>
  <si>
    <t>Project Status</t>
  </si>
  <si>
    <t>No. of
Extensions, if
any</t>
  </si>
  <si>
    <t>Remarks</t>
  </si>
  <si>
    <t>% of
Completion</t>
  </si>
  <si>
    <t>Total Cost Incurred
to Date</t>
  </si>
  <si>
    <t xml:space="preserve">Social Development
</t>
  </si>
  <si>
    <t xml:space="preserve">Econimic Development
</t>
  </si>
  <si>
    <t>LGU payment of Loan</t>
  </si>
  <si>
    <t>Mapandan, Pangasinan</t>
  </si>
  <si>
    <t>In process</t>
  </si>
  <si>
    <t>LDF-Construction of One (1) Stop Shop Building Phase 4</t>
  </si>
  <si>
    <t>Brgy. Poblacion, Mapandan</t>
  </si>
  <si>
    <t>Environmental Management</t>
  </si>
  <si>
    <t>TOTAL</t>
  </si>
  <si>
    <t>We hereby certify that we have reviewed the contents and hereby attest to the veracity and correctness of tha data or information contained in this document.</t>
  </si>
  <si>
    <t xml:space="preserve">                   ANA MARICRIS B. NATAVIO</t>
  </si>
  <si>
    <r>
      <t xml:space="preserve">                      </t>
    </r>
    <r>
      <rPr>
        <rFont val="Calibri"/>
        <b val="true"/>
        <i val="false"/>
        <strike val="false"/>
        <color rgb="FF000000"/>
        <sz val="12"/>
        <u val="none"/>
      </rPr>
      <t xml:space="preserve"> RUTH B. SOTTO , CPA</t>
    </r>
  </si>
  <si>
    <r>
      <t xml:space="preserve">                               </t>
    </r>
    <r>
      <rPr>
        <rFont val="Calibri"/>
        <b val="true"/>
        <i val="false"/>
        <strike val="false"/>
        <color rgb="FF000000"/>
        <sz val="12"/>
        <u val="none"/>
      </rPr>
      <t xml:space="preserve">HON. KARL CHRISTIAN F. VEGA</t>
    </r>
  </si>
  <si>
    <t xml:space="preserve">                         Local Budget Officer</t>
  </si>
  <si>
    <t xml:space="preserve">                       Municipal Accountant</t>
  </si>
  <si>
    <t>Local Chief Executive</t>
  </si>
  <si>
    <t>In Process</t>
  </si>
  <si>
    <t>Completed</t>
  </si>
  <si>
    <t>Construction of One (1) Stop Shop Phase 5</t>
  </si>
  <si>
    <t>Brgy. Poblacion, Mapandan.</t>
  </si>
  <si>
    <t>Not yet started</t>
  </si>
  <si>
    <t>LGU Payment of Loans</t>
  </si>
  <si>
    <t>Construction of Perimeter Fence, Backfilling and Concreting of Super Rural Health Unit's Ground Phase 2</t>
  </si>
  <si>
    <t>Brgy. Torres, Mapandan</t>
  </si>
  <si>
    <t>Rehabilitation/Improvement of Mapandan Tennis Clubhouse inside Public Plaza and Comfort Room inside Public Auditorium</t>
  </si>
  <si>
    <t>Construction of Stalls for Ambulant Vendors at Public Market</t>
  </si>
  <si>
    <t>Construction of Sewerage Treatment Plant at Public Market</t>
  </si>
  <si>
    <t>Construction of Drainage Canal along Agila Street, Brgy.  Amanoaoac</t>
  </si>
  <si>
    <t>Brgy. Amanoaoac, Mapandan</t>
  </si>
  <si>
    <t>Construction of Drainage Canal along Apayas Street, Brgy.  Apaya</t>
  </si>
  <si>
    <t>Brgy. Apaya, Mapandan</t>
  </si>
  <si>
    <t>Construction of Drainage Canal along Caimito Street Ext. , Brgy. Aserda</t>
  </si>
  <si>
    <t>Brgy. Aserda, Mapandan</t>
  </si>
  <si>
    <t>Improvement of Road Along Tibule St. Brgy. Baloling</t>
  </si>
  <si>
    <t>Brgy. Baloling, Mapandan</t>
  </si>
  <si>
    <t>Construction of Drainage Canal along Pico Avenue, Brgy. Coral</t>
  </si>
  <si>
    <t>Brgy. Coral, Mapandan</t>
  </si>
  <si>
    <t>Construction of Drainage Canal along Golden Shower Street, Brgy. Golden</t>
  </si>
  <si>
    <t>Brgy. Golden., Mapandan</t>
  </si>
  <si>
    <t>Concreting of Road Shoulder along Wag-Wag St. at Barangay Jimenez</t>
  </si>
  <si>
    <t>Brgy.Jimenez, Mapandan</t>
  </si>
  <si>
    <t xml:space="preserve">Concrete Paving of Road along Chico Street Extension, Brgy. Luyan </t>
  </si>
  <si>
    <t>Brgy. Luyan, Mapandan</t>
  </si>
  <si>
    <t>Concrete Paving of Road along Seniguelas Street, Brgy. Pias</t>
  </si>
  <si>
    <t>Brgy. Pias, Mapandan</t>
  </si>
  <si>
    <t>Construction of Drainage Canal along Cadena de Amor Street, Brgy. Poblacion</t>
  </si>
  <si>
    <t>Construction of Drainage Canal along Gondol Street, Brgy. Primicias</t>
  </si>
  <si>
    <t>Brgy. Primicias, Mapandan</t>
  </si>
  <si>
    <t>Construction of Drainage Canal along Sitio Sabangan, Brgy. Sta. Maria</t>
  </si>
  <si>
    <t>Brgy. Sta. Maria, Mapandan</t>
  </si>
  <si>
    <t>Construction of Drainage Canal along Salumague Street Ext., Brgy. Torres</t>
  </si>
  <si>
    <t xml:space="preserve">                                         Sgd</t>
  </si>
  <si>
    <t>Sgd</t>
  </si>
  <si>
    <t>Construction of Perimeter Fence, Backfilling and Concreting of Super Rural Health Unit's Ground</t>
  </si>
  <si>
    <t>COMPLETED</t>
  </si>
  <si>
    <t>Construction of Cross/Drainage Canal along Gondol Street , Primicias</t>
  </si>
  <si>
    <t>Improvement/Extension of Office for MDRRM Command Center at Brgy. Poblacion</t>
  </si>
  <si>
    <t>NOT YET PAID</t>
  </si>
  <si>
    <t>Improvement/Re-painting of Roof of the Mapandan Municipal Hall</t>
  </si>
  <si>
    <t>Re-conctruction of Drainage Canal along Pico Avenue at Brgy. Coral</t>
  </si>
  <si>
    <t>Construction of Covered Drainage Canal along Lawin Avenue at Brgy. Poblacion</t>
  </si>
  <si>
    <t>Procurement and Installation of Industrial Fan at Tulagan Multi-Purpose Gym</t>
  </si>
  <si>
    <t xml:space="preserve">Construction of Airconditioned Waiting Sched at Poblacion Mapandan </t>
  </si>
  <si>
    <t>Impro. Brgy Road/Drianage-Orchid St. Nilombot Phase 3</t>
  </si>
  <si>
    <t>Brgy.Nilombot, Mapandan</t>
  </si>
  <si>
    <t>Additional Illumination of Mapandan Town Plaza Phase 2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</si>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</sst>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3">
    <numFmt numFmtId="164" formatCode="_(* #,##0.00_);_(* \(#,##0.00\);_(* &quot;-&quot;??_);_(@_)"/>
    <numFmt numFmtId="165" formatCode="[$-409]mmmm\ d\,\ yyyy;@"/>
    <numFmt numFmtId="166" formatCode="_-* #,##0.00_-;\-* #,##0.00_-;_-* &quot;-&quot;??_-;_-@_-"/>
  </numFmts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</borders>
  <cellStyleXfs count="1">
    <xf numFmtId="0" fontId="0" fillId="0" borderId="0"/>
  </cellStyleXfs>
  <cellXfs count="7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bottom" textRotation="0" wrapText="true" shrinkToFit="false"/>
      <protection locked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7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0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>
      <alignment horizontal="left" vertical="bottom" textRotation="0" wrapText="false" shrinkToFit="false"/>
    </xf>
    <xf xfId="0" fontId="3" numFmtId="9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bottom" textRotation="0" wrapText="tru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true" shrinkToFit="false"/>
      <protection locked="false"/>
    </xf>
    <xf xfId="0" fontId="3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4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5" applyFont="1" applyNumberFormat="0" applyFill="0" applyBorder="1" applyAlignment="1">
      <alignment horizontal="center" vertical="bottom" textRotation="0" wrapText="false" shrinkToFit="false"/>
    </xf>
    <xf xfId="0" fontId="3" numFmtId="164" fillId="2" borderId="5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5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65" fillId="2" borderId="5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7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8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164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5" numFmtId="9" fillId="2" borderId="8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9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164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>
      <alignment horizontal="general" vertical="bottom" textRotation="0" wrapText="tru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general" vertical="bottom" textRotation="0" wrapText="true" shrinkToFit="false"/>
    </xf>
    <xf xfId="0" fontId="3" numFmtId="17" fillId="2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4" fillId="2" borderId="1" applyFont="1" applyNumberFormat="1" applyFill="0" applyBorder="1" applyAlignment="0">
      <alignment horizontal="general" vertical="bottom" textRotation="0" wrapText="false" shrinkToFit="false"/>
    </xf>
    <xf xfId="0" fontId="3" numFmtId="4" fillId="2" borderId="12" applyFont="1" applyNumberFormat="1" applyFill="0" applyBorder="1" applyAlignment="0">
      <alignment horizontal="general" vertical="bottom" textRotation="0" wrapText="false" shrinkToFit="false"/>
    </xf>
    <xf xfId="0" fontId="3" numFmtId="4" fillId="2" borderId="13" applyFont="1" applyNumberFormat="1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left" vertical="bottom" textRotation="0" wrapText="true" shrinkToFit="false"/>
    </xf>
    <xf xfId="0" fontId="5" numFmtId="166" fillId="2" borderId="8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14" applyFont="1" applyNumberFormat="0" applyFill="0" applyBorder="1" applyAlignment="1">
      <alignment horizontal="center" vertical="center" textRotation="0" wrapText="true" shrinkToFit="false"/>
    </xf>
    <xf xfId="0" fontId="4" numFmtId="0" fillId="2" borderId="14" applyFont="1" applyNumberFormat="0" applyFill="0" applyBorder="1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1">
      <alignment horizontal="center" vertical="bottom" textRotation="0" wrapText="false" shrinkToFit="false"/>
    </xf>
    <xf xfId="0" fontId="4" numFmtId="0" fillId="2" borderId="15" applyFont="1" applyNumberFormat="0" applyFill="0" applyBorder="1" applyAlignment="1">
      <alignment horizontal="center" vertical="center" textRotation="0" wrapText="true" shrinkToFit="false"/>
    </xf>
    <xf xfId="0" fontId="4" numFmtId="0" fillId="2" borderId="16" applyFont="1" applyNumberFormat="0" applyFill="0" applyBorder="1" applyAlignment="1">
      <alignment horizontal="center" vertical="center" textRotation="0" wrapText="true" shrinkToFit="false"/>
    </xf>
    <xf xfId="0" fontId="4" numFmtId="0" fillId="2" borderId="17" applyFont="1" applyNumberFormat="0" applyFill="0" applyBorder="1" applyAlignment="1">
      <alignment horizontal="center" vertical="center" textRotation="0" wrapText="false" shrinkToFit="false"/>
    </xf>
    <xf xfId="0" fontId="4" numFmtId="0" fillId="2" borderId="17" applyFont="1" applyNumberFormat="0" applyFill="0" applyBorder="1" applyAlignment="1">
      <alignment horizontal="center" vertical="center" textRotation="0" wrapText="true" shrinkToFit="false"/>
    </xf>
    <xf xfId="0" fontId="4" numFmtId="0" fillId="2" borderId="18" applyFont="1" applyNumberFormat="0" applyFill="0" applyBorder="1" applyAlignment="1">
      <alignment horizontal="center" vertical="center" textRotation="0" wrapText="false" shrinkToFit="false"/>
    </xf>
    <xf xfId="0" fontId="4" numFmtId="0" fillId="2" borderId="19" applyFont="1" applyNumberFormat="0" applyFill="0" applyBorder="1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8" numFmtId="0" fillId="2" borderId="0" applyFont="1" applyNumberFormat="0" applyFill="0" applyBorder="0" applyAlignment="1" applyProtection="true">
      <alignment horizontal="right" vertical="bottom" textRotation="0" wrapText="false" shrinkToFit="false"/>
      <protection locked="false"/>
    </xf>
    <xf xfId="0" fontId="8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24</xdr:row>
      <xdr:rowOff>7471</xdr:rowOff>
    </xdr:from>
    <xdr:to>
      <xdr:col>0</xdr:col>
      <xdr:colOff>2935942</xdr:colOff>
      <xdr:row>24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AE109E06-C3E4-43D8-9F80-E49903C91D57}"/>
            </a:ext>
          </a:extLst>
        </xdr:cNvPr>
        <xdr:cNvCxnSpPr/>
      </xdr:nvCxnSpPr>
      <xdr:spPr>
        <a:xfrm>
          <a:off x="358589" y="73226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24</xdr:row>
      <xdr:rowOff>6349</xdr:rowOff>
    </xdr:from>
    <xdr:to>
      <xdr:col>7</xdr:col>
      <xdr:colOff>38660</xdr:colOff>
      <xdr:row>24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64EDFB03-1723-442F-AE47-66AD1E3C3E46}"/>
            </a:ext>
          </a:extLst>
        </xdr:cNvPr>
        <xdr:cNvCxnSpPr/>
      </xdr:nvCxnSpPr>
      <xdr:spPr>
        <a:xfrm>
          <a:off x="9481110" y="73215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276412</xdr:colOff>
      <xdr:row>24</xdr:row>
      <xdr:rowOff>1</xdr:rowOff>
    </xdr:from>
    <xdr:to>
      <xdr:col>2</xdr:col>
      <xdr:colOff>1016001</xdr:colOff>
      <xdr:row>24</xdr:row>
      <xdr:rowOff>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98A9D37E-415C-4A6D-BF9C-ADD07D89813A}"/>
            </a:ext>
          </a:extLst>
        </xdr:cNvPr>
        <xdr:cNvCxnSpPr/>
      </xdr:nvCxnSpPr>
      <xdr:spPr>
        <a:xfrm>
          <a:off x="5124637" y="73152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24</xdr:row>
      <xdr:rowOff>7471</xdr:rowOff>
    </xdr:from>
    <xdr:to>
      <xdr:col>0</xdr:col>
      <xdr:colOff>2935942</xdr:colOff>
      <xdr:row>24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246F7949-A995-46FE-AD27-D0AF497F7553}"/>
            </a:ext>
          </a:extLst>
        </xdr:cNvPr>
        <xdr:cNvCxnSpPr/>
      </xdr:nvCxnSpPr>
      <xdr:spPr>
        <a:xfrm>
          <a:off x="358589" y="49223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24</xdr:row>
      <xdr:rowOff>6349</xdr:rowOff>
    </xdr:from>
    <xdr:to>
      <xdr:col>7</xdr:col>
      <xdr:colOff>38660</xdr:colOff>
      <xdr:row>24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6A9CBB47-140C-4D25-9030-119684B62EAF}"/>
            </a:ext>
          </a:extLst>
        </xdr:cNvPr>
        <xdr:cNvCxnSpPr/>
      </xdr:nvCxnSpPr>
      <xdr:spPr>
        <a:xfrm>
          <a:off x="9481110" y="49212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276412</xdr:colOff>
      <xdr:row>24</xdr:row>
      <xdr:rowOff>1</xdr:rowOff>
    </xdr:from>
    <xdr:to>
      <xdr:col>2</xdr:col>
      <xdr:colOff>1016001</xdr:colOff>
      <xdr:row>24</xdr:row>
      <xdr:rowOff>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D7771261-9E37-43D4-8B7B-20D9CBEF7B81}"/>
            </a:ext>
          </a:extLst>
        </xdr:cNvPr>
        <xdr:cNvCxnSpPr/>
      </xdr:nvCxnSpPr>
      <xdr:spPr>
        <a:xfrm>
          <a:off x="5124637" y="49149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24</xdr:row>
      <xdr:rowOff>7471</xdr:rowOff>
    </xdr:from>
    <xdr:to>
      <xdr:col>0</xdr:col>
      <xdr:colOff>2935942</xdr:colOff>
      <xdr:row>24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BDF0BE9E-C720-447A-AF0E-5BC6ED961C11}"/>
            </a:ext>
          </a:extLst>
        </xdr:cNvPr>
        <xdr:cNvCxnSpPr/>
      </xdr:nvCxnSpPr>
      <xdr:spPr>
        <a:xfrm>
          <a:off x="358589" y="49223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24</xdr:row>
      <xdr:rowOff>6349</xdr:rowOff>
    </xdr:from>
    <xdr:to>
      <xdr:col>7</xdr:col>
      <xdr:colOff>38660</xdr:colOff>
      <xdr:row>24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2F92E014-03BC-45AE-8474-34644EAFE533}"/>
            </a:ext>
          </a:extLst>
        </xdr:cNvPr>
        <xdr:cNvCxnSpPr/>
      </xdr:nvCxnSpPr>
      <xdr:spPr>
        <a:xfrm>
          <a:off x="9481110" y="49212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276412</xdr:colOff>
      <xdr:row>24</xdr:row>
      <xdr:rowOff>1</xdr:rowOff>
    </xdr:from>
    <xdr:to>
      <xdr:col>2</xdr:col>
      <xdr:colOff>1016001</xdr:colOff>
      <xdr:row>24</xdr:row>
      <xdr:rowOff>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C575BDE3-C5A6-4F22-8E12-3A1D85687814}"/>
            </a:ext>
          </a:extLst>
        </xdr:cNvPr>
        <xdr:cNvCxnSpPr/>
      </xdr:nvCxnSpPr>
      <xdr:spPr>
        <a:xfrm>
          <a:off x="5124637" y="49149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40</xdr:row>
      <xdr:rowOff>7471</xdr:rowOff>
    </xdr:from>
    <xdr:to>
      <xdr:col>0</xdr:col>
      <xdr:colOff>2935942</xdr:colOff>
      <xdr:row>40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B9A53568-0A7D-4A97-88EE-B0F2463728D4}"/>
            </a:ext>
          </a:extLst>
        </xdr:cNvPr>
        <xdr:cNvCxnSpPr/>
      </xdr:nvCxnSpPr>
      <xdr:spPr>
        <a:xfrm>
          <a:off x="358589" y="49223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40</xdr:row>
      <xdr:rowOff>6349</xdr:rowOff>
    </xdr:from>
    <xdr:to>
      <xdr:col>7</xdr:col>
      <xdr:colOff>38660</xdr:colOff>
      <xdr:row>40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48B4B068-7CAC-4A82-9C12-1BAA48C5725B}"/>
            </a:ext>
          </a:extLst>
        </xdr:cNvPr>
        <xdr:cNvCxnSpPr/>
      </xdr:nvCxnSpPr>
      <xdr:spPr>
        <a:xfrm>
          <a:off x="9481110" y="49212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276412</xdr:colOff>
      <xdr:row>40</xdr:row>
      <xdr:rowOff>1</xdr:rowOff>
    </xdr:from>
    <xdr:to>
      <xdr:col>2</xdr:col>
      <xdr:colOff>1016001</xdr:colOff>
      <xdr:row>40</xdr:row>
      <xdr:rowOff>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1BCC25CC-133B-464D-906D-8CABD7F3A7CC}"/>
            </a:ext>
          </a:extLst>
        </xdr:cNvPr>
        <xdr:cNvCxnSpPr/>
      </xdr:nvCxnSpPr>
      <xdr:spPr>
        <a:xfrm>
          <a:off x="5124637" y="49149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33</xdr:row>
      <xdr:rowOff>7471</xdr:rowOff>
    </xdr:from>
    <xdr:to>
      <xdr:col>0</xdr:col>
      <xdr:colOff>2935942</xdr:colOff>
      <xdr:row>33</xdr:row>
      <xdr:rowOff>7471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5350AE94-9E73-42E1-900C-1830FDFE1ED2}"/>
            </a:ext>
          </a:extLst>
        </xdr:cNvPr>
        <xdr:cNvCxnSpPr/>
      </xdr:nvCxnSpPr>
      <xdr:spPr>
        <a:xfrm>
          <a:off x="358589" y="73226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33</xdr:row>
      <xdr:rowOff>6349</xdr:rowOff>
    </xdr:from>
    <xdr:to>
      <xdr:col>7</xdr:col>
      <xdr:colOff>38660</xdr:colOff>
      <xdr:row>33</xdr:row>
      <xdr:rowOff>6349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8DA7E057-06AE-42E0-AB87-8B75AC7F28B9}"/>
            </a:ext>
          </a:extLst>
        </xdr:cNvPr>
        <xdr:cNvCxnSpPr/>
      </xdr:nvCxnSpPr>
      <xdr:spPr>
        <a:xfrm>
          <a:off x="9481110" y="7321549"/>
          <a:ext cx="270192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481854</xdr:colOff>
      <xdr:row>31</xdr:row>
      <xdr:rowOff>91109</xdr:rowOff>
    </xdr:from>
    <xdr:to>
      <xdr:col>0</xdr:col>
      <xdr:colOff>2459935</xdr:colOff>
      <xdr:row>32</xdr:row>
      <xdr:rowOff>164353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B5C1EE07-5AFC-4073-A1A0-C86989678146}"/>
            </a:ext>
          </a:extLst>
        </xdr:cNvPr>
        <xdr:cNvSpPr txBox="1"/>
      </xdr:nvSpPr>
      <xdr:spPr>
        <a:xfrm>
          <a:off x="481854" y="7006259"/>
          <a:ext cx="1978081" cy="27326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ANA MARICRIS B. NATAVIO</a:t>
          </a:r>
        </a:p>
      </xdr:txBody>
    </xdr:sp>
    <xdr:clientData/>
  </xdr:twoCellAnchor>
  <xdr:twoCellAnchor>
    <xdr:from>
      <xdr:col>4</xdr:col>
      <xdr:colOff>877793</xdr:colOff>
      <xdr:row>31</xdr:row>
      <xdr:rowOff>74706</xdr:rowOff>
    </xdr:from>
    <xdr:to>
      <xdr:col>6</xdr:col>
      <xdr:colOff>1008530</xdr:colOff>
      <xdr:row>32</xdr:row>
      <xdr:rowOff>171823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2DA6E23F-BA1A-49C4-BFE1-670EF4859A35}"/>
            </a:ext>
          </a:extLst>
        </xdr:cNvPr>
        <xdr:cNvSpPr txBox="1"/>
      </xdr:nvSpPr>
      <xdr:spPr>
        <a:xfrm>
          <a:off x="9745568" y="6989856"/>
          <a:ext cx="2302437" cy="2971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HON. KARL CHRISTIAN F. VEGA</a:t>
          </a:r>
        </a:p>
      </xdr:txBody>
    </xdr:sp>
    <xdr:clientData/>
  </xdr:twoCellAnchor>
  <xdr:twoCellAnchor>
    <xdr:from>
      <xdr:col>1</xdr:col>
      <xdr:colOff>948765</xdr:colOff>
      <xdr:row>31</xdr:row>
      <xdr:rowOff>82178</xdr:rowOff>
    </xdr:from>
    <xdr:to>
      <xdr:col>2</xdr:col>
      <xdr:colOff>470647</xdr:colOff>
      <xdr:row>32</xdr:row>
      <xdr:rowOff>171824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285C4ED6-C958-45C8-BEAA-E55E7D7723E4}"/>
            </a:ext>
          </a:extLst>
        </xdr:cNvPr>
        <xdr:cNvSpPr txBox="1"/>
      </xdr:nvSpPr>
      <xdr:spPr>
        <a:xfrm>
          <a:off x="5796990" y="6997328"/>
          <a:ext cx="1217332" cy="2896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RUTH</a:t>
          </a:r>
          <a:r>
            <a:rPr lang="en-US" sz="1200" b="1" baseline="0"/>
            <a:t> B. SOTTO</a:t>
          </a:r>
          <a:endParaRPr lang="en-US" sz="1200" b="1"/>
        </a:p>
      </xdr:txBody>
    </xdr:sp>
    <xdr:clientData/>
  </xdr:twoCellAnchor>
  <xdr:twoCellAnchor>
    <xdr:from>
      <xdr:col>1</xdr:col>
      <xdr:colOff>276412</xdr:colOff>
      <xdr:row>33</xdr:row>
      <xdr:rowOff>1</xdr:rowOff>
    </xdr:from>
    <xdr:to>
      <xdr:col>2</xdr:col>
      <xdr:colOff>1016001</xdr:colOff>
      <xdr:row>33</xdr:row>
      <xdr:rowOff>1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xmlns="" id="{B59A2AD9-52CE-4DCD-9ACA-0164CAF5B626}"/>
            </a:ext>
          </a:extLst>
        </xdr:cNvPr>
        <xdr:cNvCxnSpPr/>
      </xdr:nvCxnSpPr>
      <xdr:spPr>
        <a:xfrm>
          <a:off x="5124637" y="7315201"/>
          <a:ext cx="2435039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25"/>
  <sheetViews>
    <sheetView tabSelected="0" workbookViewId="0" zoomScale="115" zoomScaleNormal="115" showGridLines="true" showRowColHeaders="1">
      <selection activeCell="E7" sqref="E7"/>
    </sheetView>
  </sheetViews>
  <sheetFormatPr defaultRowHeight="14.4" defaultColWidth="9.109375" outlineLevelRow="0" outlineLevelCol="0"/>
  <cols>
    <col min="1" max="1" width="72.6640625" customWidth="true" style="5"/>
    <col min="2" max="2" width="25.44140625" customWidth="true" style="5"/>
    <col min="3" max="3" width="19" customWidth="true" style="5"/>
    <col min="4" max="4" width="15.88671875" customWidth="true" style="5"/>
    <col min="5" max="5" width="19.6640625" customWidth="true" style="5"/>
    <col min="6" max="6" width="12.88671875" customWidth="true" style="5"/>
    <col min="7" max="7" width="16.5546875" customWidth="true" style="5"/>
    <col min="8" max="8" width="7" customWidth="true" style="5"/>
    <col min="9" max="9" width="20.109375" customWidth="true" style="5"/>
    <col min="10" max="10" width="15.6640625" customWidth="true" style="5"/>
    <col min="11" max="11" width="8.88671875" customWidth="true" style="5"/>
    <col min="12" max="12" width="9.10937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63" t="s">
        <v>1</v>
      </c>
      <c r="B3" s="63"/>
      <c r="C3" s="63"/>
      <c r="D3" s="63"/>
      <c r="E3" s="63"/>
      <c r="F3" s="63"/>
      <c r="G3" s="63"/>
      <c r="H3" s="63"/>
      <c r="I3" s="6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2025</v>
      </c>
    </row>
    <row r="6" spans="1:12">
      <c r="A6" s="13" t="s">
        <v>4</v>
      </c>
      <c r="B6" s="11"/>
      <c r="C6" s="12"/>
      <c r="D6" s="17" t="s">
        <v>5</v>
      </c>
      <c r="E6" s="15">
        <v>2</v>
      </c>
    </row>
    <row r="7" spans="1:12">
      <c r="A7" s="13" t="s">
        <v>6</v>
      </c>
      <c r="D7" s="13"/>
    </row>
    <row r="8" spans="1:12" customHeight="1" ht="16.2">
      <c r="A8" s="8"/>
    </row>
    <row r="9" spans="1:12">
      <c r="A9" s="64" t="s">
        <v>7</v>
      </c>
      <c r="B9" s="66" t="s">
        <v>8</v>
      </c>
      <c r="C9" s="66" t="s">
        <v>9</v>
      </c>
      <c r="D9" s="66" t="s">
        <v>10</v>
      </c>
      <c r="E9" s="67" t="s">
        <v>11</v>
      </c>
      <c r="F9" s="66" t="s">
        <v>12</v>
      </c>
      <c r="G9" s="66"/>
      <c r="H9" s="67" t="s">
        <v>13</v>
      </c>
      <c r="I9" s="68" t="s">
        <v>14</v>
      </c>
    </row>
    <row r="10" spans="1:12">
      <c r="A10" s="65"/>
      <c r="B10" s="62"/>
      <c r="C10" s="62"/>
      <c r="D10" s="62"/>
      <c r="E10" s="62"/>
      <c r="F10" s="61" t="s">
        <v>15</v>
      </c>
      <c r="G10" s="61" t="s">
        <v>16</v>
      </c>
      <c r="H10" s="62"/>
      <c r="I10" s="69"/>
    </row>
    <row r="11" spans="1:12">
      <c r="A11" s="65"/>
      <c r="B11" s="62"/>
      <c r="C11" s="62"/>
      <c r="D11" s="62"/>
      <c r="E11" s="62"/>
      <c r="F11" s="62"/>
      <c r="G11" s="62"/>
      <c r="H11" s="62"/>
      <c r="I11" s="6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>
      <c r="A14" s="35" t="s">
        <v>19</v>
      </c>
      <c r="B14" s="25" t="s">
        <v>20</v>
      </c>
      <c r="C14" s="19">
        <v>25958787.24</v>
      </c>
      <c r="D14" s="20">
        <v>45658</v>
      </c>
      <c r="E14" s="20">
        <v>45992</v>
      </c>
      <c r="F14" s="26">
        <f>G14/C14</f>
        <v>0.43919224710283</v>
      </c>
      <c r="G14" s="23">
        <v>11400898.1</v>
      </c>
      <c r="H14" s="24"/>
      <c r="I14" s="32" t="s">
        <v>21</v>
      </c>
    </row>
    <row r="15" spans="1:12" customHeight="1" ht="15.6">
      <c r="A15" s="36" t="s">
        <v>22</v>
      </c>
      <c r="B15" s="18" t="s">
        <v>23</v>
      </c>
      <c r="C15" s="27">
        <v>8500000</v>
      </c>
      <c r="D15" s="20">
        <v>45658</v>
      </c>
      <c r="E15" s="20">
        <v>45855</v>
      </c>
      <c r="F15" s="26">
        <f>G15/C15</f>
        <v>0.66156446705882</v>
      </c>
      <c r="G15" s="23">
        <v>5623297.97</v>
      </c>
      <c r="H15" s="28"/>
      <c r="I15" s="32" t="s">
        <v>21</v>
      </c>
    </row>
    <row r="16" spans="1:12" customHeight="1" ht="15.6">
      <c r="A16" s="36"/>
      <c r="B16" s="18"/>
      <c r="C16" s="27"/>
      <c r="D16" s="20"/>
      <c r="E16" s="21"/>
      <c r="F16" s="22"/>
      <c r="G16" s="23"/>
      <c r="H16" s="28"/>
      <c r="I16" s="32"/>
    </row>
    <row r="17" spans="1:12" customHeight="1" ht="16.2">
      <c r="A17" s="37" t="s">
        <v>24</v>
      </c>
      <c r="B17" s="38"/>
      <c r="C17" s="39"/>
      <c r="D17" s="40"/>
      <c r="E17" s="41"/>
      <c r="F17" s="40"/>
      <c r="G17" s="40"/>
      <c r="H17" s="40"/>
      <c r="I17" s="42"/>
    </row>
    <row r="18" spans="1:12" customHeight="1" ht="18.6" s="49" customFormat="1">
      <c r="A18" s="43" t="s">
        <v>25</v>
      </c>
      <c r="B18" s="44"/>
      <c r="C18" s="45">
        <f>SUM(C12:C17)</f>
        <v>34458787.24</v>
      </c>
      <c r="D18" s="44"/>
      <c r="E18" s="44"/>
      <c r="F18" s="46">
        <f>G18/C18</f>
        <v>0.49404513140376</v>
      </c>
      <c r="G18" s="50">
        <f>SUM(G14:G17)</f>
        <v>17024196.07</v>
      </c>
      <c r="H18" s="44"/>
      <c r="I18" s="47"/>
      <c r="J18" s="48"/>
      <c r="K18" s="48"/>
    </row>
    <row r="20" spans="1:12">
      <c r="A20" s="5" t="s">
        <v>26</v>
      </c>
    </row>
    <row r="24" spans="1:12" s="5" customFormat="1">
      <c r="A24" s="8" t="s">
        <v>27</v>
      </c>
      <c r="B24" s="5" t="s">
        <v>28</v>
      </c>
      <c r="E24" s="5" t="s">
        <v>29</v>
      </c>
    </row>
    <row r="25" spans="1:12" s="5" customFormat="1">
      <c r="A25" s="16" t="s">
        <v>30</v>
      </c>
      <c r="B25" s="16" t="s">
        <v>31</v>
      </c>
      <c r="F25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25"/>
  <sheetViews>
    <sheetView tabSelected="0" workbookViewId="0" zoomScale="115" zoomScaleNormal="115" showGridLines="true" showRowColHeaders="1">
      <selection activeCell="A19" sqref="A19"/>
    </sheetView>
  </sheetViews>
  <sheetFormatPr defaultRowHeight="14.4" defaultColWidth="9.109375" outlineLevelRow="0" outlineLevelCol="0"/>
  <cols>
    <col min="1" max="1" width="72.6640625" customWidth="true" style="5"/>
    <col min="2" max="2" width="25.44140625" customWidth="true" style="5"/>
    <col min="3" max="3" width="19" customWidth="true" style="5"/>
    <col min="4" max="4" width="15.88671875" customWidth="true" style="5"/>
    <col min="5" max="5" width="19.6640625" customWidth="true" style="5"/>
    <col min="6" max="6" width="12.88671875" customWidth="true" style="5"/>
    <col min="7" max="7" width="16.5546875" customWidth="true" style="5"/>
    <col min="8" max="8" width="7" customWidth="true" style="5"/>
    <col min="9" max="9" width="20.109375" customWidth="true" style="5"/>
    <col min="10" max="10" width="15.6640625" customWidth="true" style="5"/>
    <col min="11" max="11" width="8.88671875" customWidth="true" style="5"/>
    <col min="12" max="12" width="9.10937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63" t="s">
        <v>1</v>
      </c>
      <c r="B3" s="63"/>
      <c r="C3" s="63"/>
      <c r="D3" s="63"/>
      <c r="E3" s="63"/>
      <c r="F3" s="63"/>
      <c r="G3" s="63"/>
      <c r="H3" s="63"/>
      <c r="I3" s="6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2025</v>
      </c>
    </row>
    <row r="6" spans="1:12">
      <c r="A6" s="13" t="s">
        <v>4</v>
      </c>
      <c r="B6" s="11"/>
      <c r="C6" s="12"/>
      <c r="D6" s="17" t="s">
        <v>5</v>
      </c>
      <c r="E6" s="15">
        <v>3</v>
      </c>
    </row>
    <row r="7" spans="1:12">
      <c r="A7" s="13" t="s">
        <v>6</v>
      </c>
      <c r="D7" s="13"/>
    </row>
    <row r="8" spans="1:12" customHeight="1" ht="16.2">
      <c r="A8" s="8"/>
    </row>
    <row r="9" spans="1:12">
      <c r="A9" s="64" t="s">
        <v>7</v>
      </c>
      <c r="B9" s="66" t="s">
        <v>8</v>
      </c>
      <c r="C9" s="66" t="s">
        <v>9</v>
      </c>
      <c r="D9" s="66" t="s">
        <v>10</v>
      </c>
      <c r="E9" s="67" t="s">
        <v>11</v>
      </c>
      <c r="F9" s="66" t="s">
        <v>12</v>
      </c>
      <c r="G9" s="66"/>
      <c r="H9" s="67" t="s">
        <v>13</v>
      </c>
      <c r="I9" s="68" t="s">
        <v>14</v>
      </c>
    </row>
    <row r="10" spans="1:12">
      <c r="A10" s="65"/>
      <c r="B10" s="62"/>
      <c r="C10" s="62"/>
      <c r="D10" s="62"/>
      <c r="E10" s="62"/>
      <c r="F10" s="61" t="s">
        <v>15</v>
      </c>
      <c r="G10" s="61" t="s">
        <v>16</v>
      </c>
      <c r="H10" s="62"/>
      <c r="I10" s="69"/>
    </row>
    <row r="11" spans="1:12">
      <c r="A11" s="65"/>
      <c r="B11" s="62"/>
      <c r="C11" s="62"/>
      <c r="D11" s="62"/>
      <c r="E11" s="62"/>
      <c r="F11" s="62"/>
      <c r="G11" s="62"/>
      <c r="H11" s="62"/>
      <c r="I11" s="6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>
      <c r="A14" s="35" t="s">
        <v>19</v>
      </c>
      <c r="B14" s="25" t="s">
        <v>20</v>
      </c>
      <c r="C14" s="19">
        <v>25958787.24</v>
      </c>
      <c r="D14" s="20">
        <v>45658</v>
      </c>
      <c r="E14" s="20">
        <v>45992</v>
      </c>
      <c r="F14" s="26">
        <f>G14/C14</f>
        <v>0.68394049867793</v>
      </c>
      <c r="G14" s="23">
        <v>17754265.89</v>
      </c>
      <c r="H14" s="24"/>
      <c r="I14" s="32" t="s">
        <v>33</v>
      </c>
    </row>
    <row r="15" spans="1:12" customHeight="1" ht="15.6">
      <c r="A15" s="36" t="s">
        <v>22</v>
      </c>
      <c r="B15" s="18" t="s">
        <v>23</v>
      </c>
      <c r="C15" s="27">
        <v>8500000</v>
      </c>
      <c r="D15" s="20">
        <v>45658</v>
      </c>
      <c r="E15" s="20">
        <v>45855</v>
      </c>
      <c r="F15" s="26">
        <v>1</v>
      </c>
      <c r="G15" s="23">
        <v>8497315.18</v>
      </c>
      <c r="H15" s="28"/>
      <c r="I15" s="32" t="s">
        <v>34</v>
      </c>
    </row>
    <row r="16" spans="1:12" customHeight="1" ht="15.6">
      <c r="A16" s="36"/>
      <c r="B16" s="18"/>
      <c r="C16" s="27"/>
      <c r="D16" s="20"/>
      <c r="E16" s="21"/>
      <c r="F16" s="22"/>
      <c r="G16" s="23"/>
      <c r="H16" s="28"/>
      <c r="I16" s="32"/>
    </row>
    <row r="17" spans="1:12" customHeight="1" ht="16.2">
      <c r="A17" s="37" t="s">
        <v>24</v>
      </c>
      <c r="B17" s="38"/>
      <c r="C17" s="39"/>
      <c r="D17" s="40"/>
      <c r="E17" s="41"/>
      <c r="F17" s="40"/>
      <c r="G17" s="40"/>
      <c r="H17" s="40"/>
      <c r="I17" s="42"/>
    </row>
    <row r="18" spans="1:12" customHeight="1" ht="18.6" s="49" customFormat="1">
      <c r="A18" s="43" t="s">
        <v>25</v>
      </c>
      <c r="B18" s="44"/>
      <c r="C18" s="45">
        <f>SUM(C12:C17)</f>
        <v>34458787.24</v>
      </c>
      <c r="D18" s="44"/>
      <c r="E18" s="44"/>
      <c r="F18" s="46">
        <f>G18/C18</f>
        <v>0.76182544925803</v>
      </c>
      <c r="G18" s="50">
        <f>SUM(G14:G17)</f>
        <v>26251581.07</v>
      </c>
      <c r="H18" s="44"/>
      <c r="I18" s="47"/>
      <c r="J18" s="48"/>
      <c r="K18" s="48"/>
    </row>
    <row r="20" spans="1:12">
      <c r="A20" s="5" t="s">
        <v>26</v>
      </c>
    </row>
    <row r="24" spans="1:12" s="5" customFormat="1">
      <c r="A24" s="8" t="s">
        <v>27</v>
      </c>
      <c r="B24" s="5" t="s">
        <v>28</v>
      </c>
      <c r="E24" s="5" t="s">
        <v>29</v>
      </c>
    </row>
    <row r="25" spans="1:12" s="5" customFormat="1">
      <c r="A25" s="16" t="s">
        <v>30</v>
      </c>
      <c r="B25" s="16" t="s">
        <v>31</v>
      </c>
      <c r="F25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25"/>
  <sheetViews>
    <sheetView tabSelected="0" workbookViewId="0" zoomScale="115" zoomScaleNormal="115" showGridLines="true" showRowColHeaders="1">
      <selection activeCell="E20" sqref="E20"/>
    </sheetView>
  </sheetViews>
  <sheetFormatPr defaultRowHeight="14.4" defaultColWidth="9.109375" outlineLevelRow="0" outlineLevelCol="0"/>
  <cols>
    <col min="1" max="1" width="72.6640625" customWidth="true" style="5"/>
    <col min="2" max="2" width="25.44140625" customWidth="true" style="5"/>
    <col min="3" max="3" width="19" customWidth="true" style="5"/>
    <col min="4" max="4" width="15.88671875" customWidth="true" style="5"/>
    <col min="5" max="5" width="19.6640625" customWidth="true" style="5"/>
    <col min="6" max="6" width="12.88671875" customWidth="true" style="5"/>
    <col min="7" max="7" width="16.5546875" customWidth="true" style="5"/>
    <col min="8" max="8" width="7" customWidth="true" style="5"/>
    <col min="9" max="9" width="20.109375" customWidth="true" style="5"/>
    <col min="10" max="10" width="15.6640625" customWidth="true" style="5"/>
    <col min="11" max="11" width="8.88671875" customWidth="true" style="5"/>
    <col min="12" max="12" width="9.10937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63" t="s">
        <v>1</v>
      </c>
      <c r="B3" s="63"/>
      <c r="C3" s="63"/>
      <c r="D3" s="63"/>
      <c r="E3" s="63"/>
      <c r="F3" s="63"/>
      <c r="G3" s="63"/>
      <c r="H3" s="63"/>
      <c r="I3" s="6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2025</v>
      </c>
    </row>
    <row r="6" spans="1:12">
      <c r="A6" s="13" t="s">
        <v>4</v>
      </c>
      <c r="B6" s="11"/>
      <c r="C6" s="12"/>
      <c r="D6" s="17" t="s">
        <v>5</v>
      </c>
      <c r="E6" s="15">
        <v>4</v>
      </c>
    </row>
    <row r="7" spans="1:12">
      <c r="A7" s="13" t="s">
        <v>6</v>
      </c>
      <c r="D7" s="13"/>
    </row>
    <row r="8" spans="1:12" customHeight="1" ht="16.2">
      <c r="A8" s="8"/>
    </row>
    <row r="9" spans="1:12">
      <c r="A9" s="64" t="s">
        <v>7</v>
      </c>
      <c r="B9" s="66" t="s">
        <v>8</v>
      </c>
      <c r="C9" s="66" t="s">
        <v>9</v>
      </c>
      <c r="D9" s="66" t="s">
        <v>10</v>
      </c>
      <c r="E9" s="67" t="s">
        <v>11</v>
      </c>
      <c r="F9" s="66" t="s">
        <v>12</v>
      </c>
      <c r="G9" s="66"/>
      <c r="H9" s="67" t="s">
        <v>13</v>
      </c>
      <c r="I9" s="68" t="s">
        <v>14</v>
      </c>
    </row>
    <row r="10" spans="1:12">
      <c r="A10" s="65"/>
      <c r="B10" s="62"/>
      <c r="C10" s="62"/>
      <c r="D10" s="62"/>
      <c r="E10" s="62"/>
      <c r="F10" s="61" t="s">
        <v>15</v>
      </c>
      <c r="G10" s="61" t="s">
        <v>16</v>
      </c>
      <c r="H10" s="62"/>
      <c r="I10" s="69"/>
    </row>
    <row r="11" spans="1:12">
      <c r="A11" s="65"/>
      <c r="B11" s="62"/>
      <c r="C11" s="62"/>
      <c r="D11" s="62"/>
      <c r="E11" s="62"/>
      <c r="F11" s="62"/>
      <c r="G11" s="62"/>
      <c r="H11" s="62"/>
      <c r="I11" s="6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>
      <c r="A14" s="35" t="s">
        <v>19</v>
      </c>
      <c r="B14" s="25" t="s">
        <v>20</v>
      </c>
      <c r="C14" s="19">
        <v>25958787.24</v>
      </c>
      <c r="D14" s="20">
        <v>45658</v>
      </c>
      <c r="E14" s="20">
        <v>45992</v>
      </c>
      <c r="F14" s="26">
        <v>1</v>
      </c>
      <c r="G14" s="23">
        <v>24022083.98</v>
      </c>
      <c r="H14" s="24"/>
      <c r="I14" s="32" t="s">
        <v>34</v>
      </c>
    </row>
    <row r="15" spans="1:12" customHeight="1" ht="15.6">
      <c r="A15" s="36" t="s">
        <v>22</v>
      </c>
      <c r="B15" s="18" t="s">
        <v>23</v>
      </c>
      <c r="C15" s="27">
        <v>8500000</v>
      </c>
      <c r="D15" s="20">
        <v>45658</v>
      </c>
      <c r="E15" s="20">
        <v>45855</v>
      </c>
      <c r="F15" s="26">
        <v>1</v>
      </c>
      <c r="G15" s="23">
        <v>8497315.18</v>
      </c>
      <c r="H15" s="28"/>
      <c r="I15" s="32" t="s">
        <v>34</v>
      </c>
    </row>
    <row r="16" spans="1:12" customHeight="1" ht="15.6">
      <c r="A16" s="36"/>
      <c r="B16" s="18"/>
      <c r="C16" s="27"/>
      <c r="D16" s="20"/>
      <c r="E16" s="21"/>
      <c r="F16" s="22"/>
      <c r="G16" s="23"/>
      <c r="H16" s="28"/>
      <c r="I16" s="32"/>
    </row>
    <row r="17" spans="1:12" customHeight="1" ht="16.2">
      <c r="A17" s="37" t="s">
        <v>24</v>
      </c>
      <c r="B17" s="38"/>
      <c r="C17" s="39"/>
      <c r="D17" s="40"/>
      <c r="E17" s="41"/>
      <c r="F17" s="40"/>
      <c r="G17" s="40"/>
      <c r="H17" s="40"/>
      <c r="I17" s="42"/>
    </row>
    <row r="18" spans="1:12" customHeight="1" ht="18.6" s="49" customFormat="1">
      <c r="A18" s="43" t="s">
        <v>25</v>
      </c>
      <c r="B18" s="44"/>
      <c r="C18" s="45">
        <f>SUM(C12:C17)</f>
        <v>34458787.24</v>
      </c>
      <c r="D18" s="44"/>
      <c r="E18" s="44"/>
      <c r="F18" s="46">
        <v>1</v>
      </c>
      <c r="G18" s="50">
        <f>SUM(G14:G17)</f>
        <v>32519399.16</v>
      </c>
      <c r="H18" s="44"/>
      <c r="I18" s="47"/>
      <c r="J18" s="48"/>
      <c r="K18" s="48"/>
    </row>
    <row r="20" spans="1:12">
      <c r="A20" s="5" t="s">
        <v>26</v>
      </c>
    </row>
    <row r="24" spans="1:12" s="5" customFormat="1">
      <c r="A24" s="8" t="s">
        <v>27</v>
      </c>
      <c r="B24" s="5" t="s">
        <v>28</v>
      </c>
      <c r="E24" s="5" t="s">
        <v>29</v>
      </c>
    </row>
    <row r="25" spans="1:12" s="5" customFormat="1">
      <c r="A25" s="16" t="s">
        <v>30</v>
      </c>
      <c r="B25" s="16" t="s">
        <v>31</v>
      </c>
      <c r="F25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41"/>
  <sheetViews>
    <sheetView tabSelected="0" workbookViewId="0" showGridLines="true" showRowColHeaders="1">
      <selection activeCell="A41" sqref="A41"/>
    </sheetView>
  </sheetViews>
  <sheetFormatPr defaultRowHeight="14.4" defaultColWidth="9.109375" outlineLevelRow="0" outlineLevelCol="0"/>
  <cols>
    <col min="1" max="1" width="72.6640625" customWidth="true" style="5"/>
    <col min="2" max="2" width="26.109375" customWidth="true" style="5"/>
    <col min="3" max="3" width="19" customWidth="true" style="5"/>
    <col min="4" max="4" width="18" customWidth="true" style="5"/>
    <col min="5" max="5" width="19.6640625" customWidth="true" style="5"/>
    <col min="6" max="6" width="12.88671875" customWidth="true" style="5"/>
    <col min="7" max="7" width="16.5546875" customWidth="true" style="5"/>
    <col min="8" max="8" width="7" customWidth="true" style="5"/>
    <col min="9" max="9" width="20.109375" customWidth="true" style="5"/>
    <col min="10" max="10" width="15.6640625" customWidth="true" style="5"/>
    <col min="11" max="11" width="8.88671875" customWidth="true" style="5"/>
    <col min="12" max="12" width="9.10937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63" t="s">
        <v>1</v>
      </c>
      <c r="B3" s="63"/>
      <c r="C3" s="63"/>
      <c r="D3" s="63"/>
      <c r="E3" s="63"/>
      <c r="F3" s="63"/>
      <c r="G3" s="63"/>
      <c r="H3" s="63"/>
      <c r="I3" s="6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2026</v>
      </c>
    </row>
    <row r="6" spans="1:12">
      <c r="A6" s="13" t="s">
        <v>4</v>
      </c>
      <c r="B6" s="11"/>
      <c r="C6" s="12"/>
      <c r="D6" s="17" t="s">
        <v>5</v>
      </c>
      <c r="E6" s="15">
        <v>2</v>
      </c>
    </row>
    <row r="7" spans="1:12">
      <c r="A7" s="13" t="s">
        <v>6</v>
      </c>
      <c r="D7" s="13"/>
    </row>
    <row r="8" spans="1:12" customHeight="1" ht="16.2">
      <c r="A8" s="8"/>
    </row>
    <row r="9" spans="1:12">
      <c r="A9" s="64" t="s">
        <v>7</v>
      </c>
      <c r="B9" s="66" t="s">
        <v>8</v>
      </c>
      <c r="C9" s="66" t="s">
        <v>9</v>
      </c>
      <c r="D9" s="66" t="s">
        <v>10</v>
      </c>
      <c r="E9" s="67" t="s">
        <v>11</v>
      </c>
      <c r="F9" s="66" t="s">
        <v>12</v>
      </c>
      <c r="G9" s="66"/>
      <c r="H9" s="67" t="s">
        <v>13</v>
      </c>
      <c r="I9" s="68" t="s">
        <v>14</v>
      </c>
    </row>
    <row r="10" spans="1:12">
      <c r="A10" s="65"/>
      <c r="B10" s="62"/>
      <c r="C10" s="62"/>
      <c r="D10" s="62"/>
      <c r="E10" s="62"/>
      <c r="F10" s="61" t="s">
        <v>15</v>
      </c>
      <c r="G10" s="61" t="s">
        <v>16</v>
      </c>
      <c r="H10" s="62"/>
      <c r="I10" s="69"/>
    </row>
    <row r="11" spans="1:12">
      <c r="A11" s="65"/>
      <c r="B11" s="62"/>
      <c r="C11" s="62"/>
      <c r="D11" s="62"/>
      <c r="E11" s="62"/>
      <c r="F11" s="62"/>
      <c r="G11" s="62"/>
      <c r="H11" s="62"/>
      <c r="I11" s="6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>
      <c r="A14" s="51" t="s">
        <v>35</v>
      </c>
      <c r="B14" s="18" t="s">
        <v>36</v>
      </c>
      <c r="C14" s="56">
        <v>6500000</v>
      </c>
      <c r="D14" s="54"/>
      <c r="E14" s="20">
        <v>46357</v>
      </c>
      <c r="F14" s="26">
        <f>G14/C14</f>
        <v>0</v>
      </c>
      <c r="G14" s="23">
        <v>0</v>
      </c>
      <c r="H14" s="24"/>
      <c r="I14" s="32" t="s">
        <v>37</v>
      </c>
    </row>
    <row r="15" spans="1:12" customHeight="1" ht="15.6" s="5" customFormat="1">
      <c r="A15" s="52" t="s">
        <v>38</v>
      </c>
      <c r="B15" s="25" t="s">
        <v>20</v>
      </c>
      <c r="C15" s="57">
        <v>22695379.08</v>
      </c>
      <c r="D15" s="54">
        <v>46023</v>
      </c>
      <c r="E15" s="20">
        <v>46357</v>
      </c>
      <c r="F15" s="26">
        <f>G15/C15</f>
        <v>0.49667861375065</v>
      </c>
      <c r="G15" s="23">
        <v>11272309.42</v>
      </c>
      <c r="H15" s="28"/>
      <c r="I15" s="32" t="s">
        <v>33</v>
      </c>
    </row>
    <row r="16" spans="1:12" customHeight="1" ht="31.2" s="5" customFormat="1">
      <c r="A16" s="53" t="s">
        <v>39</v>
      </c>
      <c r="B16" s="18" t="s">
        <v>40</v>
      </c>
      <c r="C16" s="57">
        <v>550000</v>
      </c>
      <c r="D16" s="54"/>
      <c r="E16" s="20">
        <v>46357</v>
      </c>
      <c r="F16" s="26">
        <v>0</v>
      </c>
      <c r="G16" s="23">
        <v>0</v>
      </c>
      <c r="H16" s="28"/>
      <c r="I16" s="32" t="s">
        <v>37</v>
      </c>
    </row>
    <row r="17" spans="1:12" customHeight="1" ht="32.25" s="5" customFormat="1">
      <c r="A17" s="59" t="s">
        <v>41</v>
      </c>
      <c r="B17" s="18" t="s">
        <v>36</v>
      </c>
      <c r="C17" s="57">
        <v>950000</v>
      </c>
      <c r="D17" s="54"/>
      <c r="E17" s="20">
        <v>46357</v>
      </c>
      <c r="F17" s="26">
        <v>0</v>
      </c>
      <c r="G17" s="23">
        <v>0</v>
      </c>
      <c r="H17" s="28"/>
      <c r="I17" s="32" t="s">
        <v>37</v>
      </c>
    </row>
    <row r="18" spans="1:12" customHeight="1" ht="15.6" s="5" customFormat="1">
      <c r="A18" s="53" t="s">
        <v>42</v>
      </c>
      <c r="B18" s="18" t="s">
        <v>36</v>
      </c>
      <c r="C18" s="57">
        <v>625000</v>
      </c>
      <c r="D18" s="54"/>
      <c r="E18" s="20">
        <v>46357</v>
      </c>
      <c r="F18" s="26">
        <v>0</v>
      </c>
      <c r="G18" s="23">
        <v>0</v>
      </c>
      <c r="H18" s="28"/>
      <c r="I18" s="32" t="s">
        <v>37</v>
      </c>
    </row>
    <row r="19" spans="1:12" customHeight="1" ht="15.6" s="5" customFormat="1">
      <c r="A19" s="53" t="s">
        <v>43</v>
      </c>
      <c r="B19" s="18" t="s">
        <v>36</v>
      </c>
      <c r="C19" s="57">
        <v>1195000</v>
      </c>
      <c r="D19" s="54"/>
      <c r="E19" s="20">
        <v>46357</v>
      </c>
      <c r="F19" s="26">
        <v>0</v>
      </c>
      <c r="G19" s="23">
        <v>0</v>
      </c>
      <c r="H19" s="28"/>
      <c r="I19" s="32" t="s">
        <v>37</v>
      </c>
    </row>
    <row r="20" spans="1:12" customHeight="1" ht="15.6" s="5" customFormat="1">
      <c r="A20" s="53" t="s">
        <v>44</v>
      </c>
      <c r="B20" s="18" t="s">
        <v>45</v>
      </c>
      <c r="C20" s="57">
        <v>500000</v>
      </c>
      <c r="D20" s="54"/>
      <c r="E20" s="20">
        <v>46357</v>
      </c>
      <c r="F20" s="26">
        <v>0</v>
      </c>
      <c r="G20" s="23">
        <v>0</v>
      </c>
      <c r="H20" s="28"/>
      <c r="I20" s="32" t="s">
        <v>37</v>
      </c>
    </row>
    <row r="21" spans="1:12" customHeight="1" ht="15.6" s="5" customFormat="1">
      <c r="A21" s="53" t="s">
        <v>46</v>
      </c>
      <c r="B21" s="18" t="s">
        <v>47</v>
      </c>
      <c r="C21" s="57">
        <v>500000</v>
      </c>
      <c r="D21" s="54"/>
      <c r="E21" s="20">
        <v>46357</v>
      </c>
      <c r="F21" s="26">
        <v>0</v>
      </c>
      <c r="G21" s="23">
        <v>0</v>
      </c>
      <c r="H21" s="28"/>
      <c r="I21" s="32" t="s">
        <v>37</v>
      </c>
    </row>
    <row r="22" spans="1:12" customHeight="1" ht="15.6" s="5" customFormat="1">
      <c r="A22" s="53" t="s">
        <v>48</v>
      </c>
      <c r="B22" s="18" t="s">
        <v>49</v>
      </c>
      <c r="C22" s="57">
        <v>500000</v>
      </c>
      <c r="D22" s="54"/>
      <c r="E22" s="20">
        <v>46357</v>
      </c>
      <c r="F22" s="26">
        <v>0</v>
      </c>
      <c r="G22" s="23">
        <v>0</v>
      </c>
      <c r="H22" s="28"/>
      <c r="I22" s="32" t="s">
        <v>37</v>
      </c>
    </row>
    <row r="23" spans="1:12" customHeight="1" ht="15.6" s="5" customFormat="1">
      <c r="A23" s="53" t="s">
        <v>50</v>
      </c>
      <c r="B23" s="18" t="s">
        <v>51</v>
      </c>
      <c r="C23" s="57">
        <v>500000</v>
      </c>
      <c r="D23" s="54"/>
      <c r="E23" s="20">
        <v>46357</v>
      </c>
      <c r="F23" s="26">
        <v>0</v>
      </c>
      <c r="G23" s="23">
        <v>0</v>
      </c>
      <c r="H23" s="28"/>
      <c r="I23" s="32" t="s">
        <v>37</v>
      </c>
    </row>
    <row r="24" spans="1:12" customHeight="1" ht="15.6" s="5" customFormat="1">
      <c r="A24" s="53" t="s">
        <v>52</v>
      </c>
      <c r="B24" s="18" t="s">
        <v>53</v>
      </c>
      <c r="C24" s="57">
        <v>500000</v>
      </c>
      <c r="D24" s="54"/>
      <c r="E24" s="20">
        <v>46357</v>
      </c>
      <c r="F24" s="26">
        <v>0</v>
      </c>
      <c r="G24" s="23">
        <v>0</v>
      </c>
      <c r="H24" s="28"/>
      <c r="I24" s="32" t="s">
        <v>37</v>
      </c>
    </row>
    <row r="25" spans="1:12" customHeight="1" ht="15.6" s="5" customFormat="1">
      <c r="A25" s="53" t="s">
        <v>54</v>
      </c>
      <c r="B25" s="18" t="s">
        <v>55</v>
      </c>
      <c r="C25" s="57">
        <v>500000</v>
      </c>
      <c r="D25" s="54"/>
      <c r="E25" s="20">
        <v>46357</v>
      </c>
      <c r="F25" s="26">
        <v>0</v>
      </c>
      <c r="G25" s="23">
        <v>0</v>
      </c>
      <c r="H25" s="28"/>
      <c r="I25" s="32" t="s">
        <v>37</v>
      </c>
    </row>
    <row r="26" spans="1:12" s="5" customFormat="1">
      <c r="A26" s="53" t="s">
        <v>56</v>
      </c>
      <c r="B26" s="18" t="s">
        <v>57</v>
      </c>
      <c r="C26" s="57">
        <v>500000</v>
      </c>
      <c r="D26" s="54"/>
      <c r="E26" s="20">
        <v>46357</v>
      </c>
      <c r="F26" s="26">
        <v>0</v>
      </c>
      <c r="G26" s="23">
        <v>0</v>
      </c>
      <c r="H26" s="28"/>
      <c r="I26" s="32" t="s">
        <v>37</v>
      </c>
    </row>
    <row r="27" spans="1:12" customHeight="1" ht="15.6" s="5" customFormat="1">
      <c r="A27" s="53" t="s">
        <v>58</v>
      </c>
      <c r="B27" s="18" t="s">
        <v>59</v>
      </c>
      <c r="C27" s="57">
        <v>2500000</v>
      </c>
      <c r="D27" s="54"/>
      <c r="E27" s="20">
        <v>46357</v>
      </c>
      <c r="F27" s="26">
        <v>0</v>
      </c>
      <c r="G27" s="23">
        <v>0</v>
      </c>
      <c r="H27" s="28"/>
      <c r="I27" s="32" t="s">
        <v>37</v>
      </c>
    </row>
    <row r="28" spans="1:12" customHeight="1" ht="15.6" s="5" customFormat="1">
      <c r="A28" s="53" t="s">
        <v>60</v>
      </c>
      <c r="B28" s="18" t="s">
        <v>61</v>
      </c>
      <c r="C28" s="57">
        <v>500000</v>
      </c>
      <c r="D28" s="54"/>
      <c r="E28" s="20">
        <v>46357</v>
      </c>
      <c r="F28" s="26">
        <v>0</v>
      </c>
      <c r="G28" s="23">
        <v>0</v>
      </c>
      <c r="H28" s="28"/>
      <c r="I28" s="32" t="s">
        <v>37</v>
      </c>
    </row>
    <row r="29" spans="1:12" customHeight="1" ht="15.6" s="5" customFormat="1">
      <c r="A29" s="53" t="s">
        <v>62</v>
      </c>
      <c r="B29" s="18" t="s">
        <v>36</v>
      </c>
      <c r="C29" s="57">
        <v>500000</v>
      </c>
      <c r="D29" s="54"/>
      <c r="E29" s="20">
        <v>46357</v>
      </c>
      <c r="F29" s="26">
        <v>0</v>
      </c>
      <c r="G29" s="23">
        <v>0</v>
      </c>
      <c r="H29" s="28"/>
      <c r="I29" s="32" t="s">
        <v>37</v>
      </c>
    </row>
    <row r="30" spans="1:12" customHeight="1" ht="15.6" s="5" customFormat="1">
      <c r="A30" s="53" t="s">
        <v>63</v>
      </c>
      <c r="B30" s="18" t="s">
        <v>64</v>
      </c>
      <c r="C30" s="57">
        <v>500000</v>
      </c>
      <c r="D30" s="54"/>
      <c r="E30" s="20">
        <v>46357</v>
      </c>
      <c r="F30" s="26">
        <v>0</v>
      </c>
      <c r="G30" s="23">
        <v>0</v>
      </c>
      <c r="H30" s="28"/>
      <c r="I30" s="32" t="s">
        <v>37</v>
      </c>
    </row>
    <row r="31" spans="1:12" customHeight="1" ht="15.6" s="5" customFormat="1">
      <c r="A31" s="53" t="s">
        <v>65</v>
      </c>
      <c r="B31" s="18" t="s">
        <v>66</v>
      </c>
      <c r="C31" s="57">
        <v>500000</v>
      </c>
      <c r="D31" s="54"/>
      <c r="E31" s="20">
        <v>46357</v>
      </c>
      <c r="F31" s="26">
        <v>0</v>
      </c>
      <c r="G31" s="23">
        <v>0</v>
      </c>
      <c r="H31" s="28"/>
      <c r="I31" s="32" t="s">
        <v>37</v>
      </c>
    </row>
    <row r="32" spans="1:12" customHeight="1" ht="15.6" s="5" customFormat="1">
      <c r="A32" s="53" t="s">
        <v>67</v>
      </c>
      <c r="B32" s="18" t="s">
        <v>40</v>
      </c>
      <c r="C32" s="57">
        <v>500000</v>
      </c>
      <c r="D32" s="54"/>
      <c r="E32" s="20">
        <v>46357</v>
      </c>
      <c r="F32" s="26">
        <v>0</v>
      </c>
      <c r="G32" s="23">
        <v>0</v>
      </c>
      <c r="H32" s="28"/>
      <c r="I32" s="32" t="s">
        <v>37</v>
      </c>
    </row>
    <row r="33" spans="1:12" customHeight="1" ht="16.2">
      <c r="A33" s="37" t="s">
        <v>24</v>
      </c>
      <c r="B33" s="38"/>
      <c r="C33" s="58"/>
      <c r="D33" s="55"/>
      <c r="E33" s="41"/>
      <c r="F33" s="40"/>
      <c r="G33" s="40"/>
      <c r="H33" s="40"/>
      <c r="I33" s="42"/>
    </row>
    <row r="34" spans="1:12" customHeight="1" ht="18.6" s="49" customFormat="1">
      <c r="A34" s="43" t="s">
        <v>25</v>
      </c>
      <c r="B34" s="60"/>
      <c r="C34" s="45">
        <f>SUM(C14:C33)</f>
        <v>41015379.08</v>
      </c>
      <c r="D34" s="44"/>
      <c r="E34" s="44"/>
      <c r="F34" s="46">
        <f>G34/C34</f>
        <v>0.27483128701587</v>
      </c>
      <c r="G34" s="50">
        <f>SUM(G14:G33)</f>
        <v>11272309.42</v>
      </c>
      <c r="H34" s="44"/>
      <c r="I34" s="47"/>
      <c r="J34" s="48"/>
      <c r="K34" s="48"/>
    </row>
    <row r="36" spans="1:12">
      <c r="A36" s="5" t="s">
        <v>26</v>
      </c>
    </row>
    <row r="39" spans="1:12">
      <c r="A39" s="72" t="s">
        <v>68</v>
      </c>
      <c r="B39" s="71" t="s">
        <v>69</v>
      </c>
      <c r="F39" s="70" t="s">
        <v>69</v>
      </c>
    </row>
    <row r="40" spans="1:12" s="5" customFormat="1">
      <c r="A40" s="8" t="s">
        <v>27</v>
      </c>
      <c r="B40" s="5" t="s">
        <v>28</v>
      </c>
      <c r="E40" s="5" t="s">
        <v>29</v>
      </c>
    </row>
    <row r="41" spans="1:12" s="5" customFormat="1">
      <c r="A41" s="16" t="s">
        <v>30</v>
      </c>
      <c r="B41" s="16" t="s">
        <v>31</v>
      </c>
      <c r="F41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8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34"/>
  <sheetViews>
    <sheetView tabSelected="0" workbookViewId="0" zoomScale="115" zoomScaleNormal="115" showGridLines="true" showRowColHeaders="1">
      <selection activeCell="F20" sqref="F20"/>
    </sheetView>
  </sheetViews>
  <sheetFormatPr defaultRowHeight="14.4" defaultColWidth="9.109375" outlineLevelRow="0" outlineLevelCol="0"/>
  <cols>
    <col min="1" max="1" width="72.6640625" customWidth="true" style="5"/>
    <col min="2" max="2" width="25.44140625" customWidth="true" style="5"/>
    <col min="3" max="3" width="19" customWidth="true" style="5"/>
    <col min="4" max="4" width="15.88671875" customWidth="true" style="5"/>
    <col min="5" max="5" width="19.6640625" customWidth="true" style="5"/>
    <col min="6" max="6" width="12.88671875" customWidth="true" style="5"/>
    <col min="7" max="7" width="16.5546875" customWidth="true" style="5"/>
    <col min="8" max="8" width="7" customWidth="true" style="5"/>
    <col min="9" max="9" width="20.109375" customWidth="true" style="5"/>
    <col min="10" max="10" width="15.6640625" customWidth="true" style="5"/>
    <col min="11" max="11" width="8.88671875" customWidth="true" style="5"/>
    <col min="12" max="12" width="9.10937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 customHeight="1" ht="21">
      <c r="A3" s="63" t="s">
        <v>1</v>
      </c>
      <c r="B3" s="63"/>
      <c r="C3" s="63"/>
      <c r="D3" s="63"/>
      <c r="E3" s="63"/>
      <c r="F3" s="63"/>
      <c r="G3" s="63"/>
      <c r="H3" s="63"/>
      <c r="I3" s="63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9" t="s">
        <v>3</v>
      </c>
      <c r="E5" s="14">
        <v>2024</v>
      </c>
    </row>
    <row r="6" spans="1:12">
      <c r="A6" s="13" t="s">
        <v>4</v>
      </c>
      <c r="B6" s="11"/>
      <c r="C6" s="12"/>
      <c r="D6" s="17" t="s">
        <v>5</v>
      </c>
      <c r="E6" s="15">
        <v>4</v>
      </c>
    </row>
    <row r="7" spans="1:12">
      <c r="A7" s="13" t="s">
        <v>6</v>
      </c>
      <c r="D7" s="13"/>
    </row>
    <row r="8" spans="1:12" customHeight="1" ht="16.2">
      <c r="A8" s="8"/>
    </row>
    <row r="9" spans="1:12">
      <c r="A9" s="64" t="s">
        <v>7</v>
      </c>
      <c r="B9" s="66" t="s">
        <v>8</v>
      </c>
      <c r="C9" s="66" t="s">
        <v>9</v>
      </c>
      <c r="D9" s="66" t="s">
        <v>10</v>
      </c>
      <c r="E9" s="67" t="s">
        <v>11</v>
      </c>
      <c r="F9" s="66" t="s">
        <v>12</v>
      </c>
      <c r="G9" s="66"/>
      <c r="H9" s="67" t="s">
        <v>13</v>
      </c>
      <c r="I9" s="68" t="s">
        <v>14</v>
      </c>
    </row>
    <row r="10" spans="1:12">
      <c r="A10" s="65"/>
      <c r="B10" s="62"/>
      <c r="C10" s="62"/>
      <c r="D10" s="62"/>
      <c r="E10" s="62"/>
      <c r="F10" s="61" t="s">
        <v>15</v>
      </c>
      <c r="G10" s="61" t="s">
        <v>16</v>
      </c>
      <c r="H10" s="62"/>
      <c r="I10" s="69"/>
    </row>
    <row r="11" spans="1:12">
      <c r="A11" s="65"/>
      <c r="B11" s="62"/>
      <c r="C11" s="62"/>
      <c r="D11" s="62"/>
      <c r="E11" s="62"/>
      <c r="F11" s="62"/>
      <c r="G11" s="62"/>
      <c r="H11" s="62"/>
      <c r="I11" s="69"/>
    </row>
    <row r="12" spans="1:12">
      <c r="A12" s="29" t="s">
        <v>17</v>
      </c>
      <c r="B12" s="24"/>
      <c r="C12" s="24"/>
      <c r="D12" s="24"/>
      <c r="E12" s="21"/>
      <c r="F12" s="24"/>
      <c r="G12" s="24"/>
      <c r="H12" s="24"/>
      <c r="I12" s="30"/>
    </row>
    <row r="13" spans="1:12">
      <c r="A13" s="29" t="s">
        <v>18</v>
      </c>
      <c r="B13" s="24"/>
      <c r="C13" s="19"/>
      <c r="D13" s="24"/>
      <c r="E13" s="21"/>
      <c r="F13" s="24"/>
      <c r="G13" s="23"/>
      <c r="H13" s="24"/>
      <c r="I13" s="30"/>
    </row>
    <row r="14" spans="1:12" customHeight="1" ht="31.2">
      <c r="A14" s="31" t="s">
        <v>70</v>
      </c>
      <c r="B14" s="18" t="s">
        <v>40</v>
      </c>
      <c r="C14" s="19">
        <v>1500000</v>
      </c>
      <c r="D14" s="20">
        <v>45536</v>
      </c>
      <c r="E14" s="20">
        <v>45597</v>
      </c>
      <c r="F14" s="26">
        <f>G14/C14</f>
        <v>0.99879804</v>
      </c>
      <c r="G14" s="23">
        <v>1498197.06</v>
      </c>
      <c r="H14" s="24"/>
      <c r="I14" s="32" t="s">
        <v>71</v>
      </c>
    </row>
    <row r="15" spans="1:12">
      <c r="A15" s="31" t="s">
        <v>72</v>
      </c>
      <c r="B15" s="18" t="s">
        <v>64</v>
      </c>
      <c r="C15" s="19">
        <v>500000</v>
      </c>
      <c r="D15" s="20">
        <v>45425</v>
      </c>
      <c r="E15" s="20">
        <v>45460</v>
      </c>
      <c r="F15" s="26">
        <f>G15/C15</f>
        <v>0.99896122</v>
      </c>
      <c r="G15" s="23">
        <v>499480.61</v>
      </c>
      <c r="H15" s="24"/>
      <c r="I15" s="32" t="s">
        <v>71</v>
      </c>
    </row>
    <row r="16" spans="1:12" customHeight="1" ht="31.2">
      <c r="A16" s="31" t="s">
        <v>73</v>
      </c>
      <c r="B16" s="18" t="s">
        <v>23</v>
      </c>
      <c r="C16" s="19">
        <v>700000</v>
      </c>
      <c r="D16" s="20">
        <v>45536</v>
      </c>
      <c r="E16" s="20">
        <v>45627</v>
      </c>
      <c r="F16" s="22">
        <v>0</v>
      </c>
      <c r="G16" s="23">
        <v>0</v>
      </c>
      <c r="H16" s="24"/>
      <c r="I16" s="32" t="s">
        <v>74</v>
      </c>
    </row>
    <row r="17" spans="1:12">
      <c r="A17" s="31" t="s">
        <v>75</v>
      </c>
      <c r="B17" s="18" t="s">
        <v>23</v>
      </c>
      <c r="C17" s="19">
        <v>1700000</v>
      </c>
      <c r="D17" s="20">
        <v>45379</v>
      </c>
      <c r="E17" s="20">
        <v>45440</v>
      </c>
      <c r="F17" s="26">
        <f>G17/C17</f>
        <v>0.99911674117647</v>
      </c>
      <c r="G17" s="23">
        <v>1698498.46</v>
      </c>
      <c r="H17" s="24"/>
      <c r="I17" s="32" t="s">
        <v>71</v>
      </c>
    </row>
    <row r="18" spans="1:12">
      <c r="A18" s="33" t="s">
        <v>76</v>
      </c>
      <c r="B18" s="18" t="s">
        <v>53</v>
      </c>
      <c r="C18" s="19">
        <v>500000</v>
      </c>
      <c r="D18" s="20">
        <v>45425</v>
      </c>
      <c r="E18" s="20">
        <v>45460</v>
      </c>
      <c r="F18" s="26">
        <f>G18/C18</f>
        <v>0.99870962</v>
      </c>
      <c r="G18" s="23">
        <v>499354.81</v>
      </c>
      <c r="H18" s="24"/>
      <c r="I18" s="32" t="s">
        <v>71</v>
      </c>
    </row>
    <row r="19" spans="1:12" customHeight="1" ht="31.2">
      <c r="A19" s="31" t="s">
        <v>77</v>
      </c>
      <c r="B19" s="18" t="s">
        <v>23</v>
      </c>
      <c r="C19" s="19">
        <v>500000</v>
      </c>
      <c r="D19" s="20">
        <v>45425</v>
      </c>
      <c r="E19" s="20">
        <v>45460</v>
      </c>
      <c r="F19" s="26">
        <f>G19/C19</f>
        <v>0.99857178</v>
      </c>
      <c r="G19" s="23">
        <v>499285.89</v>
      </c>
      <c r="H19" s="24"/>
      <c r="I19" s="32" t="s">
        <v>71</v>
      </c>
    </row>
    <row r="20" spans="1:12">
      <c r="A20" s="33" t="s">
        <v>78</v>
      </c>
      <c r="B20" s="18" t="s">
        <v>23</v>
      </c>
      <c r="C20" s="19">
        <v>300000</v>
      </c>
      <c r="D20" s="20">
        <v>45536</v>
      </c>
      <c r="E20" s="20">
        <v>45566</v>
      </c>
      <c r="F20" s="26">
        <v>0.99857178</v>
      </c>
      <c r="G20" s="23">
        <v>298000</v>
      </c>
      <c r="H20" s="24"/>
      <c r="I20" s="32" t="s">
        <v>71</v>
      </c>
    </row>
    <row r="21" spans="1:12">
      <c r="A21" s="33" t="s">
        <v>79</v>
      </c>
      <c r="B21" s="18" t="s">
        <v>23</v>
      </c>
      <c r="C21" s="19">
        <v>500000</v>
      </c>
      <c r="D21" s="20">
        <v>45536</v>
      </c>
      <c r="E21" s="20">
        <v>45627</v>
      </c>
      <c r="F21" s="22">
        <v>0</v>
      </c>
      <c r="G21" s="23">
        <v>0</v>
      </c>
      <c r="H21" s="24"/>
      <c r="I21" s="32" t="s">
        <v>74</v>
      </c>
    </row>
    <row r="22" spans="1:12">
      <c r="A22" s="34" t="s">
        <v>80</v>
      </c>
      <c r="B22" s="18" t="s">
        <v>81</v>
      </c>
      <c r="C22" s="19">
        <v>1000000</v>
      </c>
      <c r="D22" s="20">
        <v>45425</v>
      </c>
      <c r="E22" s="20">
        <v>45480</v>
      </c>
      <c r="F22" s="26">
        <f>G22/C22</f>
        <v>0.99911399</v>
      </c>
      <c r="G22" s="23">
        <v>999113.99</v>
      </c>
      <c r="H22" s="24"/>
      <c r="I22" s="32" t="s">
        <v>71</v>
      </c>
    </row>
    <row r="23" spans="1:12">
      <c r="A23" s="35" t="s">
        <v>19</v>
      </c>
      <c r="B23" s="25" t="s">
        <v>20</v>
      </c>
      <c r="C23" s="19">
        <v>21176026.09</v>
      </c>
      <c r="D23" s="20">
        <v>45292</v>
      </c>
      <c r="E23" s="20">
        <v>45627</v>
      </c>
      <c r="F23" s="26">
        <v>1</v>
      </c>
      <c r="G23" s="23">
        <v>20560750.94</v>
      </c>
      <c r="H23" s="24"/>
      <c r="I23" s="32" t="s">
        <v>71</v>
      </c>
    </row>
    <row r="24" spans="1:12" customHeight="1" ht="15.6">
      <c r="A24" s="36" t="s">
        <v>82</v>
      </c>
      <c r="B24" s="18" t="s">
        <v>23</v>
      </c>
      <c r="C24" s="27">
        <v>571506.51</v>
      </c>
      <c r="D24" s="20">
        <v>45425</v>
      </c>
      <c r="E24" s="20">
        <v>45460</v>
      </c>
      <c r="F24" s="26">
        <v>1</v>
      </c>
      <c r="G24" s="23">
        <v>568293.91</v>
      </c>
      <c r="H24" s="28"/>
      <c r="I24" s="32" t="s">
        <v>71</v>
      </c>
    </row>
    <row r="25" spans="1:12" customHeight="1" ht="15.6">
      <c r="A25" s="36"/>
      <c r="B25" s="18"/>
      <c r="C25" s="27"/>
      <c r="D25" s="20"/>
      <c r="E25" s="21"/>
      <c r="F25" s="22"/>
      <c r="G25" s="23"/>
      <c r="H25" s="28"/>
      <c r="I25" s="32"/>
    </row>
    <row r="26" spans="1:12" customHeight="1" ht="16.2">
      <c r="A26" s="37" t="s">
        <v>24</v>
      </c>
      <c r="B26" s="38"/>
      <c r="C26" s="39"/>
      <c r="D26" s="40"/>
      <c r="E26" s="41"/>
      <c r="F26" s="40"/>
      <c r="G26" s="40"/>
      <c r="H26" s="40"/>
      <c r="I26" s="42"/>
    </row>
    <row r="27" spans="1:12" customHeight="1" ht="18.6" s="49" customFormat="1">
      <c r="A27" s="43" t="s">
        <v>25</v>
      </c>
      <c r="B27" s="44"/>
      <c r="C27" s="45">
        <f>SUM(C12:C26)</f>
        <v>28947532.6</v>
      </c>
      <c r="D27" s="44"/>
      <c r="E27" s="44"/>
      <c r="F27" s="46">
        <f>G27/C27</f>
        <v>0.93690111847391</v>
      </c>
      <c r="G27" s="50">
        <f>SUM(G14:G26)</f>
        <v>27120975.67</v>
      </c>
      <c r="H27" s="44"/>
      <c r="I27" s="47"/>
      <c r="J27" s="48"/>
      <c r="K27" s="48"/>
    </row>
    <row r="29" spans="1:12">
      <c r="A29" s="5" t="s">
        <v>26</v>
      </c>
    </row>
    <row r="34" spans="1:12">
      <c r="A34" s="16" t="s">
        <v>30</v>
      </c>
      <c r="B34" s="16" t="s">
        <v>31</v>
      </c>
      <c r="F34" s="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0:G11"/>
    <mergeCell ref="A3:I3"/>
    <mergeCell ref="A9:A11"/>
    <mergeCell ref="B9:B11"/>
    <mergeCell ref="C9:C11"/>
    <mergeCell ref="D9:D11"/>
    <mergeCell ref="E9:E11"/>
    <mergeCell ref="F9:G9"/>
    <mergeCell ref="H9:H11"/>
    <mergeCell ref="I9:I11"/>
    <mergeCell ref="F10:F11"/>
  </mergeCells>
  <printOptions gridLines="false" gridLinesSet="true"/>
  <pageMargins left="0.7" right="0.7" top="0.75" bottom="0.75" header="0.3" footer="0.3"/>
  <pageSetup paperSize="5" orientation="landscape" scale="69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5" sqref="F5:F6"/>
    </sheetView>
  </sheetViews>
  <sheetFormatPr defaultRowHeight="14.4" outlineLevelRow="0" outlineLevelCol="0"/>
  <sheetData>
    <row r="1" spans="1:1" customHeight="1" ht="23.4">
      <c r="A1" s="2" t="s">
        <v>83</v>
      </c>
    </row>
    <row r="3" spans="1:1">
      <c r="A3" t="s">
        <v>84</v>
      </c>
    </row>
    <row r="5" spans="1:1">
      <c r="A5" t="s">
        <v>85</v>
      </c>
    </row>
    <row r="6" spans="1:1">
      <c r="A6" s="1" t="s">
        <v>86</v>
      </c>
    </row>
    <row r="9" spans="1:1">
      <c r="A9" t="s">
        <v>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 7 - DFU </vt:lpstr>
      <vt:lpstr>Q3_2025 </vt:lpstr>
      <vt:lpstr>Q4_2025</vt:lpstr>
      <vt:lpstr>Q2 2026</vt:lpstr>
      <vt:lpstr>Form 7 - DFU (2)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2026-09-08T08:30:33+08:00</dcterms:modified>
  <dc:title/>
  <dc:description/>
  <dc:subject/>
  <cp:keywords/>
  <cp:category/>
</cp:coreProperties>
</file>