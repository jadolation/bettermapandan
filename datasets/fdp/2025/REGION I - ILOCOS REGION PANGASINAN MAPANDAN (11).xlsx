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<sst xmlns="http://schemas.openxmlformats.org/spreadsheetml/2006/main" uniqueCount="59">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</sst>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F18" sqref="F18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16.140625" customWidth="true" style="5"/>
    <col min="5" max="5" width="13.28515625" customWidth="true" style="5"/>
    <col min="6" max="6" width="15" customWidth="true" style="5"/>
    <col min="7" max="7" width="18" customWidth="true" style="0"/>
    <col min="8" max="8" width="16" customWidth="true" style="34"/>
    <col min="9" max="9" width="14.28515625" customWidth="true" style="34"/>
    <col min="10" max="10" width="14.28515625" customWidth="true" style="34"/>
    <col min="11" max="11" width="14.28515625" customWidth="true" style="34"/>
    <col min="12" max="12" width="1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5"/>
      <c r="I2" s="35"/>
      <c r="J2" s="35"/>
      <c r="K2" s="35"/>
      <c r="L2" s="35"/>
    </row>
    <row r="3" spans="1:13" s="6" customFormat="1">
      <c r="A3" s="3"/>
      <c r="H3" s="35"/>
      <c r="I3" s="35"/>
      <c r="J3" s="35"/>
      <c r="K3" s="35"/>
      <c r="L3" s="35"/>
    </row>
    <row r="4" spans="1:13">
      <c r="A4" s="40" t="s">
        <v>2</v>
      </c>
      <c r="B4" s="40"/>
      <c r="C4" s="40"/>
      <c r="D4" s="40"/>
      <c r="E4" s="40"/>
      <c r="F4" s="40"/>
      <c r="G4" s="40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2025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1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34" t="s">
        <v>12</v>
      </c>
      <c r="I11" s="34" t="s">
        <v>13</v>
      </c>
      <c r="J11" s="36" t="s">
        <v>14</v>
      </c>
    </row>
    <row r="12" spans="1:13">
      <c r="A12" s="14"/>
      <c r="C12" s="39" t="s">
        <v>15</v>
      </c>
      <c r="D12" s="39"/>
      <c r="E12" s="39"/>
      <c r="F12" s="23">
        <v>7042639.02</v>
      </c>
      <c r="G12" s="15"/>
      <c r="H12" s="36">
        <v>5538121.81</v>
      </c>
      <c r="I12" s="36">
        <v>1504517.21</v>
      </c>
    </row>
    <row r="13" spans="1:13">
      <c r="A13" s="14"/>
      <c r="C13" s="39" t="s">
        <v>16</v>
      </c>
      <c r="D13" s="39"/>
      <c r="E13" s="39"/>
      <c r="F13" s="23">
        <v>43592943.16</v>
      </c>
      <c r="G13" s="15"/>
      <c r="H13" s="36">
        <v>43592943.16</v>
      </c>
    </row>
    <row r="14" spans="1:13">
      <c r="A14" s="14"/>
      <c r="C14" s="39" t="s">
        <v>17</v>
      </c>
      <c r="D14" s="39"/>
      <c r="E14" s="39"/>
      <c r="F14" s="23">
        <v>6464861.83</v>
      </c>
      <c r="G14" s="15"/>
      <c r="H14" s="36">
        <v>6464861.83</v>
      </c>
    </row>
    <row r="15" spans="1:13">
      <c r="A15" s="14"/>
      <c r="C15" s="39" t="s">
        <v>18</v>
      </c>
      <c r="D15" s="39"/>
      <c r="E15" s="39"/>
      <c r="F15" s="23">
        <v>4437.22</v>
      </c>
      <c r="G15" s="15"/>
      <c r="H15" s="36">
        <v>4104.28</v>
      </c>
      <c r="I15" s="36">
        <v>332.94</v>
      </c>
    </row>
    <row r="16" spans="1:13">
      <c r="A16" s="14"/>
      <c r="C16" s="39" t="s">
        <v>19</v>
      </c>
      <c r="D16" s="39"/>
      <c r="E16" s="39"/>
      <c r="F16" s="23">
        <v>0</v>
      </c>
      <c r="G16" s="15"/>
      <c r="H16" s="34">
        <v>0</v>
      </c>
    </row>
    <row r="17" spans="1:13">
      <c r="A17" s="14"/>
      <c r="C17" s="39" t="s">
        <v>20</v>
      </c>
      <c r="D17" s="39"/>
      <c r="E17" s="39"/>
      <c r="F17" s="23">
        <v>2632748.92</v>
      </c>
      <c r="G17" s="15"/>
      <c r="H17" s="36">
        <v>718137.35</v>
      </c>
      <c r="J17" s="36">
        <v>1914611.57</v>
      </c>
    </row>
    <row r="18" spans="1:13">
      <c r="A18" s="14"/>
      <c r="C18" s="39" t="s">
        <v>21</v>
      </c>
      <c r="D18" s="39"/>
      <c r="E18" s="39"/>
      <c r="F18" s="26">
        <f>SUM(F12:F17)</f>
        <v>59737630.15</v>
      </c>
      <c r="G18" s="15"/>
    </row>
    <row r="19" spans="1:13">
      <c r="A19" s="14"/>
      <c r="B19" s="5" t="s">
        <v>22</v>
      </c>
      <c r="F19" s="25"/>
      <c r="G19" s="15"/>
    </row>
    <row r="20" spans="1:13">
      <c r="A20" s="14"/>
      <c r="C20" s="5" t="s">
        <v>23</v>
      </c>
      <c r="F20" s="25"/>
      <c r="G20" s="15"/>
    </row>
    <row r="21" spans="1:13">
      <c r="A21" s="14"/>
      <c r="C21" s="5" t="s">
        <v>24</v>
      </c>
      <c r="F21" s="23">
        <v>27556769.74</v>
      </c>
      <c r="G21" s="15"/>
      <c r="H21" s="36">
        <v>26288138.58</v>
      </c>
      <c r="I21" s="36">
        <v>1268631.16</v>
      </c>
    </row>
    <row r="22" spans="1:13">
      <c r="A22" s="14"/>
      <c r="C22" s="5" t="s">
        <v>25</v>
      </c>
      <c r="F22" s="23">
        <v>14146716.49</v>
      </c>
      <c r="G22" s="15"/>
      <c r="H22" s="36">
        <v>14146716.49</v>
      </c>
    </row>
    <row r="23" spans="1:13">
      <c r="A23" s="14"/>
      <c r="C23" s="5" t="s">
        <v>26</v>
      </c>
      <c r="F23" s="23">
        <v>1541101.89</v>
      </c>
      <c r="G23" s="15"/>
      <c r="H23" s="36">
        <v>1541035.3</v>
      </c>
      <c r="I23" s="36">
        <v>66.59</v>
      </c>
    </row>
    <row r="24" spans="1:13">
      <c r="A24" s="14"/>
      <c r="C24" s="5" t="s">
        <v>27</v>
      </c>
      <c r="F24" s="23">
        <v>1453653.61</v>
      </c>
      <c r="G24" s="15"/>
      <c r="H24" s="34">
        <v>215400</v>
      </c>
      <c r="J24" s="36">
        <v>1238253.61</v>
      </c>
    </row>
    <row r="25" spans="1:13">
      <c r="A25" s="14"/>
      <c r="C25" s="5" t="s">
        <v>28</v>
      </c>
      <c r="F25" s="24">
        <f>SUM(F21:F24)</f>
        <v>44698241.73</v>
      </c>
      <c r="G25" s="15"/>
    </row>
    <row r="26" spans="1:13">
      <c r="A26" s="14"/>
      <c r="B26" s="5" t="s">
        <v>29</v>
      </c>
      <c r="F26" s="26">
        <f>+F18-F25</f>
        <v>15039388.42</v>
      </c>
      <c r="G26" s="15"/>
    </row>
    <row r="27" spans="1:13">
      <c r="A27" s="14"/>
      <c r="F27" s="23"/>
      <c r="G27" s="15"/>
    </row>
    <row r="28" spans="1:13">
      <c r="A28" s="14" t="s">
        <v>30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39" t="s">
        <v>31</v>
      </c>
      <c r="D30" s="39"/>
      <c r="E30" s="39"/>
      <c r="F30" s="23">
        <v>0</v>
      </c>
      <c r="G30" s="15"/>
    </row>
    <row r="31" spans="1:13">
      <c r="A31" s="14"/>
      <c r="C31" s="39" t="s">
        <v>32</v>
      </c>
      <c r="D31" s="39"/>
      <c r="E31" s="39"/>
      <c r="F31" s="23">
        <v>0</v>
      </c>
      <c r="G31" s="15"/>
    </row>
    <row r="32" spans="1:13">
      <c r="A32" s="14"/>
      <c r="C32" s="39" t="s">
        <v>33</v>
      </c>
      <c r="D32" s="39"/>
      <c r="E32" s="39"/>
      <c r="F32" s="23">
        <v>0</v>
      </c>
      <c r="G32" s="15"/>
    </row>
    <row r="33" spans="1:13">
      <c r="A33" s="14"/>
      <c r="C33" s="39" t="s">
        <v>21</v>
      </c>
      <c r="D33" s="39"/>
      <c r="E33" s="39"/>
      <c r="F33" s="24">
        <f>SUM(F30:F32)</f>
        <v>0</v>
      </c>
      <c r="G33" s="15"/>
    </row>
    <row r="34" spans="1:13">
      <c r="A34" s="14"/>
      <c r="B34" s="5" t="s">
        <v>22</v>
      </c>
      <c r="F34" s="25"/>
      <c r="G34" s="15"/>
    </row>
    <row r="35" spans="1:13">
      <c r="A35" s="14"/>
      <c r="C35" s="39" t="s">
        <v>34</v>
      </c>
      <c r="D35" s="39"/>
      <c r="E35" s="39"/>
      <c r="F35" s="23">
        <v>35725053.790952</v>
      </c>
      <c r="G35" s="15"/>
      <c r="H35" s="36">
        <v>35725053.790952</v>
      </c>
      <c r="I35" s="36"/>
    </row>
    <row r="36" spans="1:13">
      <c r="A36" s="14"/>
      <c r="C36" s="39" t="s">
        <v>35</v>
      </c>
      <c r="D36" s="39"/>
      <c r="E36" s="39"/>
      <c r="F36" s="23">
        <v>0</v>
      </c>
      <c r="G36" s="15"/>
    </row>
    <row r="37" spans="1:13">
      <c r="A37" s="14"/>
      <c r="C37" s="39" t="s">
        <v>36</v>
      </c>
      <c r="D37" s="39"/>
      <c r="E37" s="39"/>
      <c r="F37" s="23">
        <v>0</v>
      </c>
      <c r="G37" s="15"/>
    </row>
    <row r="38" spans="1:13">
      <c r="A38" s="14"/>
      <c r="C38" s="39" t="s">
        <v>28</v>
      </c>
      <c r="D38" s="39"/>
      <c r="E38" s="39"/>
      <c r="F38" s="24">
        <f>SUM(F35:F37)</f>
        <v>35725053.790952</v>
      </c>
      <c r="G38" s="15"/>
    </row>
    <row r="39" spans="1:13">
      <c r="A39" s="14"/>
      <c r="B39" s="39" t="s">
        <v>37</v>
      </c>
      <c r="C39" s="39"/>
      <c r="D39" s="39"/>
      <c r="E39" s="39"/>
      <c r="F39" s="26">
        <f>+F33-F38</f>
        <v>-35725053.790952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41" t="s">
        <v>38</v>
      </c>
      <c r="B41" s="42"/>
      <c r="C41" s="42"/>
      <c r="D41" s="42"/>
      <c r="E41" s="42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39" t="s">
        <v>39</v>
      </c>
      <c r="D43" s="39"/>
      <c r="E43" s="39"/>
      <c r="F43" s="23">
        <v>0</v>
      </c>
      <c r="G43" s="15"/>
    </row>
    <row r="44" spans="1:13">
      <c r="A44" s="14"/>
      <c r="C44" s="39" t="s">
        <v>40</v>
      </c>
      <c r="D44" s="39"/>
      <c r="E44" s="39"/>
      <c r="F44" s="23">
        <v>28720000</v>
      </c>
      <c r="G44" s="15"/>
      <c r="H44" s="34">
        <v>28720000</v>
      </c>
    </row>
    <row r="45" spans="1:13">
      <c r="A45" s="14"/>
      <c r="C45" s="39" t="s">
        <v>41</v>
      </c>
      <c r="D45" s="39"/>
      <c r="E45" s="39"/>
      <c r="F45" s="24">
        <f>SUM(F43:F44)</f>
        <v>28720000</v>
      </c>
      <c r="G45" s="15"/>
    </row>
    <row r="46" spans="1:13">
      <c r="A46" s="14"/>
      <c r="B46" s="5" t="s">
        <v>22</v>
      </c>
      <c r="F46" s="25"/>
      <c r="G46" s="15"/>
    </row>
    <row r="47" spans="1:13">
      <c r="A47" s="14"/>
      <c r="C47" s="39" t="s">
        <v>42</v>
      </c>
      <c r="D47" s="39"/>
      <c r="E47" s="39"/>
      <c r="F47" s="23"/>
      <c r="G47" s="15"/>
    </row>
    <row r="48" spans="1:13">
      <c r="A48" s="14"/>
      <c r="C48" s="39" t="s">
        <v>43</v>
      </c>
      <c r="D48" s="39"/>
      <c r="E48" s="39"/>
      <c r="F48" s="23">
        <v>3443122.92</v>
      </c>
      <c r="G48" s="15"/>
      <c r="H48" s="36">
        <v>3443122.92</v>
      </c>
    </row>
    <row r="49" spans="1:13">
      <c r="A49" s="14"/>
      <c r="C49" s="39" t="s">
        <v>44</v>
      </c>
      <c r="D49" s="39"/>
      <c r="E49" s="39"/>
      <c r="F49" s="24">
        <f>SUM(F47:F48)</f>
        <v>3443122.92</v>
      </c>
      <c r="G49" s="15"/>
    </row>
    <row r="50" spans="1:13">
      <c r="A50" s="14"/>
      <c r="B50" s="39" t="s">
        <v>45</v>
      </c>
      <c r="C50" s="39"/>
      <c r="D50" s="39"/>
      <c r="E50" s="39"/>
      <c r="F50" s="26">
        <f>+F45-F49</f>
        <v>25276877.08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43" t="s">
        <v>46</v>
      </c>
      <c r="B52" s="39"/>
      <c r="C52" s="39"/>
      <c r="D52" s="39"/>
      <c r="G52" s="27">
        <f>+F50+F39+F26</f>
        <v>4591211.7090476</v>
      </c>
    </row>
    <row r="53" spans="1:13">
      <c r="A53" s="43" t="s">
        <v>47</v>
      </c>
      <c r="B53" s="39"/>
      <c r="C53" s="39"/>
      <c r="D53" s="39"/>
      <c r="G53" s="29">
        <v>37026321.79</v>
      </c>
      <c r="H53" s="34">
        <v>22281879.94</v>
      </c>
      <c r="I53" s="34">
        <v>2273998.74</v>
      </c>
      <c r="J53" s="34">
        <v>12470443.11</v>
      </c>
      <c r="M53" s="33"/>
    </row>
    <row r="54" spans="1:13">
      <c r="A54" s="43" t="s">
        <v>48</v>
      </c>
      <c r="B54" s="39"/>
      <c r="C54" s="39"/>
      <c r="D54" s="39"/>
      <c r="G54" s="28">
        <f>+G52+G53</f>
        <v>41617533.499048</v>
      </c>
      <c r="H54" s="36">
        <v>25960581.289048</v>
      </c>
      <c r="I54" s="36">
        <v>2510151.14</v>
      </c>
      <c r="J54" s="36">
        <v>13146801.07</v>
      </c>
      <c r="K54" s="34">
        <f>SUM(H54:J54)</f>
        <v>41617533.499048</v>
      </c>
      <c r="L54" s="44">
        <f>+G54-K54</f>
        <v>-1.4901161193848E-8</v>
      </c>
      <c r="M54" s="33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</row>
    <row r="57" spans="1:13">
      <c r="A57" s="18" t="s">
        <v>49</v>
      </c>
    </row>
    <row r="58" spans="1:13">
      <c r="A58" s="18"/>
      <c r="G58" s="37"/>
    </row>
    <row r="59" spans="1:13">
      <c r="G59" s="38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2025-05-08T17:05:49+08:00</dcterms:modified>
  <dc:title/>
  <dc:description/>
  <dc:subject/>
  <cp:keywords/>
  <cp:category/>
</cp:coreProperties>
</file>