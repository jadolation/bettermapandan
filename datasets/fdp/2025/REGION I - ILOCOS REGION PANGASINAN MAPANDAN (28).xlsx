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<sst xmlns="http://schemas.openxmlformats.org/spreadsheetml/2006/main" uniqueCount="55">
  <si>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</si>
  <si>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</si>
  <si>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</si>
  <si>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</si>
  <si>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</si>
  <si>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</si>
  <si>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</si>
  <si>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</si>
  <si>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</si>
  <si>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</si>
  <si>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</si>
  <si>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</si>
  <si>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</si>
  <si>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</si>
  <si>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</si>
  <si>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</si>
  <si>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</si>
  <si>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</si>
  <si>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</si>
  <si>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</si>
  <si>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</si>
  <si>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</si>
  <si>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2023</t>
  </si>
  <si>
    <t xml:space="preserve">                   (Year 2) 2022</t>
  </si>
  <si>
    <t xml:space="preserve">                   (Year 3) 2021</t>
  </si>
  <si>
    <t xml:space="preserve">                   (Year 4)2020</t>
  </si>
  <si>
    <t xml:space="preserve">                   (Year 5)2019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</si>
  <si>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</si>
  <si>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</si>
  <si>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</si>
  <si>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</si>
  <si>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</si>
  <si>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</si>
  <si>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</si>
  <si>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</si>
  <si>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</si>
  <si>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</si>
  <si>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</si>
  <si>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First Aid Kit and Hygiene Kit</t>
  </si>
  <si>
    <t xml:space="preserve">     Equipment</t>
  </si>
  <si>
    <t xml:space="preserve">     Purchase of Supplies and Materials</t>
  </si>
  <si>
    <t xml:space="preserve">     Procurement &amp; Installation of Outdoor Led Board</t>
  </si>
  <si>
    <t xml:space="preserve">     Purchase of Mini Dump Truck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</si>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</sst>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45</xdr:row>
      <xdr:rowOff>8965</xdr:rowOff>
    </xdr:from>
    <xdr:to>
      <xdr:col>1</xdr:col>
      <xdr:colOff>767229</xdr:colOff>
      <xdr:row>45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45</xdr:row>
      <xdr:rowOff>0</xdr:rowOff>
    </xdr:from>
    <xdr:to>
      <xdr:col>4</xdr:col>
      <xdr:colOff>773205</xdr:colOff>
      <xdr:row>45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7"/>
  <sheetViews>
    <sheetView tabSelected="1" workbookViewId="0" zoomScale="85" zoomScaleNormal="85" showGridLines="true" showRowColHeaders="1">
      <selection activeCell="G41" sqref="G41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  <col min="9" max="9" width="13.2851562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48" t="s">
        <v>2</v>
      </c>
      <c r="B5" s="48"/>
      <c r="C5" s="48"/>
      <c r="D5" s="48"/>
      <c r="E5" s="48"/>
      <c r="F5" s="48"/>
      <c r="G5" s="48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2024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4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1" t="s">
        <v>10</v>
      </c>
      <c r="B11" s="52" t="s">
        <v>11</v>
      </c>
      <c r="C11" s="52"/>
      <c r="D11" s="51" t="s">
        <v>12</v>
      </c>
      <c r="E11" s="51" t="s">
        <v>13</v>
      </c>
      <c r="F11" s="49" t="s">
        <v>14</v>
      </c>
      <c r="G11" s="51" t="s">
        <v>15</v>
      </c>
    </row>
    <row r="12" spans="1:10">
      <c r="A12" s="50"/>
      <c r="B12" s="53" t="s">
        <v>16</v>
      </c>
      <c r="C12" s="55" t="s">
        <v>17</v>
      </c>
      <c r="D12" s="50"/>
      <c r="E12" s="50"/>
      <c r="F12" s="50"/>
      <c r="G12" s="50"/>
    </row>
    <row r="13" spans="1:10">
      <c r="A13" s="50"/>
      <c r="B13" s="54"/>
      <c r="C13" s="56"/>
      <c r="D13" s="50"/>
      <c r="E13" s="50"/>
      <c r="F13" s="50"/>
      <c r="G13" s="50"/>
    </row>
    <row r="14" spans="1:10">
      <c r="A14" s="50"/>
      <c r="B14" s="54"/>
      <c r="C14" s="56"/>
      <c r="D14" s="50"/>
      <c r="E14" s="50"/>
      <c r="F14" s="50"/>
      <c r="G14" s="50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2402024.53</v>
      </c>
      <c r="C16" s="30">
        <v>5604723.92</v>
      </c>
      <c r="D16" s="30"/>
      <c r="E16" s="30"/>
      <c r="F16" s="30"/>
      <c r="G16" s="30">
        <f>+B16+C16</f>
        <v>8006748.45</v>
      </c>
    </row>
    <row r="17" spans="1:10">
      <c r="A17" s="4" t="s">
        <v>20</v>
      </c>
      <c r="B17" s="30"/>
      <c r="C17" s="30">
        <f>386391.99+1530.75</f>
        <v>387922.74</v>
      </c>
      <c r="D17" s="30"/>
      <c r="E17" s="30"/>
      <c r="F17" s="30"/>
      <c r="G17" s="30">
        <f>SUM(B17:F17)</f>
        <v>387922.74</v>
      </c>
    </row>
    <row r="18" spans="1:10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2212281.96</v>
      </c>
      <c r="C19" s="32">
        <v>897167.65</v>
      </c>
      <c r="D19" s="32"/>
      <c r="E19" s="32"/>
      <c r="F19" s="32"/>
      <c r="G19" s="33">
        <f>SUM(B19:F19)</f>
        <v>3109449.61</v>
      </c>
    </row>
    <row r="20" spans="1:10">
      <c r="A20" s="6" t="s">
        <v>23</v>
      </c>
      <c r="B20" s="32">
        <v>1035514.69</v>
      </c>
      <c r="C20" s="32">
        <v>690635.58</v>
      </c>
      <c r="D20" s="32"/>
      <c r="E20" s="32"/>
      <c r="F20" s="32"/>
      <c r="G20" s="33">
        <f>SUM(B20:F20)</f>
        <v>1726150.27</v>
      </c>
    </row>
    <row r="21" spans="1:10">
      <c r="A21" s="6" t="s">
        <v>24</v>
      </c>
      <c r="B21" s="32">
        <v>8</v>
      </c>
      <c r="C21" s="32">
        <v>715804.14</v>
      </c>
      <c r="D21" s="32"/>
      <c r="E21" s="32"/>
      <c r="F21" s="32"/>
      <c r="G21" s="33">
        <f>SUM(B21:F21)</f>
        <v>715812.14</v>
      </c>
    </row>
    <row r="22" spans="1:10">
      <c r="A22" s="6" t="s">
        <v>25</v>
      </c>
      <c r="B22" s="32">
        <v>922984.99</v>
      </c>
      <c r="C22" s="32">
        <v>53164.9</v>
      </c>
      <c r="D22" s="32"/>
      <c r="E22" s="32"/>
      <c r="F22" s="32"/>
      <c r="G22" s="33">
        <f>SUM(B22:F22)</f>
        <v>976149.89</v>
      </c>
    </row>
    <row r="23" spans="1:10">
      <c r="A23" s="6" t="s">
        <v>26</v>
      </c>
      <c r="B23" s="32"/>
      <c r="C23" s="42">
        <v>96523.55</v>
      </c>
      <c r="D23" s="34"/>
      <c r="E23" s="34"/>
      <c r="F23" s="34"/>
      <c r="G23" s="42">
        <f>SUM(B23:F23)</f>
        <v>96523.55</v>
      </c>
      <c r="I23" s="46"/>
    </row>
    <row r="24" spans="1:10">
      <c r="A24" s="7" t="s">
        <v>27</v>
      </c>
      <c r="B24" s="31"/>
      <c r="C24" s="36"/>
      <c r="D24" s="31"/>
      <c r="E24" s="36"/>
      <c r="F24" s="31"/>
      <c r="G24" s="35"/>
    </row>
    <row r="25" spans="1:10">
      <c r="A25" s="8" t="s">
        <v>28</v>
      </c>
      <c r="B25" s="37">
        <f>SUM(B16:B24)</f>
        <v>6572814.17</v>
      </c>
      <c r="C25" s="37">
        <f>SUM(C16:C24)</f>
        <v>8445942.48</v>
      </c>
      <c r="D25" s="37"/>
      <c r="E25" s="37"/>
      <c r="F25" s="37"/>
      <c r="G25" s="37">
        <f>SUM(G16:G24)</f>
        <v>15018756.65</v>
      </c>
    </row>
    <row r="26" spans="1:10">
      <c r="A26" s="8" t="s">
        <v>29</v>
      </c>
      <c r="B26" s="30"/>
      <c r="C26" s="30"/>
      <c r="D26" s="30"/>
      <c r="E26" s="30"/>
      <c r="F26" s="30"/>
      <c r="G26" s="30"/>
    </row>
    <row r="27" spans="1:10">
      <c r="A27" s="8" t="s">
        <v>30</v>
      </c>
      <c r="B27" s="30"/>
      <c r="C27" s="30">
        <v>9334</v>
      </c>
      <c r="D27" s="30"/>
      <c r="E27" s="30"/>
      <c r="F27" s="30"/>
      <c r="G27" s="30">
        <f>SUM(B27:F27)</f>
        <v>9334</v>
      </c>
    </row>
    <row r="28" spans="1:10">
      <c r="A28" s="8" t="s">
        <v>31</v>
      </c>
      <c r="B28" s="30"/>
      <c r="C28" s="30">
        <f>34809+42250+116370</f>
        <v>193429</v>
      </c>
      <c r="D28" s="30"/>
      <c r="E28" s="30"/>
      <c r="F28" s="30"/>
      <c r="G28" s="30">
        <f>SUM(B28:F28)</f>
        <v>193429</v>
      </c>
    </row>
    <row r="29" spans="1:10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10">
      <c r="A30" s="8" t="s">
        <v>33</v>
      </c>
      <c r="B30" s="30"/>
      <c r="C30" s="30">
        <f>5740+3600+12500+1300+28000+8000+21250+6500+12000+6500+30590+26000+2990+7500+10500+48300+45968+268854+10095</f>
        <v>556187</v>
      </c>
      <c r="D30" s="30"/>
      <c r="E30" s="30"/>
      <c r="F30" s="30"/>
      <c r="G30" s="30">
        <f>SUM(B30:F30)</f>
        <v>556187</v>
      </c>
    </row>
    <row r="31" spans="1:10">
      <c r="A31" s="8" t="s">
        <v>34</v>
      </c>
      <c r="B31" s="30"/>
      <c r="C31" s="30">
        <f>12000+704+9000+30000</f>
        <v>51704</v>
      </c>
      <c r="D31" s="30"/>
      <c r="E31" s="30"/>
      <c r="F31" s="30"/>
      <c r="G31" s="30">
        <f>SUM(B31:F31)</f>
        <v>51704</v>
      </c>
    </row>
    <row r="32" spans="1:10" customHeight="1" ht="24.75">
      <c r="A32" s="40" t="s">
        <v>35</v>
      </c>
      <c r="B32" s="43"/>
      <c r="C32" s="43">
        <v>11570</v>
      </c>
      <c r="D32" s="43"/>
      <c r="E32" s="43"/>
      <c r="F32" s="43"/>
      <c r="G32" s="43">
        <f>SUM(B32:F32)</f>
        <v>11570</v>
      </c>
    </row>
    <row r="33" spans="1:10" customHeight="1" ht="24.75">
      <c r="A33" s="40" t="s">
        <v>36</v>
      </c>
      <c r="B33" s="39"/>
      <c r="C33" s="39">
        <v>38506.3</v>
      </c>
      <c r="D33" s="39"/>
      <c r="E33" s="39"/>
      <c r="F33" s="39"/>
      <c r="G33" s="39">
        <f>SUM(B33:F33)</f>
        <v>38506.3</v>
      </c>
    </row>
    <row r="34" spans="1:10" customHeight="1" ht="36.75">
      <c r="A34" s="40" t="s">
        <v>37</v>
      </c>
      <c r="B34" s="30"/>
      <c r="C34" s="30">
        <f>49600+100000</f>
        <v>149600</v>
      </c>
      <c r="D34" s="30"/>
      <c r="E34" s="30"/>
      <c r="F34" s="30"/>
      <c r="G34" s="30">
        <f>SUM(B34:F34)</f>
        <v>149600</v>
      </c>
    </row>
    <row r="35" spans="1:10">
      <c r="A35" s="44" t="s">
        <v>38</v>
      </c>
      <c r="B35" s="43"/>
      <c r="C35" s="43">
        <f>66450+36300</f>
        <v>102750</v>
      </c>
      <c r="D35" s="43"/>
      <c r="E35" s="43"/>
      <c r="F35" s="43"/>
      <c r="G35" s="43">
        <f>SUM(B35:F35)</f>
        <v>102750</v>
      </c>
    </row>
    <row r="36" spans="1:10">
      <c r="A36" s="8" t="s">
        <v>39</v>
      </c>
      <c r="B36" s="30"/>
      <c r="C36" s="30">
        <f>48580.5+31600+150000+105000</f>
        <v>335180.5</v>
      </c>
      <c r="D36" s="30"/>
      <c r="E36" s="30"/>
      <c r="F36" s="30"/>
      <c r="G36" s="30">
        <f>SUM(B36:F36)</f>
        <v>335180.5</v>
      </c>
    </row>
    <row r="37" spans="1:10">
      <c r="A37" s="8" t="s">
        <v>40</v>
      </c>
      <c r="B37" s="30"/>
      <c r="C37" s="30">
        <f>1056+27550+105080+12474+21475+114475+1254+8280+6000+1100+99990+6500+76800+249298+48000</f>
        <v>779332</v>
      </c>
      <c r="D37" s="30"/>
      <c r="E37" s="30"/>
      <c r="F37" s="30"/>
      <c r="G37" s="30">
        <f>SUM(B37:F37)</f>
        <v>779332</v>
      </c>
    </row>
    <row r="38" spans="1:10">
      <c r="A38" s="8" t="s">
        <v>41</v>
      </c>
      <c r="B38" s="47"/>
      <c r="C38" s="47">
        <v>2997000</v>
      </c>
      <c r="D38" s="30"/>
      <c r="E38" s="30"/>
      <c r="F38" s="30"/>
      <c r="G38" s="30">
        <f>SUM(B38:F38)</f>
        <v>2997000</v>
      </c>
    </row>
    <row r="39" spans="1:10">
      <c r="A39" s="8" t="s">
        <v>42</v>
      </c>
      <c r="B39" s="47">
        <v>1953506.83</v>
      </c>
      <c r="C39" s="47">
        <v>1556128.17</v>
      </c>
      <c r="D39" s="30"/>
      <c r="E39" s="30"/>
      <c r="F39" s="30"/>
      <c r="G39" s="30">
        <f>SUM(B39:F39)</f>
        <v>3509635</v>
      </c>
    </row>
    <row r="40" spans="1:10">
      <c r="A40" s="8" t="s">
        <v>43</v>
      </c>
      <c r="B40" s="41">
        <f>SUM(B27:B39)</f>
        <v>1953506.83</v>
      </c>
      <c r="C40" s="41">
        <f>SUM(C27:C39)</f>
        <v>6780720.97</v>
      </c>
      <c r="D40" s="41"/>
      <c r="E40" s="41"/>
      <c r="F40" s="41"/>
      <c r="G40" s="41">
        <f>SUM(G27:G39)</f>
        <v>8734227.8</v>
      </c>
      <c r="I40" s="46"/>
      <c r="J40" s="46"/>
    </row>
    <row r="41" spans="1:10">
      <c r="A41" s="9" t="s">
        <v>44</v>
      </c>
      <c r="B41" s="38">
        <f>+B25-B40</f>
        <v>4619307.34</v>
      </c>
      <c r="C41" s="38">
        <f>+C25-C40</f>
        <v>1665221.51</v>
      </c>
      <c r="D41" s="38"/>
      <c r="E41" s="38"/>
      <c r="F41" s="38"/>
      <c r="G41" s="38">
        <f>+G25-G40</f>
        <v>6284528.85</v>
      </c>
    </row>
    <row r="42" spans="1:10">
      <c r="A42" s="20"/>
      <c r="B42" s="20"/>
      <c r="C42" s="20"/>
      <c r="D42" s="20"/>
      <c r="E42" s="20"/>
      <c r="F42" s="20"/>
      <c r="G42" s="20"/>
    </row>
    <row r="43" spans="1:10">
      <c r="A43" s="58" t="s">
        <v>45</v>
      </c>
      <c r="B43" s="58"/>
      <c r="C43" s="58"/>
      <c r="D43" s="58"/>
      <c r="E43" s="58"/>
      <c r="F43" s="58"/>
      <c r="G43" s="58"/>
    </row>
    <row r="44" spans="1:10">
      <c r="C44" s="21"/>
      <c r="D44" s="21"/>
      <c r="E44" s="21"/>
      <c r="F44" s="21"/>
      <c r="G44" s="21"/>
    </row>
    <row r="45" spans="1:10">
      <c r="D45" s="45"/>
      <c r="E45" s="45"/>
    </row>
    <row r="46" spans="1:10">
      <c r="A46" s="59" t="s">
        <v>46</v>
      </c>
      <c r="B46" s="60"/>
      <c r="D46" s="61" t="s">
        <v>47</v>
      </c>
      <c r="E46" s="61"/>
    </row>
    <row r="47" spans="1:10">
      <c r="A47" s="57" t="s">
        <v>48</v>
      </c>
      <c r="B47" s="57"/>
      <c r="D47" s="62" t="s">
        <v>49</v>
      </c>
      <c r="E47" s="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B47"/>
    <mergeCell ref="A43:G43"/>
    <mergeCell ref="A46:B46"/>
    <mergeCell ref="D46:E46"/>
    <mergeCell ref="D47:E47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6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50</v>
      </c>
    </row>
    <row r="3" spans="1:1">
      <c r="A3" t="s">
        <v>51</v>
      </c>
    </row>
    <row r="5" spans="1:1">
      <c r="A5" t="s">
        <v>52</v>
      </c>
    </row>
    <row r="6" spans="1:1">
      <c r="A6" s="2" t="s">
        <v>53</v>
      </c>
    </row>
    <row r="9" spans="1:1">
      <c r="A9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2025-02-18T08:49:38+08:00</dcterms:modified>
  <dc:title/>
  <dc:description/>
  <dc:subject/>
  <cp:keywords/>
  <cp:category/>
</cp:coreProperties>
</file>