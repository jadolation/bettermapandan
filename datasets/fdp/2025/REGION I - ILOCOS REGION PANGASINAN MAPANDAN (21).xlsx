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BP 1" sheetId="1" r:id="rId4"/>
    <sheet name="LBP 2" sheetId="2" r:id="rId5"/>
    <sheet name="LBP 5" sheetId="3" r:id="rId6"/>
    <sheet name="LBP 6" sheetId="4" r:id="rId7"/>
    <sheet name="LBP 7" sheetId="5" r:id="rId8"/>
    <sheet name="COMPARATIVE" sheetId="6" r:id="rId9"/>
    <sheet name="BUDGET PER DEP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<sst xmlns="http://schemas.openxmlformats.org/spreadsheetml/2006/main" uniqueCount="921">
  <si>
    <t>LBP Form No. 1</t>
  </si>
  <si>
    <t>BUDGET OF EXPENDITURES AND SOURCE OF FINANCING</t>
  </si>
  <si>
    <t>MAPANDAN, PANGASINAN</t>
  </si>
  <si>
    <t>GENERAL FUND 101</t>
  </si>
  <si>
    <t>PARTICULARS</t>
  </si>
  <si>
    <t xml:space="preserve"> INCOME</t>
  </si>
  <si>
    <t xml:space="preserve">   PAST YEAR</t>
  </si>
  <si>
    <t>CURRENT YEAR 2024 APPROPRIATION</t>
  </si>
  <si>
    <t>BUDGET YEAR</t>
  </si>
  <si>
    <t>ACCOUNT</t>
  </si>
  <si>
    <t>CLASSI-</t>
  </si>
  <si>
    <t>First Semester</t>
  </si>
  <si>
    <t>2nd Semester</t>
  </si>
  <si>
    <t>TOTAL</t>
  </si>
  <si>
    <t>CODE</t>
  </si>
  <si>
    <t>FICATION</t>
  </si>
  <si>
    <t>ACTUAL</t>
  </si>
  <si>
    <t>(Actual)</t>
  </si>
  <si>
    <t>(Estimate)</t>
  </si>
  <si>
    <t>PROPOSED</t>
  </si>
  <si>
    <t>I. BEGINNING BALANCE</t>
  </si>
  <si>
    <t xml:space="preserve">      Retained Earnings</t>
  </si>
  <si>
    <t>R</t>
  </si>
  <si>
    <t>P</t>
  </si>
  <si>
    <t xml:space="preserve">      TOTAL BEGINNING BALANCE</t>
  </si>
  <si>
    <t>II. RECEIPTS:</t>
  </si>
  <si>
    <t xml:space="preserve">    A. Local Sources</t>
  </si>
  <si>
    <t xml:space="preserve">        1. Tax Revenue</t>
  </si>
  <si>
    <t xml:space="preserve">             a. Real Property Tax (RPT)</t>
  </si>
  <si>
    <t xml:space="preserve">                 1. Basic RPT</t>
  </si>
  <si>
    <t>4-01-02-040</t>
  </si>
  <si>
    <t xml:space="preserve">             b. Business Tax</t>
  </si>
  <si>
    <t>4-01-03-030</t>
  </si>
  <si>
    <t xml:space="preserve">             c. Other Local Tax</t>
  </si>
  <si>
    <t xml:space="preserve">                  1. Community Tax</t>
  </si>
  <si>
    <t>4-01-01-050</t>
  </si>
  <si>
    <t xml:space="preserve">                  2. Fines and Penalties - Tax Revenue</t>
  </si>
  <si>
    <t>4-01-04-990</t>
  </si>
  <si>
    <t xml:space="preserve">            TOTAL TAX REVENUE</t>
  </si>
  <si>
    <t xml:space="preserve">         2. Non- Tax Revenue</t>
  </si>
  <si>
    <t xml:space="preserve">             a.  Regulatory Fees</t>
  </si>
  <si>
    <t xml:space="preserve">                  1. Permit Fees</t>
  </si>
  <si>
    <t>4-02-01-010</t>
  </si>
  <si>
    <t xml:space="preserve">                  2. Motor Vehicles Users Charge</t>
  </si>
  <si>
    <t>4-02-01-011</t>
  </si>
  <si>
    <t xml:space="preserve">                  3. Registration Fees</t>
  </si>
  <si>
    <t>4-02-01-020</t>
  </si>
  <si>
    <t xml:space="preserve">                  4. Clearance and Certification Fees</t>
  </si>
  <si>
    <t>4-02-01-040</t>
  </si>
  <si>
    <t xml:space="preserve">                  5. Fees on Weights and Measures</t>
  </si>
  <si>
    <t>4-02-01-160</t>
  </si>
  <si>
    <t xml:space="preserve">                   TOTAL REGULATORY FEES</t>
  </si>
  <si>
    <t xml:space="preserve">             b. Service/Charges</t>
  </si>
  <si>
    <t xml:space="preserve">                 1. Garbage Fees</t>
  </si>
  <si>
    <t>4-02-02-190</t>
  </si>
  <si>
    <t xml:space="preserve">                 2. Other Service Charges</t>
  </si>
  <si>
    <t>4-02-01-990</t>
  </si>
  <si>
    <t xml:space="preserve">                 TOTAL SERVICE/CHARGES</t>
  </si>
  <si>
    <t xml:space="preserve">             c. Other Receipts</t>
  </si>
  <si>
    <t xml:space="preserve">                 1. Interest Income</t>
  </si>
  <si>
    <t>4-02-02-220</t>
  </si>
  <si>
    <t xml:space="preserve">                 2. Miscellaneous Income</t>
  </si>
  <si>
    <t>4-06-01-010</t>
  </si>
  <si>
    <t xml:space="preserve">                 3. Other Fines and Penalties</t>
  </si>
  <si>
    <t xml:space="preserve">                 TOTAL OTHER RECEIPTS</t>
  </si>
  <si>
    <t xml:space="preserve">             TOTAL NON-TAX REVENUE</t>
  </si>
  <si>
    <t xml:space="preserve">    B. External Sources</t>
  </si>
  <si>
    <t xml:space="preserve">         1. Share from the National Internal Revenue Taxes</t>
  </si>
  <si>
    <r>
      <t xml:space="preserve">              a. Share from National Tax  Allotment (NTA) new term for</t>
    </r>
    <r>
      <rPr>
        <rFont val="Arial"/>
        <b val="true"/>
        <i val="false"/>
        <strike val="false"/>
        <color rgb="FF000000"/>
        <sz val="8"/>
        <u val="none"/>
      </rPr>
      <t xml:space="preserve"> IRA</t>
    </r>
  </si>
  <si>
    <t>4-01-06-010</t>
  </si>
  <si>
    <t xml:space="preserve">              b. Share from Burley &amp; Native Tobacco Excise Tax</t>
  </si>
  <si>
    <t>4-03-01-010</t>
  </si>
  <si>
    <t xml:space="preserve">        TOTAL EXTERNAL SOURCES</t>
  </si>
  <si>
    <t xml:space="preserve">    C. Non-Income Receipts</t>
  </si>
  <si>
    <t xml:space="preserve">         1. Receipts from Loans and Borrowings</t>
  </si>
  <si>
    <t xml:space="preserve">              a. Acquisition of Loans</t>
  </si>
  <si>
    <t xml:space="preserve">         TOTAL NON-INCOME RECEIPTS</t>
  </si>
  <si>
    <t>TOTAL RECEIPTS</t>
  </si>
  <si>
    <t>TOTAL AVAILABLE RESOURCES FOR APPROPRIATION</t>
  </si>
  <si>
    <t>III. EXPENDITURES</t>
  </si>
  <si>
    <t xml:space="preserve">     Personal Services</t>
  </si>
  <si>
    <t xml:space="preserve"> </t>
  </si>
  <si>
    <t xml:space="preserve">           Salaries &amp; Wages - Regular</t>
  </si>
  <si>
    <t>5-01-01-010</t>
  </si>
  <si>
    <t xml:space="preserve">           Personnel Economic Relief Allowance (PERA)</t>
  </si>
  <si>
    <t>5-01-02-010</t>
  </si>
  <si>
    <t xml:space="preserve">           Representation Allowance (RA)</t>
  </si>
  <si>
    <t>5-01-02-020</t>
  </si>
  <si>
    <t xml:space="preserve">           Transportation Allowance (TA)</t>
  </si>
  <si>
    <t>5-01-02-030</t>
  </si>
  <si>
    <t xml:space="preserve">           Clothing/Uniform Allowance</t>
  </si>
  <si>
    <t>5-01-02-040</t>
  </si>
  <si>
    <t xml:space="preserve">           Subsistence Allowance</t>
  </si>
  <si>
    <t>5-01-02-050</t>
  </si>
  <si>
    <t xml:space="preserve">           Laundry Allowance</t>
  </si>
  <si>
    <t>5-01-02-060</t>
  </si>
  <si>
    <t xml:space="preserve">           Productivity Enhancement Incentive</t>
  </si>
  <si>
    <t>5-01-02-080</t>
  </si>
  <si>
    <t xml:space="preserve">           Service Recognition Incentive (SRI)</t>
  </si>
  <si>
    <t>5-01-02-081</t>
  </si>
  <si>
    <t xml:space="preserve">           Hazard Pay</t>
  </si>
  <si>
    <t>5-01-02-110</t>
  </si>
  <si>
    <t xml:space="preserve">           Year End Bonus</t>
  </si>
  <si>
    <t>5-01-02-140</t>
  </si>
  <si>
    <t xml:space="preserve">           Cash Gift</t>
  </si>
  <si>
    <t>5-01-02-150</t>
  </si>
  <si>
    <t xml:space="preserve">           Mid-Year Bonus</t>
  </si>
  <si>
    <t>5-01-02-151</t>
  </si>
  <si>
    <t xml:space="preserve">           Retirement &amp; Life Insurance Premiums</t>
  </si>
  <si>
    <t>5-01-03-010</t>
  </si>
  <si>
    <t xml:space="preserve">           Pag-IBIG Contributions</t>
  </si>
  <si>
    <t>5-01-03-020</t>
  </si>
  <si>
    <t xml:space="preserve">           PhilHealth Contributions</t>
  </si>
  <si>
    <t>5-01-03-030</t>
  </si>
  <si>
    <t xml:space="preserve">           Employees Compensation Insurance Premiums</t>
  </si>
  <si>
    <t>5-01-03-040</t>
  </si>
  <si>
    <t xml:space="preserve">           Terminal Leave Benefits</t>
  </si>
  <si>
    <t>5-01-04-030</t>
  </si>
  <si>
    <t xml:space="preserve">           Other Personnel Benefits</t>
  </si>
  <si>
    <t>5-01-04-990</t>
  </si>
  <si>
    <t>TOTAL PERSONAL SERVICES</t>
  </si>
  <si>
    <t xml:space="preserve">   Maintenance and Other Operating Expenses</t>
  </si>
  <si>
    <t xml:space="preserve">        Traveling Expenses - Local</t>
  </si>
  <si>
    <t>5-02-01-010</t>
  </si>
  <si>
    <t xml:space="preserve">        Training Expenses</t>
  </si>
  <si>
    <t>5-02-02-010</t>
  </si>
  <si>
    <t xml:space="preserve">        Office Supplies Expenses</t>
  </si>
  <si>
    <t>5-02-03-010</t>
  </si>
  <si>
    <t xml:space="preserve">        Accountable Forms Expenses</t>
  </si>
  <si>
    <t>5-02-03-020</t>
  </si>
  <si>
    <t xml:space="preserve">        Drugs &amp; Medicines Expenses</t>
  </si>
  <si>
    <t>5-02-03-070</t>
  </si>
  <si>
    <t xml:space="preserve">        Drugs and Medicine Expenses for Anti-Rabies Vaccine</t>
  </si>
  <si>
    <t>5-02-03-070-1</t>
  </si>
  <si>
    <t xml:space="preserve">        Fuel, Oil &amp; Lubricants Expenses</t>
  </si>
  <si>
    <t>5-02-03-090</t>
  </si>
  <si>
    <t xml:space="preserve">        Medical/Family Planning &amp; Laboratory Supplies</t>
  </si>
  <si>
    <t>5-02-03-990</t>
  </si>
  <si>
    <t xml:space="preserve">        Water Expenses</t>
  </si>
  <si>
    <t>5-02-04-010</t>
  </si>
  <si>
    <t xml:space="preserve">        Electricity Expenses</t>
  </si>
  <si>
    <t>5-02-04-020</t>
  </si>
  <si>
    <t xml:space="preserve">        Postage &amp; Courier Services</t>
  </si>
  <si>
    <t>5-02-05-010</t>
  </si>
  <si>
    <t xml:space="preserve">        Telephone Expenses/Landline/Mobile</t>
  </si>
  <si>
    <t>5-02-05-020</t>
  </si>
  <si>
    <t xml:space="preserve">        Internet Subscription Expenses</t>
  </si>
  <si>
    <t>5-02-05-030</t>
  </si>
  <si>
    <t xml:space="preserve">            Extraordinary &amp; Misc. Expenses(2% of P2,593,727.93)</t>
  </si>
  <si>
    <t>5-02-10-030</t>
  </si>
  <si>
    <t xml:space="preserve">        Auditing Services</t>
  </si>
  <si>
    <t>5-02-11-020</t>
  </si>
  <si>
    <t xml:space="preserve">        Consultancy Services</t>
  </si>
  <si>
    <t>5-02-11-030</t>
  </si>
  <si>
    <t xml:space="preserve">        Other General Services</t>
  </si>
  <si>
    <t>5-02-12-990</t>
  </si>
  <si>
    <t xml:space="preserve">        Repairs &amp; Maintenance - Machinery &amp; Equipment</t>
  </si>
  <si>
    <t>5-02-13-050</t>
  </si>
  <si>
    <r>
      <t xml:space="preserve">        Repairs &amp; Maintenance - </t>
    </r>
    <r>
      <rPr>
        <rFont val="Arial"/>
        <b val="false"/>
        <i val="false"/>
        <strike val="false"/>
        <color rgb="FF000000"/>
        <sz val="8"/>
        <u val="none"/>
      </rPr>
      <t xml:space="preserve">Transportation Equipment</t>
    </r>
  </si>
  <si>
    <t>5-02-13-060</t>
  </si>
  <si>
    <t xml:space="preserve">        Repairs and Maintenance-Buildings and Other Structures</t>
  </si>
  <si>
    <t>5-02-13-040</t>
  </si>
  <si>
    <t xml:space="preserve">        Fidelity Bond Premiums</t>
  </si>
  <si>
    <t>5-02-16-020</t>
  </si>
  <si>
    <t xml:space="preserve">        Insurance Expenses</t>
  </si>
  <si>
    <t>5-02-16-030</t>
  </si>
  <si>
    <t xml:space="preserve">        Advertising Expenses</t>
  </si>
  <si>
    <t>5-02-99-010</t>
  </si>
  <si>
    <t xml:space="preserve">       Printing and Publication Expenses</t>
  </si>
  <si>
    <t xml:space="preserve">        Other Maintenance and Operating Expenses</t>
  </si>
  <si>
    <t>5-02-99-990</t>
  </si>
  <si>
    <t xml:space="preserve">        Operations of Day Care Centers</t>
  </si>
  <si>
    <t>5-02-99-991</t>
  </si>
  <si>
    <t xml:space="preserve">        Operation of Devolved Social Service &amp; Programs</t>
  </si>
  <si>
    <t>5-02-99-992</t>
  </si>
  <si>
    <t xml:space="preserve">        Supplemental Feeding Program - DCC  ECCD</t>
  </si>
  <si>
    <t>5-02-99-990-2b</t>
  </si>
  <si>
    <t xml:space="preserve">        Assistance, Trainings &amp; Other Activities for PWDs</t>
  </si>
  <si>
    <t>5-02-99-990-3a</t>
  </si>
  <si>
    <t xml:space="preserve">        Assistance &amp; Capability Trainings for Solo Parents</t>
  </si>
  <si>
    <t>5-02-99-990-3b</t>
  </si>
  <si>
    <t xml:space="preserve">        Support to CICL, CAR &amp; OSY</t>
  </si>
  <si>
    <t>5-02-99-990-3c</t>
  </si>
  <si>
    <t xml:space="preserve">        Maint. Cost of Rehabilitation of CICL from RRCY</t>
  </si>
  <si>
    <t>5-02-99-990-3d</t>
  </si>
  <si>
    <t xml:space="preserve">        Support to Pantawid Pamilyang Pilipino Program</t>
  </si>
  <si>
    <t>5-02-99-990-3e</t>
  </si>
  <si>
    <t>SUB TOTAL MAINT. &amp; OTHER OPERATING EXPENSES</t>
  </si>
  <si>
    <t xml:space="preserve">        Other MOE - Assorted Vegetable Seeds</t>
  </si>
  <si>
    <t>5-02-99-990-6a</t>
  </si>
  <si>
    <t xml:space="preserve">        Other MOE - Anti Rabies Vaccines</t>
  </si>
  <si>
    <t>5-02-99-990-6b</t>
  </si>
  <si>
    <t xml:space="preserve">        Support to Farmers - Palay Seeds Assistance</t>
  </si>
  <si>
    <t>5-02-99-990-6c</t>
  </si>
  <si>
    <t xml:space="preserve">        Support to Farmers - Fertilizer Assistance</t>
  </si>
  <si>
    <t>5-02-99-990-6d</t>
  </si>
  <si>
    <t xml:space="preserve">        Support to Farmers - Hybrid Yellow Corn Assistance</t>
  </si>
  <si>
    <t>5-02-99-990-6f</t>
  </si>
  <si>
    <t xml:space="preserve">        Other MOE - Support toTobacco Farmers-Fertilizer Assistance</t>
  </si>
  <si>
    <t>5-02-99-990-6g</t>
  </si>
  <si>
    <t xml:space="preserve">    TOTAL MAINT. &amp; OTHER OPERATING EXPENSES</t>
  </si>
  <si>
    <t xml:space="preserve">    Capital Outlay</t>
  </si>
  <si>
    <t xml:space="preserve">         Computer Software </t>
  </si>
  <si>
    <t>1-09-01-020</t>
  </si>
  <si>
    <t xml:space="preserve">         Renovation of Teachers Hall as the New Municipal Social Welfare and Development Office</t>
  </si>
  <si>
    <t>1-07-05-010-3</t>
  </si>
  <si>
    <t xml:space="preserve">         Other Machinery &amp; Equipment - Chest Freezer</t>
  </si>
  <si>
    <t>1-07-05-990-1</t>
  </si>
  <si>
    <t xml:space="preserve">         Equipment Outlay</t>
  </si>
  <si>
    <t>1-07-05-020</t>
  </si>
  <si>
    <t xml:space="preserve">         Other Propoerties and Equipment</t>
  </si>
  <si>
    <t>1-07-05-030</t>
  </si>
  <si>
    <t xml:space="preserve">         Motor Vehicle</t>
  </si>
  <si>
    <t>1-07-06-010</t>
  </si>
  <si>
    <t xml:space="preserve">    TOTAL CAPITAL OUTLAY</t>
  </si>
  <si>
    <t xml:space="preserve">    Special Purpose Appropriations (SPAS)</t>
  </si>
  <si>
    <t xml:space="preserve">         20% Development Fund</t>
  </si>
  <si>
    <t xml:space="preserve">         5% MDRRMF (Budgetary Reserves)</t>
  </si>
  <si>
    <t xml:space="preserve">            1%  For Local Council for the Protection of Children - LCPC</t>
  </si>
  <si>
    <t>5-02-99-990-25</t>
  </si>
  <si>
    <t xml:space="preserve">         Aid to (15) Barangays</t>
  </si>
  <si>
    <t>5-02-14-030-1</t>
  </si>
  <si>
    <t xml:space="preserve">   TOTAL SPECIAL PURPOSE APPROPRIATIONS</t>
  </si>
  <si>
    <t xml:space="preserve">   Non-Office Expenditures</t>
  </si>
  <si>
    <t xml:space="preserve">           Lump sum Appropriations for Possible Salary Adjustment</t>
  </si>
  <si>
    <t>5-01-04-990-2</t>
  </si>
  <si>
    <t xml:space="preserve">           TOTAL PERSONAL SERVICES - OSPA</t>
  </si>
  <si>
    <t xml:space="preserve">    Other Special Purpose Appropriations</t>
  </si>
  <si>
    <t xml:space="preserve">           Electricity Expenses for Boulevard Lights</t>
  </si>
  <si>
    <t>5-02-04-020-1</t>
  </si>
  <si>
    <t xml:space="preserve">           Research, Exploration &amp; Development Expenses</t>
  </si>
  <si>
    <t>5-02-07-020</t>
  </si>
  <si>
    <t xml:space="preserve">           Repairs and Maintenance-Infrastructure Asset</t>
  </si>
  <si>
    <t>5-02-13-030</t>
  </si>
  <si>
    <t xml:space="preserve">           Maint. Of Boulevard Lights and Other Facilities</t>
  </si>
  <si>
    <t>5-02-13-030-1</t>
  </si>
  <si>
    <t xml:space="preserve">           Maint. Of Plaza, Parks and Monuments</t>
  </si>
  <si>
    <t>5-02-13-030-2</t>
  </si>
  <si>
    <t xml:space="preserve">           Maint. Of Municipal Buildings and Other Facilities</t>
  </si>
  <si>
    <t>5-02-13-040-1</t>
  </si>
  <si>
    <t xml:space="preserve">          Repairs and Maint. of Cultural Properties/Structures</t>
  </si>
  <si>
    <t>5-02-13-040-99</t>
  </si>
  <si>
    <t xml:space="preserve">           Maint. Of Barangay MRF</t>
  </si>
  <si>
    <t>5-02-13-040-2</t>
  </si>
  <si>
    <t xml:space="preserve">           Sanitary Landfill Expenses</t>
  </si>
  <si>
    <t>5-02-13-990-1</t>
  </si>
  <si>
    <t xml:space="preserve">           Rep. &amp; Maint. For the Operation of MRF</t>
  </si>
  <si>
    <t>5-02-13-990-2</t>
  </si>
  <si>
    <t xml:space="preserve">           Subsidy to Philippine National Police (PNP)</t>
  </si>
  <si>
    <t>5-02-14-020-1</t>
  </si>
  <si>
    <t xml:space="preserve">           Peace and Order</t>
  </si>
  <si>
    <t>5-02-14-020-1a</t>
  </si>
  <si>
    <t xml:space="preserve">           Subsidy to Municipal Local Government Officer </t>
  </si>
  <si>
    <t>5-02-14-020-2</t>
  </si>
  <si>
    <t xml:space="preserve">           Susidy to Municipal Trial Court (MTC)</t>
  </si>
  <si>
    <t>5-02-14-020-3</t>
  </si>
  <si>
    <t xml:space="preserve">           Subsidy to Bureau of Fire Protection (BFP)</t>
  </si>
  <si>
    <t>5-02-14-020-4</t>
  </si>
  <si>
    <t xml:space="preserve">           Subsidy to Commission on Election (COMELEC)</t>
  </si>
  <si>
    <t>5-02-14-020-5</t>
  </si>
  <si>
    <t xml:space="preserve">           Subsidy to Non-Government Organizations</t>
  </si>
  <si>
    <t>5-02-14-020-7</t>
  </si>
  <si>
    <t xml:space="preserve">           Subsidy to Brgy. Health Workers (BHW)</t>
  </si>
  <si>
    <t>5-02-14-020-8</t>
  </si>
  <si>
    <t xml:space="preserve">           Subsidy to Brgy. Health Workers (BSPO)</t>
  </si>
  <si>
    <t>5-02-14-020-10</t>
  </si>
  <si>
    <t xml:space="preserve">           Subsidy to Brgy. Health Workers (BNS)</t>
  </si>
  <si>
    <t>5-02-14-020-11</t>
  </si>
  <si>
    <t xml:space="preserve">           Nutrition and Population Services</t>
  </si>
  <si>
    <t>5-02-14-020-9</t>
  </si>
  <si>
    <t xml:space="preserve">           Insurance of New Public Market/Mun. Bldgs.</t>
  </si>
  <si>
    <t>5-02-16-030-1</t>
  </si>
  <si>
    <t xml:space="preserve">           Grants and Donations</t>
  </si>
  <si>
    <t>5-02-99-080-1</t>
  </si>
  <si>
    <t xml:space="preserve">           Support for Anti-Red Tape</t>
  </si>
  <si>
    <t>5-02-99-990-10</t>
  </si>
  <si>
    <t xml:space="preserve">           Tourism Expenses</t>
  </si>
  <si>
    <t>5-02-99-990-11</t>
  </si>
  <si>
    <t xml:space="preserve">           Lot Rental (Roman Catholic Lot)</t>
  </si>
  <si>
    <t>5-02-99-990-12</t>
  </si>
  <si>
    <t xml:space="preserve">           Local Blood Council</t>
  </si>
  <si>
    <t>5-02-99-990-13</t>
  </si>
  <si>
    <t xml:space="preserve">           Election Expenses</t>
  </si>
  <si>
    <t>5-02-99-990-14</t>
  </si>
  <si>
    <t>SUB TOTAL OTHER SPECIAL PURPOSE APPROPRIATIONS</t>
  </si>
  <si>
    <t xml:space="preserve">           Gender Issues</t>
  </si>
  <si>
    <t>5-02-99-990-1a</t>
  </si>
  <si>
    <t xml:space="preserve">           Anti-Drug Abuse Program</t>
  </si>
  <si>
    <t>5-02-99-990-23</t>
  </si>
  <si>
    <t xml:space="preserve">           Promotion of Culture and Arts</t>
  </si>
  <si>
    <t>5-02-99-990-28</t>
  </si>
  <si>
    <t xml:space="preserve">           PhilHealth Assistance Contributions</t>
  </si>
  <si>
    <t>5-02-99-990-2a</t>
  </si>
  <si>
    <t xml:space="preserve">           Tax Mapping Expenses</t>
  </si>
  <si>
    <t>5-02-99-990-3</t>
  </si>
  <si>
    <t xml:space="preserve">           Tax Campaign Expenses</t>
  </si>
  <si>
    <t xml:space="preserve">           Senior Citizens Services</t>
  </si>
  <si>
    <t>5-02-99-990-4</t>
  </si>
  <si>
    <t xml:space="preserve">           PLEB Services</t>
  </si>
  <si>
    <t>5-02-99-990-5</t>
  </si>
  <si>
    <t xml:space="preserve">           Clean and Green Program </t>
  </si>
  <si>
    <t>5-02-99-990-6</t>
  </si>
  <si>
    <t xml:space="preserve">           Sports Development Program</t>
  </si>
  <si>
    <t>5-02-99-990-7</t>
  </si>
  <si>
    <t xml:space="preserve">           Support for Government Affairs</t>
  </si>
  <si>
    <t>5-02-99-990-9</t>
  </si>
  <si>
    <t xml:space="preserve">           Educational Assistance</t>
  </si>
  <si>
    <t>5-02-99-990-16</t>
  </si>
  <si>
    <t xml:space="preserve">           Educational Assistance-TESDA Program</t>
  </si>
  <si>
    <t>5-02-99-990-16a</t>
  </si>
  <si>
    <t xml:space="preserve">           Relief Goods &amp; Other Exp. Regarding Covid-19</t>
  </si>
  <si>
    <t>5-02-99-990-30</t>
  </si>
  <si>
    <t xml:space="preserve">           Local Youth Development Expense</t>
  </si>
  <si>
    <t>5-02-99-990-33</t>
  </si>
  <si>
    <t xml:space="preserve">           Subsidy to Solo Parent</t>
  </si>
  <si>
    <t>5-02-99-990-34</t>
  </si>
  <si>
    <t>SUB TOTAL - OTHER SPA</t>
  </si>
  <si>
    <t>TOTAL OTHER SPECIAL PURPOSE APPROPRIATIONS</t>
  </si>
  <si>
    <t>TOTAL SPECIAL PURPOSE APPROPRIATIONS</t>
  </si>
  <si>
    <t>TOTAL EXPENDITURES</t>
  </si>
  <si>
    <t>IV. Ending Balance</t>
  </si>
  <si>
    <t>We hereby certify that the information presented above are true and correct. We further certify that the foregoing estimated receipts are reasonably projected as collectible for the Budget Year.</t>
  </si>
  <si>
    <t>LOCAL FINANCE COMMITTEE</t>
  </si>
  <si>
    <t xml:space="preserve">                        VEVERLY V. YMANA, CPA                          ANA MARICRIS B. NATAVIO                        ARCHT. MELCHOR N. SERAPION                                  RUTH B. SOTTO, CPA</t>
  </si>
  <si>
    <t xml:space="preserve">                         Acting Municipal Treasurer                               Municipal Budget Officer                       Mun. Planning and Development Coordinator                          Municipal Accountant</t>
  </si>
  <si>
    <t>Approved:</t>
  </si>
  <si>
    <t>HON. KARL CHRISTIAN F. VEGA</t>
  </si>
  <si>
    <t>Municipal Mayor</t>
  </si>
  <si>
    <t>OPERATION OF ECONOMIC ENTERPRISES</t>
  </si>
  <si>
    <t xml:space="preserve">    A. Business Income</t>
  </si>
  <si>
    <t xml:space="preserve">         Income from  Markets</t>
  </si>
  <si>
    <t>4-02-02-140</t>
  </si>
  <si>
    <t xml:space="preserve">         Income from Slaughter Fee</t>
  </si>
  <si>
    <t>4-02-02-150</t>
  </si>
  <si>
    <t xml:space="preserve">         Income from Cemetery Operations</t>
  </si>
  <si>
    <t>4-02-02-160</t>
  </si>
  <si>
    <t xml:space="preserve">        TOTAL BUSINESS INCOME</t>
  </si>
  <si>
    <t xml:space="preserve">           Salaries - Regular</t>
  </si>
  <si>
    <t xml:space="preserve">     Other Compensation</t>
  </si>
  <si>
    <t xml:space="preserve">           Productivity Enhancement Incentives</t>
  </si>
  <si>
    <t xml:space="preserve">     Personnel Benefit Contributions</t>
  </si>
  <si>
    <t xml:space="preserve">          Other Personnel Benefits</t>
  </si>
  <si>
    <t xml:space="preserve">    TOTAL PERSONAL SERVICES</t>
  </si>
  <si>
    <t xml:space="preserve">    Maintenance and Other Operating Expenses</t>
  </si>
  <si>
    <t xml:space="preserve">        Repairs and Maintenance – Buildings  and Other Structures</t>
  </si>
  <si>
    <t xml:space="preserve">                         Acting Municipal Treasurer                             Municipal Budget Officer                          Mun. Planning and Development Coordinator                         Municipal Accountant</t>
  </si>
  <si>
    <t>LBP Form No. 2</t>
  </si>
  <si>
    <t>PROGRAMMED APPROPRIATION AND OBLIGATION BY OBJECT OF EXPENDITURE</t>
  </si>
  <si>
    <t>Mapandan, Pangasinan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</si>
  <si>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Mayor - 1011</t>
    </r>
  </si>
  <si>
    <t>Past Year</t>
  </si>
  <si>
    <t>Current Year (Estimate) 2024</t>
  </si>
  <si>
    <t>Budget Year</t>
  </si>
  <si>
    <t>Object of Expenditure</t>
  </si>
  <si>
    <t>Account Code</t>
  </si>
  <si>
    <t>Second Semester</t>
  </si>
  <si>
    <t>Total</t>
  </si>
  <si>
    <t>(Proposed)</t>
  </si>
  <si>
    <t xml:space="preserve">           Service Recognition Incentives</t>
  </si>
  <si>
    <t xml:space="preserve">     Other Personnel Benefits</t>
  </si>
  <si>
    <t xml:space="preserve">        Terminal Leave Benefits</t>
  </si>
  <si>
    <t xml:space="preserve">        Other Personnel Benefits</t>
  </si>
  <si>
    <t xml:space="preserve">        Extraordinary and Miscellaneous Expenses</t>
  </si>
  <si>
    <r>
      <t xml:space="preserve">        Repairs &amp; Maintenance - </t>
    </r>
    <r>
      <rPr>
        <rFont val="Calibri"/>
        <b val="false"/>
        <i val="false"/>
        <strike val="false"/>
        <color rgb="FF000000"/>
        <sz val="8"/>
        <u val="none"/>
      </rPr>
      <t xml:space="preserve">Transportation Equipment</t>
    </r>
  </si>
  <si>
    <t xml:space="preserve">        Fidelity bond Premiums</t>
  </si>
  <si>
    <t xml:space="preserve">        Printing and Publication Expenses</t>
  </si>
  <si>
    <t>5-02-99-020</t>
  </si>
  <si>
    <t xml:space="preserve">         Office Equipment</t>
  </si>
  <si>
    <t xml:space="preserve">         Other Properties and Equipment</t>
  </si>
  <si>
    <t>1-07-05-091-1</t>
  </si>
  <si>
    <t>TOTAL APPROPRIATIONS</t>
  </si>
  <si>
    <t>Prepared by:</t>
  </si>
  <si>
    <t>Reviewed by:</t>
  </si>
  <si>
    <t>Approved by:</t>
  </si>
  <si>
    <t>ANA MARICRIS B. NATAVIO</t>
  </si>
  <si>
    <t>Municipal Budget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</si>
  <si>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Municipal Disaster Risk Reduction Management Office 1011-1</t>
    </r>
  </si>
  <si>
    <t>MAIAN JEN M. ARGUELLES</t>
  </si>
  <si>
    <t>MDRRMO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</si>
  <si>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Vice Mayor - 1016</t>
    </r>
  </si>
  <si>
    <t>HON. GERALD GLENN L. TAMBAOAN</t>
  </si>
  <si>
    <t>Municipal Vice Mayor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</si>
  <si>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Sangguniang Bayan Members - 1021</t>
    </r>
  </si>
  <si>
    <t xml:space="preserve">        Repairs and Maintenance-Machinery and Equipment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</si>
  <si>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Human Resource Management - 1032</t>
    </r>
  </si>
  <si>
    <t>MADELINE B. FERRER</t>
  </si>
  <si>
    <t>Human Resource Management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</si>
  <si>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Municipal Planning &amp; Dev't. Officer - 1041</t>
    </r>
  </si>
  <si>
    <t>ARCHT. MELCHOR N. SERAPION</t>
  </si>
  <si>
    <t xml:space="preserve"> Municipal Planning &amp; Dev't. Coordinator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</si>
  <si>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Municipal Civil Registrar - 1051</t>
    </r>
  </si>
  <si>
    <t>KRISTELL MAY Q. SORIANO</t>
  </si>
  <si>
    <t xml:space="preserve"> Municipal Civil Registrar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</si>
  <si>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Budget Officer - 1071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</si>
  <si>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Accountant - 1081</t>
    </r>
  </si>
  <si>
    <t>RUTH B. SOTTO, CPA</t>
  </si>
  <si>
    <t>Municipal Accountant</t>
  </si>
  <si>
    <t xml:space="preserve">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</si>
  <si>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Treasurer - 1091</t>
    </r>
  </si>
  <si>
    <t xml:space="preserve">          Terminal Leave Benefits</t>
  </si>
  <si>
    <t>VEVERLY V. YMANA, CPA</t>
  </si>
  <si>
    <t>Acting Municipal Treasurer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</si>
  <si>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Assessor - 1101</t>
    </r>
  </si>
  <si>
    <t>JONATHAN M. PENULIAR</t>
  </si>
  <si>
    <t xml:space="preserve">Municipal Assessor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</si>
  <si>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Health Officer - 4411</t>
    </r>
  </si>
  <si>
    <t xml:space="preserve">         Other Personnel Benefits</t>
  </si>
  <si>
    <t xml:space="preserve">        Drugs and Medicines Expenses</t>
  </si>
  <si>
    <t xml:space="preserve">        Drugs and Medicines Expenses-Anti  Rabbies</t>
  </si>
  <si>
    <t xml:space="preserve">        Medical, Dental,Family Planning and Laboratory Supplies</t>
  </si>
  <si>
    <t>5-02-03-080</t>
  </si>
  <si>
    <t xml:space="preserve">        Fuel, Oil and Lubricants Expenses</t>
  </si>
  <si>
    <t xml:space="preserve">        Repairs &amp; Maintenance-Buildings and Other Structures</t>
  </si>
  <si>
    <t xml:space="preserve">        Repairs &amp; Maintenance - Transportation Equipment</t>
  </si>
  <si>
    <t xml:space="preserve">         Procurement of Lot for the Construction of Super RHU 2</t>
  </si>
  <si>
    <t>1-07-01-010</t>
  </si>
  <si>
    <t xml:space="preserve">         Purchase of Generator</t>
  </si>
  <si>
    <t>1-07-05-010</t>
  </si>
  <si>
    <t>DR. ANNA KARESSA QUINTO-ORTIZ</t>
  </si>
  <si>
    <t>Municipal Health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</si>
  <si>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Social Welfare &amp; Development - 7611</t>
    </r>
  </si>
  <si>
    <t xml:space="preserve">        Operations of Day Care Centers/Child Development Workers</t>
  </si>
  <si>
    <t>5-02-99-990-1</t>
  </si>
  <si>
    <t xml:space="preserve">        Operations of Devolved Services &amp; Programs</t>
  </si>
  <si>
    <t>5-02-99-990-2</t>
  </si>
  <si>
    <t xml:space="preserve">        Supplemental Feeding Program - DCC &amp; ECCD</t>
  </si>
  <si>
    <t xml:space="preserve">        Maintenance Cost of Rehabilitation of CICL from RRCY</t>
  </si>
  <si>
    <t xml:space="preserve">        Office Equipment</t>
  </si>
  <si>
    <t xml:space="preserve">        Renovation of Teachers Hall as the New Municipal Social Welfare and Development Office</t>
  </si>
  <si>
    <t>1-07-04-990-28</t>
  </si>
  <si>
    <t>RAMIL S. DE VERA</t>
  </si>
  <si>
    <t>Municipal Social Welfare &amp; Dev't.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</si>
  <si>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Agriculturist - 8711</t>
    </r>
  </si>
  <si>
    <t xml:space="preserve">        Other MOOE - Assorted Vegetable Seeds</t>
  </si>
  <si>
    <t xml:space="preserve">        Other MOOE - Anti Rabies Vaccines</t>
  </si>
  <si>
    <t xml:space="preserve">        Other MOOE - Support to Tobacco Farmers-Fertilizer Assistance</t>
  </si>
  <si>
    <t>5-02-99-990-6h</t>
  </si>
  <si>
    <t xml:space="preserve">       1-07-05-020</t>
  </si>
  <si>
    <t>MELVIN C. VILLANUEVA</t>
  </si>
  <si>
    <t xml:space="preserve"> Municipal Agriculturist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</si>
  <si>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Engineer - 8751</t>
    </r>
  </si>
  <si>
    <t>ENGR. ANGELO C. ABROGAR</t>
  </si>
  <si>
    <t>Municipal Engineer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</si>
  <si>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</t>
    </r>
    <r>
      <rPr>
        <rFont val="Calibri"/>
        <b val="true"/>
        <i val="false"/>
        <strike val="false"/>
        <color rgb="FF000000"/>
        <sz val="11"/>
        <u val="single"/>
      </rPr>
      <t xml:space="preserve"> Non-Office Expenditures - Other Special Purpose Appropriations -9999</t>
    </r>
  </si>
  <si>
    <t xml:space="preserve">   Personal Services - Other SPA</t>
  </si>
  <si>
    <t xml:space="preserve"> Total Personal Services -Other SPA</t>
  </si>
  <si>
    <t xml:space="preserve">   Maintenance and Other Operating Expenses - Other SPA</t>
  </si>
  <si>
    <t xml:space="preserve">           Repairs &amp; Maint.of Cultural Properties/Structures</t>
  </si>
  <si>
    <t xml:space="preserve">           Maint. Of Municipal Builings and Other Facilities</t>
  </si>
  <si>
    <t>5-02-13040-2</t>
  </si>
  <si>
    <t xml:space="preserve">           Repairs &amp; Maint. - For the Operation of MRF</t>
  </si>
  <si>
    <t xml:space="preserve">           Subsidy to Commission on Election</t>
  </si>
  <si>
    <t xml:space="preserve">           Subsidy to Barangay Health Workers</t>
  </si>
  <si>
    <t xml:space="preserve">           Subsidy to Brgy. Nutrition Workers (BNS)</t>
  </si>
  <si>
    <t>5-02-14-020-8a</t>
  </si>
  <si>
    <t xml:space="preserve">           Subsidy to Brgy. Population Officers (BSPO)</t>
  </si>
  <si>
    <t>5-02-14-020-8b</t>
  </si>
  <si>
    <t>Sub - Total MOOE-Other SPA</t>
  </si>
  <si>
    <t>TOTAL APPROPRIATIONS FOR THIS PAGE</t>
  </si>
  <si>
    <t xml:space="preserve">           Educational Assisstance</t>
  </si>
  <si>
    <t xml:space="preserve">           Educational Assisstance -TESDA Program</t>
  </si>
  <si>
    <t xml:space="preserve">           Local Council for the Protection of Children - LCPC</t>
  </si>
  <si>
    <t>5-02-99-990-26</t>
  </si>
  <si>
    <t xml:space="preserve">           Funds for COVID 19 related PPAs</t>
  </si>
  <si>
    <t>SUB - TOTAL</t>
  </si>
  <si>
    <t xml:space="preserve">     TOTAL MOOE -Other SPA</t>
  </si>
  <si>
    <t xml:space="preserve">     TOTAL OTHER SPECIAL PURPOSE APPROPRIATIONS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</si>
  <si>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5% Calamity Fund</t>
    </r>
  </si>
  <si>
    <t xml:space="preserve">        CALAMITY - Other Maintenance and Oeprating Expenses</t>
  </si>
  <si>
    <t xml:space="preserve">        CALAMITY - Quick Response fund</t>
  </si>
  <si>
    <t>5-02-99-990-27</t>
  </si>
  <si>
    <t xml:space="preserve">         MDRRM and CCA Mainstream Mun Projects &amp; Devts</t>
  </si>
  <si>
    <t>1-07-05-090-0</t>
  </si>
  <si>
    <t xml:space="preserve">        Improvement of Various Roads (Accident Prone Area)</t>
  </si>
  <si>
    <t>1-07-05-090-6</t>
  </si>
  <si>
    <t xml:space="preserve">        Other Properties and Equipment</t>
  </si>
  <si>
    <t xml:space="preserve">        Purchase of LED</t>
  </si>
  <si>
    <t>1-07-05-030-1</t>
  </si>
  <si>
    <t xml:space="preserve">        Purchase of Rescue Equipment, Tools and Accessories and Supplies</t>
  </si>
  <si>
    <t>1-07-05-090-2a</t>
  </si>
  <si>
    <t xml:space="preserve">        Motor Vehicle (Rescue Vehicle)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</si>
  <si>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20% Development Fund</t>
    </r>
  </si>
  <si>
    <t>Construction of One (1) Stop Shop Phase 1 &amp; 2 &amp; 3 &amp; 4</t>
  </si>
  <si>
    <t>1-07-03-990</t>
  </si>
  <si>
    <t xml:space="preserve">P </t>
  </si>
  <si>
    <t>LGU Payment of Loans</t>
  </si>
  <si>
    <t>2-01-02-040-1</t>
  </si>
  <si>
    <t>Construction  of Landbank ATM Hub</t>
  </si>
  <si>
    <t>1-07-04-990-11</t>
  </si>
  <si>
    <t>Improvement of Mapandan Public Market Phase 1/2/3</t>
  </si>
  <si>
    <t>1-07-04-040</t>
  </si>
  <si>
    <t>Additional Illumination of Mapandan Town Plaza Phase 1/2</t>
  </si>
  <si>
    <t>5-02-13-030-3a</t>
  </si>
  <si>
    <t>Improvement of Multi-Purpose covered court(Sta. Maria)</t>
  </si>
  <si>
    <t>1-07-02-012</t>
  </si>
  <si>
    <t>Improvement of Multi-Purpose covered court(Baloling)</t>
  </si>
  <si>
    <t>1-07-02-012-1</t>
  </si>
  <si>
    <t>Improvement of Barangay Road and drianage Canal at Maya St.- Barangay Amanoaoac, Papaya Avenue - Barangay Apaya, Caimito Extn - Barangay Aserda, Orchid St. - Barangay Nilombot and Bouganvilla St.  - Barangay Poblacion</t>
  </si>
  <si>
    <t>1-07-04-990-5/6/7/8/9</t>
  </si>
  <si>
    <t>Impro. Brgy Road/Drianage-Orchid St. Nilombot Phase 2/3</t>
  </si>
  <si>
    <t>1-07-04-990-8a</t>
  </si>
  <si>
    <t>Construction of Perimeter Fence, Backfilling and Concreting of Super Rural Health Unit's Ground</t>
  </si>
  <si>
    <t>1-07-04-990-10</t>
  </si>
  <si>
    <t>Construction of Cross Drain/Drainage Canal along Gondol Street, Primicias</t>
  </si>
  <si>
    <t>1-07-04-990-21</t>
  </si>
  <si>
    <t>Construction of Airconditioned Waiting Shed at Poblacion, Mapandan</t>
  </si>
  <si>
    <t>1-07-04-990-27</t>
  </si>
  <si>
    <t>Improvement/Extension of Office for MDRRM Command Center at Brgy. Poblacion</t>
  </si>
  <si>
    <t>1-07-04-990-22</t>
  </si>
  <si>
    <t>Improvement/Re-painting of Roof of the Mapandan Municipal Hall</t>
  </si>
  <si>
    <t>1-07-04-990-23</t>
  </si>
  <si>
    <t>Re-conctruction of Drainage Canal along Pico Avenue at Brgy. Coral</t>
  </si>
  <si>
    <t>1-07-04-990-24</t>
  </si>
  <si>
    <t>Construction of Covered Drainage Canal along Lawin Avenue at Brgy. Poblacion</t>
  </si>
  <si>
    <t>1-07-04-990-25</t>
  </si>
  <si>
    <t>Procurement and Installation of Industrial Fan at Tulagan Multi-Purpose Gym</t>
  </si>
  <si>
    <t>1-07-04-990-26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</si>
  <si>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Public Market - 8811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</si>
  <si>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Slaughterhouse - 8812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</si>
  <si>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Cemetery</t>
    </r>
    <r>
      <rPr>
        <rFont val="Calibri"/>
        <b val="true"/>
        <i val="false"/>
        <strike val="false"/>
        <color rgb="FF000000"/>
        <sz val="11"/>
        <u val="none"/>
      </rPr>
      <t xml:space="preserve"> 8841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</si>
  <si>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Cemetery - 8841</t>
    </r>
  </si>
  <si>
    <t>LBP Form No. 5</t>
  </si>
  <si>
    <t>STATEMENT OF INDEBTEDNESS</t>
  </si>
  <si>
    <t>Budget Year 2025</t>
  </si>
  <si>
    <t>Creditor</t>
  </si>
  <si>
    <t>Date Contracted</t>
  </si>
  <si>
    <t>Term</t>
  </si>
  <si>
    <t>Principal Amount</t>
  </si>
  <si>
    <t>Purpose</t>
  </si>
  <si>
    <t>Previous Payments Made</t>
  </si>
  <si>
    <t>Amount Due</t>
  </si>
  <si>
    <t>Balance of the Principal</t>
  </si>
  <si>
    <t>Principal</t>
  </si>
  <si>
    <t>Interest</t>
  </si>
  <si>
    <t>Land Bank of the Philippines</t>
  </si>
  <si>
    <t>Nov. 5, 2018</t>
  </si>
  <si>
    <t>Nov. 5, 2025</t>
  </si>
  <si>
    <t>Term Loan 9 - Acquisition of Equipment</t>
  </si>
  <si>
    <t>Term Loan 10 - Market Extension/Improvement</t>
  </si>
  <si>
    <t>Term Loan 10 - Motor Pool/ RC Wall Fence</t>
  </si>
  <si>
    <t>Procurement of Lot &amp; Constn of Cemetery Ext.2</t>
  </si>
  <si>
    <t>PENDING LOAN APPLICATION</t>
  </si>
  <si>
    <t xml:space="preserve">Term Loan - Procurement of 16 Rescue Vehicles </t>
  </si>
  <si>
    <t xml:space="preserve"> P </t>
  </si>
  <si>
    <t>Certified correct:</t>
  </si>
  <si>
    <t>Noted by:</t>
  </si>
  <si>
    <t>RUTH B. SOTTO</t>
  </si>
  <si>
    <t>LBP Form No. 6</t>
  </si>
  <si>
    <t>STATEMENT OF STATUTORY &amp; CONTRACTUAL OBLIGATIONS &amp; BUDGETARY REQUIREMENTS</t>
  </si>
  <si>
    <t>FISCAL YEAR 2025</t>
  </si>
  <si>
    <t>GENERAL FUND</t>
  </si>
  <si>
    <t>DESCRIPTION</t>
  </si>
  <si>
    <t>AMOUNTS</t>
  </si>
  <si>
    <t>(1)</t>
  </si>
  <si>
    <t>(2)</t>
  </si>
  <si>
    <t>1.  Statutory and Contractual Obligations</t>
  </si>
  <si>
    <t xml:space="preserve">      1.1.  Terminal Leave Benefits</t>
  </si>
  <si>
    <t xml:space="preserve">      </t>
  </si>
  <si>
    <t xml:space="preserve">      1.2.  Debt Service</t>
  </si>
  <si>
    <t xml:space="preserve">      1.3.  Employees Compensation Insurance Premiums</t>
  </si>
  <si>
    <t xml:space="preserve">      1.4.  PhilHealth Contributions</t>
  </si>
  <si>
    <t xml:space="preserve">      1.5.  Pag-IBIG Contribution</t>
  </si>
  <si>
    <t xml:space="preserve">     1.6.  Retirement and Life Insurance Premiums</t>
  </si>
  <si>
    <t>2.  Budgetary Requirements</t>
  </si>
  <si>
    <r>
      <t xml:space="preserve">      2.1.  20% of NTA for Development Fund (</t>
    </r>
    <r>
      <rPr>
        <rFont val="Calibri"/>
        <b val="true"/>
        <i val="false"/>
        <strike val="false"/>
        <color rgb="FF000000"/>
        <sz val="11"/>
        <u val="none"/>
      </rPr>
      <t xml:space="preserve">P 171,997,074.00 x 20%)</t>
    </r>
  </si>
  <si>
    <r>
      <t xml:space="preserve">      2.2.  5% LDRRM Fund </t>
    </r>
    <r>
      <rPr>
        <rFont val="Calibri"/>
        <b val="true"/>
        <i val="false"/>
        <strike val="false"/>
        <color rgb="FF000000"/>
        <sz val="11"/>
        <u val="none"/>
      </rPr>
      <t xml:space="preserve">(P185,488,074.00 x 5%)</t>
    </r>
  </si>
  <si>
    <r>
      <t xml:space="preserve">      2.3.  Financial Assistance to Barangays </t>
    </r>
    <r>
      <rPr>
        <rFont val="Calibri"/>
        <b val="true"/>
        <i val="false"/>
        <strike val="false"/>
        <color rgb="FF000000"/>
        <sz val="11"/>
        <u val="none"/>
      </rPr>
      <t xml:space="preserve">(P30,000.00 x 15 brgys)</t>
    </r>
  </si>
  <si>
    <r>
      <t xml:space="preserve">      2.4.  1% LCPC</t>
    </r>
    <r>
      <rPr>
        <rFont val="Calibri"/>
        <b val="true"/>
        <i val="false"/>
        <strike val="false"/>
        <color rgb="FF000000"/>
        <sz val="11"/>
        <u val="none"/>
      </rPr>
      <t xml:space="preserve"> (P 171,997,074.00 x 1%)</t>
    </r>
  </si>
  <si>
    <t>Certified Correct:</t>
  </si>
  <si>
    <t xml:space="preserve"> Mun. Planning &amp; Dev't. Coordinator</t>
  </si>
  <si>
    <t>OPERATION OF ECONOMIC ENTERPRISE</t>
  </si>
  <si>
    <t xml:space="preserve">      2.1.  20% of IRA for Development Fund</t>
  </si>
  <si>
    <t xml:space="preserve">      2.2.  5% Local Disaster Risk Reduction and Management</t>
  </si>
  <si>
    <t xml:space="preserve">      2.3.  Financial Assistance to Barangays </t>
  </si>
  <si>
    <t>LBP Form No. 7</t>
  </si>
  <si>
    <t>STATEMENT OF FUND ALLOCATION BY SECTOR CY 2025</t>
  </si>
  <si>
    <t>GENERAL PUBLIC</t>
  </si>
  <si>
    <t>SOCIAL</t>
  </si>
  <si>
    <t>ECONOMIC</t>
  </si>
  <si>
    <t>OTHER</t>
  </si>
  <si>
    <t>SERVICES</t>
  </si>
  <si>
    <t>APPROPRIATIONS</t>
  </si>
  <si>
    <t>A. Current Operating Expenditures</t>
  </si>
  <si>
    <t xml:space="preserve">    1. Personal Services</t>
  </si>
  <si>
    <t xml:space="preserve">        Salaries &amp; Wages - Regular</t>
  </si>
  <si>
    <t xml:space="preserve">        PERA</t>
  </si>
  <si>
    <t xml:space="preserve">        Representation Allowance (RA)</t>
  </si>
  <si>
    <t xml:space="preserve">        Transportation Allowance (TA)</t>
  </si>
  <si>
    <t xml:space="preserve">        Clothing/Uniform Allowance</t>
  </si>
  <si>
    <t xml:space="preserve">        Subsistence Allowance</t>
  </si>
  <si>
    <t xml:space="preserve">        Laundry Allowance</t>
  </si>
  <si>
    <t xml:space="preserve">        Productivity Enhancement Incentives (PEI)</t>
  </si>
  <si>
    <t xml:space="preserve">        Service Regognition Incentives (SRI)</t>
  </si>
  <si>
    <t>5-01-0-081</t>
  </si>
  <si>
    <t xml:space="preserve">        Hazard Pay</t>
  </si>
  <si>
    <t xml:space="preserve">        Year End Bonus</t>
  </si>
  <si>
    <t xml:space="preserve">        Cash Gift</t>
  </si>
  <si>
    <t xml:space="preserve">        Mid-Year Bonus</t>
  </si>
  <si>
    <t xml:space="preserve">        Ret. &amp; Life Insurance Premiums</t>
  </si>
  <si>
    <t xml:space="preserve">        Pag-IBIG Contributions</t>
  </si>
  <si>
    <t xml:space="preserve">        PhilHealth Contributions</t>
  </si>
  <si>
    <t xml:space="preserve">        ECIP</t>
  </si>
  <si>
    <t xml:space="preserve">       Terminal Leave Benefits</t>
  </si>
  <si>
    <t xml:space="preserve">       Other Personnel Benefit</t>
  </si>
  <si>
    <t xml:space="preserve">   TOTAL PERSONAL SERVICES</t>
  </si>
  <si>
    <t xml:space="preserve">   2.  Maint. &amp; Other Operating Expenditures</t>
  </si>
  <si>
    <t xml:space="preserve">        Medical/Family Planning/Lab.Supplies</t>
  </si>
  <si>
    <t xml:space="preserve">        Telephone Exp./Landline/Mobile</t>
  </si>
  <si>
    <t xml:space="preserve">        Extraordinary and Misc. Expenses</t>
  </si>
  <si>
    <t xml:space="preserve">        Repairs &amp; Maint.  -  Equipment</t>
  </si>
  <si>
    <t xml:space="preserve">        Repairs &amp; Maintenance - Vehicle</t>
  </si>
  <si>
    <t xml:space="preserve">        Repairs &amp; Maintenance - Buildings and Other Structures</t>
  </si>
  <si>
    <t xml:space="preserve">        Fidelity Bond Premium</t>
  </si>
  <si>
    <t xml:space="preserve">        Other Maint.  &amp; Operating Exp.</t>
  </si>
  <si>
    <t xml:space="preserve">        Operation of Devolved Services &amp; Programs</t>
  </si>
  <si>
    <t xml:space="preserve">        Assistance &amp; Training &amp; Other Activities for - PWDs</t>
  </si>
  <si>
    <t>Total this page</t>
  </si>
  <si>
    <t xml:space="preserve">        Assorted Vegetable Seeds</t>
  </si>
  <si>
    <t xml:space="preserve">        Anti Rabies Vaccines</t>
  </si>
  <si>
    <t xml:space="preserve">        Palay Seeds Assistance</t>
  </si>
  <si>
    <t xml:space="preserve">        Hybrid Yellow Corn Assistance</t>
  </si>
  <si>
    <t>Sub - Total</t>
  </si>
  <si>
    <t xml:space="preserve">    TOTAL MAINT. &amp; OTHER OPER.  EXPENSES</t>
  </si>
  <si>
    <t xml:space="preserve"> 3. Capital Outlay</t>
  </si>
  <si>
    <t xml:space="preserve">     Equipment Outlay</t>
  </si>
  <si>
    <t xml:space="preserve">     Computer Software </t>
  </si>
  <si>
    <t xml:space="preserve">     Renovation of Teachers Hall as the New Municipal Social Welfare and Development Office</t>
  </si>
  <si>
    <t xml:space="preserve"> 4. Non - Office Expenditures</t>
  </si>
  <si>
    <t xml:space="preserve">     Special Purpose Appropriations</t>
  </si>
  <si>
    <t xml:space="preserve">      20% of IRA for Development Fund</t>
  </si>
  <si>
    <t xml:space="preserve">      5% MDRRMF (Budgetary Reserves)</t>
  </si>
  <si>
    <t xml:space="preserve">      1% LCPC Fund</t>
  </si>
  <si>
    <t xml:space="preserve">      Financial Assistance to Brgys.</t>
  </si>
  <si>
    <t xml:space="preserve">  TOTAL SPECIAL PURPOSE APPROPRIATIONS</t>
  </si>
  <si>
    <t xml:space="preserve">   Other Special Purpose Appropriations</t>
  </si>
  <si>
    <t xml:space="preserve">    Electricity Expenses for Blvd Lights</t>
  </si>
  <si>
    <t>5-02-04-010-1</t>
  </si>
  <si>
    <t xml:space="preserve">    Research, Exploration &amp; Development Expenses</t>
  </si>
  <si>
    <t xml:space="preserve">   5-02-07-020</t>
  </si>
  <si>
    <t xml:space="preserve">    Repair and Maintenance - Infrastructure Asset</t>
  </si>
  <si>
    <t xml:space="preserve">   5-02-13-030</t>
  </si>
  <si>
    <t xml:space="preserve">    Maint Of Blvd Lights &amp; Other Facilities</t>
  </si>
  <si>
    <t xml:space="preserve">    Maint. Of Plaza, Parks &amp; Monument</t>
  </si>
  <si>
    <t xml:space="preserve">    Maintenance of Municipal Bldgs &amp; Other Facilities</t>
  </si>
  <si>
    <t xml:space="preserve">    Repairs &amp; Maint.of Cultural Properties/Structures</t>
  </si>
  <si>
    <t xml:space="preserve">     Maintenance of Barangay MRF</t>
  </si>
  <si>
    <t xml:space="preserve">     Sanitary Landfill Expenses</t>
  </si>
  <si>
    <t xml:space="preserve">     Maint. For the Operation of MRF</t>
  </si>
  <si>
    <t xml:space="preserve">     Subsidy to PNP</t>
  </si>
  <si>
    <t xml:space="preserve">     Peace and Order</t>
  </si>
  <si>
    <t xml:space="preserve">     Subsidy to MLGO</t>
  </si>
  <si>
    <t xml:space="preserve">     Susidy to MTC</t>
  </si>
  <si>
    <t xml:space="preserve">     Subsidy to BFP</t>
  </si>
  <si>
    <t xml:space="preserve">     Subsidy to COMELEC</t>
  </si>
  <si>
    <t xml:space="preserve">     Subsidy to NGO</t>
  </si>
  <si>
    <t xml:space="preserve">     Subsidy to BHWs</t>
  </si>
  <si>
    <t xml:space="preserve">     Subsidy to BSPO</t>
  </si>
  <si>
    <t xml:space="preserve">     Subsidy to BNS</t>
  </si>
  <si>
    <t xml:space="preserve">     Ins. of New Public Mrkt/Mun. Bldgs</t>
  </si>
  <si>
    <t xml:space="preserve">     Grants and Donations</t>
  </si>
  <si>
    <t xml:space="preserve">     Gender Issues</t>
  </si>
  <si>
    <t xml:space="preserve">     PhilHealth Assistance Contri.</t>
  </si>
  <si>
    <t xml:space="preserve">     Senior Citizens Services</t>
  </si>
  <si>
    <t xml:space="preserve">     PLEB Services</t>
  </si>
  <si>
    <t xml:space="preserve">     Clean and Green Program </t>
  </si>
  <si>
    <t xml:space="preserve">     Sports Development Program</t>
  </si>
  <si>
    <t xml:space="preserve">     Support or Government Affairs</t>
  </si>
  <si>
    <t xml:space="preserve">     Support for Anti-Red Tape</t>
  </si>
  <si>
    <t xml:space="preserve">     Tourism Expenses</t>
  </si>
  <si>
    <t xml:space="preserve">     Lot Rental (Roman Catholic Lot)</t>
  </si>
  <si>
    <t xml:space="preserve">     Local Blood Council</t>
  </si>
  <si>
    <t xml:space="preserve">     Educational Assistance</t>
  </si>
  <si>
    <t>Sub - Total - Other SPA</t>
  </si>
  <si>
    <t xml:space="preserve">     Educational Assistance -TESDA Program</t>
  </si>
  <si>
    <t xml:space="preserve">     Tax Mapping Expenses</t>
  </si>
  <si>
    <t xml:space="preserve">     Tax Campaign Expenses</t>
  </si>
  <si>
    <t xml:space="preserve">     Election Expenses</t>
  </si>
  <si>
    <t xml:space="preserve">    Anti-Drug Abuse Program</t>
  </si>
  <si>
    <t xml:space="preserve">    Promotion of Culture and Arts</t>
  </si>
  <si>
    <t xml:space="preserve">    Funds for COVID-19 related PPAs</t>
  </si>
  <si>
    <t xml:space="preserve">    Local Youth Development Expense</t>
  </si>
  <si>
    <t xml:space="preserve">    Subsidy to Solo Parent</t>
  </si>
  <si>
    <t xml:space="preserve">   SUB - TOTAL OTHER SPA</t>
  </si>
  <si>
    <t>TOTAL OTHER SPA</t>
  </si>
  <si>
    <t xml:space="preserve">        Service Regognition Incentives (sri)</t>
  </si>
  <si>
    <t xml:space="preserve">       Other Personnel Benefits</t>
  </si>
  <si>
    <t xml:space="preserve">       Other Machinery and Equipment</t>
  </si>
  <si>
    <t>1-07-05-990</t>
  </si>
  <si>
    <t>GENERAL FUND BUDGET</t>
  </si>
  <si>
    <t>COMPARATIVE STATEMENT</t>
  </si>
  <si>
    <t>CURRENT YEAR</t>
  </si>
  <si>
    <t>INCREASED</t>
  </si>
  <si>
    <t>(DECREASED)</t>
  </si>
  <si>
    <t>SOURCES:</t>
  </si>
  <si>
    <t xml:space="preserve"> Beginning Balance</t>
  </si>
  <si>
    <t xml:space="preserve"> Share from National Tax Allotment (NTA)</t>
  </si>
  <si>
    <t xml:space="preserve"> Local Impositions</t>
  </si>
  <si>
    <t>TOTAL AVAILABLE RESOURCES</t>
  </si>
  <si>
    <t>APPROPRIATIONS:</t>
  </si>
  <si>
    <t>Current Operating Expenditures -</t>
  </si>
  <si>
    <t xml:space="preserve"> Personal Services</t>
  </si>
  <si>
    <t>Terminal Leave Benefits</t>
  </si>
  <si>
    <t xml:space="preserve"> Maintenance &amp; Other Operating Expenditures</t>
  </si>
  <si>
    <t xml:space="preserve">   -  Office of the Municipal Mayor  </t>
  </si>
  <si>
    <t xml:space="preserve">   -  Mun. Vice Mayor/SBM/SB Sec &amp; Staff</t>
  </si>
  <si>
    <t xml:space="preserve">   -  All Executive Departments</t>
  </si>
  <si>
    <t xml:space="preserve">   -  For Devolved Functions</t>
  </si>
  <si>
    <t>TOTAL MAINT. &amp; OTHER OPER. EXPENDITURES</t>
  </si>
  <si>
    <t xml:space="preserve"> Capital Outlay -</t>
  </si>
  <si>
    <t xml:space="preserve">        - Office of the Municipal Mayor</t>
  </si>
  <si>
    <t xml:space="preserve">        - Mun. Vice Mayor/SBM/SB Sec &amp; Staff</t>
  </si>
  <si>
    <t xml:space="preserve">        -  All Executive Departments</t>
  </si>
  <si>
    <t>TOTAL CAPITAL OUTLAY</t>
  </si>
  <si>
    <t>TOTAL CURRENT OPERATING EXPENDITURES</t>
  </si>
  <si>
    <t>Special Purpose Appropriations</t>
  </si>
  <si>
    <t xml:space="preserve"> 20% Dev't. Fund 2017/ 22% Dev't. Fund 2018</t>
  </si>
  <si>
    <t xml:space="preserve"> 5% LDRRMF</t>
  </si>
  <si>
    <t xml:space="preserve"> 1% Local Council for the Protection of Children</t>
  </si>
  <si>
    <t xml:space="preserve"> Aids to 15 Barangays</t>
  </si>
  <si>
    <t>Other Special Purpose Appropriations</t>
  </si>
  <si>
    <t>INCREASED/(DEFICIT)</t>
  </si>
  <si>
    <t xml:space="preserve"> Business Income</t>
  </si>
  <si>
    <t xml:space="preserve"> M O O E</t>
  </si>
  <si>
    <t>Office of the Municipal Mayor</t>
  </si>
  <si>
    <t xml:space="preserve"> Maint. &amp; Other Operating Expenditures</t>
  </si>
  <si>
    <t xml:space="preserve"> Capital Outlay </t>
  </si>
  <si>
    <t>Office of the MDRRM</t>
  </si>
  <si>
    <t>Office of the Municipal Vice Mayor</t>
  </si>
  <si>
    <t>Office of the Sangguniang Bayan</t>
  </si>
  <si>
    <t xml:space="preserve">Office of the Human Resource Management </t>
  </si>
  <si>
    <t>Office of Mun. Planning Dev't. Coordinator</t>
  </si>
  <si>
    <t>Office of the Mun. Civil Registrar</t>
  </si>
  <si>
    <t>Office of the Mun. Budget Officer</t>
  </si>
  <si>
    <t>Office of the Municipal Accountant</t>
  </si>
  <si>
    <t>Office of the Municipal Treasurer</t>
  </si>
  <si>
    <t>Office of the Municipal Assessor</t>
  </si>
  <si>
    <t>Office of the Municipal Health Officer</t>
  </si>
  <si>
    <t>Office of the Mun. Social Welfare Dev't.</t>
  </si>
  <si>
    <t>Office of the Municipal Agriculturist</t>
  </si>
  <si>
    <t>Office of Municipal Engineer</t>
  </si>
  <si>
    <t>TOTAL PS, MOOE &amp; CO</t>
  </si>
  <si>
    <t xml:space="preserve"> 20% Development fund</t>
  </si>
  <si>
    <t xml:space="preserve"> 5% LDRRMF </t>
  </si>
  <si>
    <t>Total Special Purpose Appropriations</t>
  </si>
  <si>
    <t xml:space="preserve"> Lump sum Appropriations for Possible Salary Adjustment</t>
  </si>
  <si>
    <t xml:space="preserve"> Electricity Expenses for Boulevard Lights</t>
  </si>
  <si>
    <t xml:space="preserve"> Research, Exploration &amp; Development Exp.</t>
  </si>
  <si>
    <t xml:space="preserve"> Repairs and Maintenance-Infrastructure Asset</t>
  </si>
  <si>
    <t xml:space="preserve"> Repairs &amp; Maint.of Cultural Properties/Structures</t>
  </si>
  <si>
    <t xml:space="preserve"> Maintenance for Boulevard Lights</t>
  </si>
  <si>
    <t xml:space="preserve"> Maintenance of Municipal Bldgs/Facilities</t>
  </si>
  <si>
    <t xml:space="preserve"> Maintenance of Plaza, Parks &amp; Monuments</t>
  </si>
  <si>
    <t xml:space="preserve"> Maintenance of Barangay MRF</t>
  </si>
  <si>
    <t xml:space="preserve"> Sanitary Landfill</t>
  </si>
  <si>
    <t xml:space="preserve"> Maint. for the Operation of MRF</t>
  </si>
  <si>
    <t xml:space="preserve"> Insurance of Buildings</t>
  </si>
  <si>
    <t xml:space="preserve"> Subsidy to -</t>
  </si>
  <si>
    <t xml:space="preserve"> - Philippine National Police</t>
  </si>
  <si>
    <t xml:space="preserve"> - Peace and Order</t>
  </si>
  <si>
    <t xml:space="preserve"> - Municipal Local Government Officer</t>
  </si>
  <si>
    <t xml:space="preserve"> - Municipal Trial Court</t>
  </si>
  <si>
    <t xml:space="preserve"> - Bureau of Fire Protection</t>
  </si>
  <si>
    <t xml:space="preserve"> - Commission on Election</t>
  </si>
  <si>
    <t xml:space="preserve"> - Nutrition &amp; Population Services</t>
  </si>
  <si>
    <t xml:space="preserve"> - Non-Government Organizations</t>
  </si>
  <si>
    <t xml:space="preserve"> - Subsidy to Brgy. Health Workers (BHW)</t>
  </si>
  <si>
    <t xml:space="preserve"> - Subsidy to Brgy. Nutrition Workers (BNS)</t>
  </si>
  <si>
    <t xml:space="preserve"> - Subsidy to Brgy. Nutrition Workers (BSPO)</t>
  </si>
  <si>
    <t xml:space="preserve"> Grants &amp; Donations</t>
  </si>
  <si>
    <t xml:space="preserve"> Gender and Development</t>
  </si>
  <si>
    <t xml:space="preserve"> Anti-Drug Abuse Campaign</t>
  </si>
  <si>
    <t xml:space="preserve"> Promotion of Culture &amp; Arts</t>
  </si>
  <si>
    <t xml:space="preserve"> Tax Mapping Expenses</t>
  </si>
  <si>
    <t xml:space="preserve"> Tax Campaign Expenses</t>
  </si>
  <si>
    <t xml:space="preserve"> Philhealth Assistance Contributions</t>
  </si>
  <si>
    <t xml:space="preserve"> Relief Goods &amp; Other Expenses Regarding COVID 19</t>
  </si>
  <si>
    <t xml:space="preserve"> Senior Citizens Services</t>
  </si>
  <si>
    <t xml:space="preserve"> PLEB  Services</t>
  </si>
  <si>
    <t xml:space="preserve"> Clean &amp; Green Program</t>
  </si>
  <si>
    <t xml:space="preserve"> Sports Development Program</t>
  </si>
  <si>
    <t xml:space="preserve"> Support for Government Affairs</t>
  </si>
  <si>
    <t xml:space="preserve"> Support for Anti-Red Tape</t>
  </si>
  <si>
    <t xml:space="preserve"> Tourism Expenses</t>
  </si>
  <si>
    <t xml:space="preserve"> Lot Rental (Roman Catholic Lot)</t>
  </si>
  <si>
    <t xml:space="preserve"> Local Blood Council</t>
  </si>
  <si>
    <t xml:space="preserve"> Election Expenses</t>
  </si>
  <si>
    <t xml:space="preserve"> Local Youth Development Expense</t>
  </si>
  <si>
    <t xml:space="preserve"> Subsidy to Solo Parent</t>
  </si>
  <si>
    <t xml:space="preserve"> Educational Assitance</t>
  </si>
  <si>
    <t xml:space="preserve"> Educational Assitance - TESDA PROGRAM</t>
  </si>
  <si>
    <t xml:space="preserve">      Business Income</t>
  </si>
  <si>
    <t xml:space="preserve">           Income from Market</t>
  </si>
  <si>
    <t xml:space="preserve">           Income from Slaughterhouse</t>
  </si>
  <si>
    <t xml:space="preserve">           Income from Cemetery Operation</t>
  </si>
  <si>
    <t>TOTAL AVAILABLE FOR APPROPRIATION</t>
  </si>
  <si>
    <t>PERSONAL SERVICES</t>
  </si>
  <si>
    <t>MAINT. &amp; OTHER OPERATING EXPENDITURES</t>
  </si>
  <si>
    <t>APPROPRIATIONS FOR PERSONAL SERVICES, MOOE, CAPITAL OUTLAY &amp; NON-OFFICE EXPENDITURES</t>
  </si>
  <si>
    <t>BUDGET YEAR 2025</t>
  </si>
  <si>
    <t>N      A      M      E          O    F         O      F       F       I      C      E</t>
  </si>
  <si>
    <t>OBJECT OF EXOENDITURES</t>
  </si>
  <si>
    <t>Mayor's</t>
  </si>
  <si>
    <t>MDRRM</t>
  </si>
  <si>
    <t>VMs</t>
  </si>
  <si>
    <t>SBM</t>
  </si>
  <si>
    <t>HRMO</t>
  </si>
  <si>
    <t>MPDC</t>
  </si>
  <si>
    <t>MCRs</t>
  </si>
  <si>
    <t>Budget</t>
  </si>
  <si>
    <t>Acctg.</t>
  </si>
  <si>
    <t>Treasury</t>
  </si>
  <si>
    <t>Assessor's</t>
  </si>
  <si>
    <t>Mun. Health</t>
  </si>
  <si>
    <t>MSWDO</t>
  </si>
  <si>
    <t>Agriculture</t>
  </si>
  <si>
    <t>Eng'g.</t>
  </si>
  <si>
    <t>SPA</t>
  </si>
  <si>
    <t>Grand</t>
  </si>
  <si>
    <t>Office</t>
  </si>
  <si>
    <t>Non-Office</t>
  </si>
  <si>
    <t>1.0 Current Oper. Expenditures</t>
  </si>
  <si>
    <t xml:space="preserve"> 1.1 Personal Services</t>
  </si>
  <si>
    <t xml:space="preserve">      Salaries - Regular</t>
  </si>
  <si>
    <t xml:space="preserve">      PERA</t>
  </si>
  <si>
    <t xml:space="preserve">      Representation Allowance </t>
  </si>
  <si>
    <t xml:space="preserve">      Transportation Allowance </t>
  </si>
  <si>
    <t xml:space="preserve">      Clothing/Uniform Allowance</t>
  </si>
  <si>
    <t xml:space="preserve">      Subsistence Allowance</t>
  </si>
  <si>
    <t xml:space="preserve">       Laundry Allowance</t>
  </si>
  <si>
    <t xml:space="preserve">       PEI</t>
  </si>
  <si>
    <t xml:space="preserve">       Service Recognition Incentive</t>
  </si>
  <si>
    <t xml:space="preserve">       Hazard Pay</t>
  </si>
  <si>
    <t xml:space="preserve">       Year End Bonus</t>
  </si>
  <si>
    <t xml:space="preserve">       Cash Gift</t>
  </si>
  <si>
    <t xml:space="preserve">       Mid-Year Bonus</t>
  </si>
  <si>
    <t xml:space="preserve">       Ret. &amp; Life Insurance Prem.</t>
  </si>
  <si>
    <t xml:space="preserve">       Pag-IBIG Contributions</t>
  </si>
  <si>
    <t xml:space="preserve">       PhilHealth Contributions</t>
  </si>
  <si>
    <t xml:space="preserve">       ECIP</t>
  </si>
  <si>
    <t xml:space="preserve"> Maint. &amp; Other Oper.  Expenses</t>
  </si>
  <si>
    <t xml:space="preserve">        Medical, Dental &amp; Lab. Supplies</t>
  </si>
  <si>
    <t xml:space="preserve">        SUB TOTAL MOOE</t>
  </si>
  <si>
    <t xml:space="preserve">        Tel. Exp/Landline/Mobile</t>
  </si>
  <si>
    <t xml:space="preserve">        Extraordinary &amp; Misc.Expenses</t>
  </si>
  <si>
    <t xml:space="preserve">        Rep. &amp; Maint. -  Equipment</t>
  </si>
  <si>
    <t xml:space="preserve">        Rep. &amp; Maint. - Transpo.Equipment</t>
  </si>
  <si>
    <t xml:space="preserve">        Other Maint. &amp; Oper. Expenses</t>
  </si>
  <si>
    <t xml:space="preserve">        Oper. of Devolved Social Srvcs.</t>
  </si>
  <si>
    <t xml:space="preserve">        Asstnce, Training -PWDs</t>
  </si>
  <si>
    <t xml:space="preserve">      Assorted Vegetable Seeds</t>
  </si>
  <si>
    <t xml:space="preserve">      Anti Rabies Vaccines</t>
  </si>
  <si>
    <t xml:space="preserve">      Palay Seeds Assistance</t>
  </si>
  <si>
    <t xml:space="preserve">     Support to Farmers - Fertilizer Assistance</t>
  </si>
  <si>
    <t xml:space="preserve">       Hybrid Yellow Corn Assistance</t>
  </si>
  <si>
    <t xml:space="preserve">        SUB - TOTAL MOOE</t>
  </si>
  <si>
    <t>TOTAL MOOE</t>
  </si>
  <si>
    <t xml:space="preserve"> Capital Outlay</t>
  </si>
  <si>
    <t xml:space="preserve">          Building &amp; Structure Outlay</t>
  </si>
  <si>
    <t xml:space="preserve">        Computer Software </t>
  </si>
  <si>
    <t>Special Purpose Appropriations (SPAS)</t>
  </si>
  <si>
    <t xml:space="preserve">      20% Development Fund</t>
  </si>
  <si>
    <t xml:space="preserve">      Aid to (15) Barangays</t>
  </si>
  <si>
    <t>TOTAL SPECIAL PURPOSE APPROP.</t>
  </si>
  <si>
    <t xml:space="preserve"> Other SPECIAL PURPOSE APPROPRIATIONS</t>
  </si>
  <si>
    <t xml:space="preserve">      Electrivity Expenses for Blvd. Lights</t>
  </si>
  <si>
    <t xml:space="preserve">      Research, Exploration &amp; Development Expenses</t>
  </si>
  <si>
    <t xml:space="preserve">      Repairs and Maintenance-Infrastructure Asset</t>
  </si>
  <si>
    <t xml:space="preserve">      Repairs &amp; Maint.of Cultural Properties/Structures</t>
  </si>
  <si>
    <t xml:space="preserve">      Maint. Of Blvd Lights &amp; Other Fclties</t>
  </si>
  <si>
    <t xml:space="preserve">      Maint. Of Plaza, Parks &amp; Mnmt.</t>
  </si>
  <si>
    <t xml:space="preserve">      Maint. Of Mun.Bldgs &amp; Other Facilities</t>
  </si>
  <si>
    <t xml:space="preserve">      Maint. Of Barangay MRF</t>
  </si>
  <si>
    <t xml:space="preserve">      Sanitary Landfill Expenses</t>
  </si>
  <si>
    <t xml:space="preserve">      Repair &amp; Maint. For the Oper. Of MRF</t>
  </si>
  <si>
    <t xml:space="preserve">      Subsidy to Phil. Nat'l. Police PNP</t>
  </si>
  <si>
    <t xml:space="preserve">      Peace and Order</t>
  </si>
  <si>
    <t xml:space="preserve">      Subsidy to MLGO</t>
  </si>
  <si>
    <t xml:space="preserve">      Susidy to Municipal Trial Court </t>
  </si>
  <si>
    <t xml:space="preserve">      Subsidy to BFP</t>
  </si>
  <si>
    <t xml:space="preserve">      Subsidy to  COMELEC</t>
  </si>
  <si>
    <t xml:space="preserve">      Subsidy to Non-Gov't. Org. NGO</t>
  </si>
  <si>
    <t xml:space="preserve">      Subsidy to BHW</t>
  </si>
  <si>
    <t xml:space="preserve">      Subsidy to BNS</t>
  </si>
  <si>
    <t xml:space="preserve">      Subsidy to BSPO</t>
  </si>
  <si>
    <t xml:space="preserve">      Ins of  Public Mkt./Mun. Bldgs.</t>
  </si>
  <si>
    <t xml:space="preserve">      Grants and Donations</t>
  </si>
  <si>
    <t xml:space="preserve">      Gender Issues</t>
  </si>
  <si>
    <t xml:space="preserve">      PhilHealth Assistance Contri.</t>
  </si>
  <si>
    <t xml:space="preserve">       Promotion of Culture and Arts</t>
  </si>
  <si>
    <t xml:space="preserve">        Tax Mapping Expenses</t>
  </si>
  <si>
    <t xml:space="preserve">        Tax Campaign Expenses</t>
  </si>
  <si>
    <t xml:space="preserve">      Senior Citizens Services</t>
  </si>
  <si>
    <t xml:space="preserve">      PLEB Services</t>
  </si>
  <si>
    <t xml:space="preserve">      Clean and Green Program </t>
  </si>
  <si>
    <t xml:space="preserve">      Sports Development Program</t>
  </si>
  <si>
    <t xml:space="preserve">       Support for Government Affairs</t>
  </si>
  <si>
    <t xml:space="preserve">       Support for Anti-Red Tape</t>
  </si>
  <si>
    <t xml:space="preserve">       Tourism Expenses</t>
  </si>
  <si>
    <t xml:space="preserve">       Lot Rental (Roman Catholic Lot)</t>
  </si>
  <si>
    <t xml:space="preserve">       Local Blood Council</t>
  </si>
  <si>
    <t xml:space="preserve">       Election Expenses</t>
  </si>
  <si>
    <t>SUB TOTAL OTHER SPA</t>
  </si>
  <si>
    <t>TOTAL FOR THIS PAGE</t>
  </si>
  <si>
    <t xml:space="preserve">       Educational Assistance</t>
  </si>
  <si>
    <t xml:space="preserve">       Educational Assistance-TESDA</t>
  </si>
  <si>
    <t xml:space="preserve">       Anti-Drug Abuse Campaign</t>
  </si>
  <si>
    <t xml:space="preserve">       Funds for COVID 19 related PPA</t>
  </si>
  <si>
    <t xml:space="preserve">       Local Youth Development Expense</t>
  </si>
  <si>
    <t xml:space="preserve">       Subsidy to Solo Parent</t>
  </si>
  <si>
    <t>TOTAL SPA</t>
  </si>
  <si>
    <t xml:space="preserve">Operation of </t>
  </si>
  <si>
    <t>Oper. Of</t>
  </si>
  <si>
    <t>Operation of</t>
  </si>
  <si>
    <t>Market</t>
  </si>
  <si>
    <t>Slaughterhse.</t>
  </si>
  <si>
    <t>Cemetery</t>
  </si>
  <si>
    <t xml:space="preserve">       Service Recognition Incentives</t>
  </si>
  <si>
    <t xml:space="preserve">      Other Personnel Benefits</t>
  </si>
  <si>
    <t xml:space="preserve"> TOTAL MOOE</t>
  </si>
  <si>
    <t>Cetified Correct:</t>
  </si>
  <si>
    <t xml:space="preserve">  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</si>
</sst>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_-* #,##0.00_-;\-* #,##0.00_-;_-* &quot;-&quot;??_-;_-@_-"/>
  </numFmts>
  <fonts count="2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10.5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</fills>
  <borders count="7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top style="double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73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4" applyFont="1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8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0" applyBorder="1" applyAlignment="1">
      <alignment horizontal="center" vertical="bottom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bottom" textRotation="0" wrapText="false" shrinkToFit="false"/>
    </xf>
    <xf xfId="0" fontId="5" numFmtId="0" fillId="2" borderId="11" applyFont="1" applyNumberFormat="0" applyFill="0" applyBorder="1" applyAlignment="1">
      <alignment horizontal="center" vertical="bottom" textRotation="0" wrapText="false" shrinkToFit="false"/>
    </xf>
    <xf xfId="0" fontId="1" numFmtId="0" fillId="2" borderId="12" applyFont="1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0" applyBorder="1" applyAlignment="1">
      <alignment horizontal="center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bottom" textRotation="0" wrapText="false" shrinkToFit="true"/>
    </xf>
    <xf xfId="0" fontId="4" numFmtId="0" fillId="2" borderId="13" applyFont="1" applyNumberFormat="0" applyFill="0" applyBorder="1" applyAlignment="1">
      <alignment horizontal="center" vertical="bottom" textRotation="0" wrapText="false" shrinkToFit="true"/>
    </xf>
    <xf xfId="0" fontId="5" numFmtId="0" fillId="2" borderId="12" applyFont="1" applyNumberFormat="0" applyFill="0" applyBorder="1" applyAlignment="1">
      <alignment horizontal="center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bottom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4" numFmtId="0" fillId="2" borderId="17" applyFont="1" applyNumberFormat="0" applyFill="0" applyBorder="1" applyAlignment="1">
      <alignment horizontal="center" vertical="center" textRotation="0" wrapText="false" shrinkToFit="false"/>
    </xf>
    <xf xfId="0" fontId="4" numFmtId="0" fillId="2" borderId="18" applyFont="1" applyNumberFormat="0" applyFill="0" applyBorder="1" applyAlignment="1">
      <alignment horizontal="center" vertical="bottom" textRotation="0" wrapText="false" shrinkToFit="false"/>
    </xf>
    <xf xfId="0" fontId="5" numFmtId="0" fillId="2" borderId="18" applyFont="1" applyNumberFormat="0" applyFill="0" applyBorder="1" applyAlignment="1">
      <alignment horizontal="center" vertical="bottom" textRotation="0" wrapText="false" shrinkToFit="false"/>
    </xf>
    <xf xfId="0" fontId="1" numFmtId="0" fillId="2" borderId="19" applyFont="1" applyNumberFormat="0" applyFill="0" applyBorder="1" applyAlignment="1">
      <alignment horizontal="center" vertical="bottom" textRotation="0" wrapText="false" shrinkToFit="false"/>
    </xf>
    <xf xfId="0" fontId="1" numFmtId="0" fillId="2" borderId="20" applyFont="1" applyNumberFormat="0" applyFill="0" applyBorder="1" applyAlignment="1">
      <alignment horizontal="center" vertical="bottom" textRotation="0" wrapText="false" shrinkToFit="false"/>
    </xf>
    <xf xfId="0" fontId="4" numFmtId="0" fillId="2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20" applyFont="1" applyNumberFormat="0" applyFill="0" applyBorder="1" applyAlignment="1">
      <alignment horizontal="center" vertical="bottom" textRotation="0" wrapText="false" shrinkToFit="false"/>
    </xf>
    <xf xfId="0" fontId="4" numFmtId="0" fillId="2" borderId="19" applyFont="1" applyNumberFormat="0" applyFill="0" applyBorder="1" applyAlignment="1">
      <alignment horizontal="center" vertical="center" textRotation="0" wrapText="false" shrinkToFit="false"/>
    </xf>
    <xf xfId="0" fontId="4" numFmtId="0" fillId="2" borderId="20" applyFont="1" applyNumberFormat="0" applyFill="0" applyBorder="1" applyAlignment="1">
      <alignment horizontal="center" vertical="center" textRotation="0" wrapText="false" shrinkToFit="false"/>
    </xf>
    <xf xfId="0" fontId="1" numFmtId="0" fillId="2" borderId="21" applyFont="1" applyNumberFormat="0" applyFill="0" applyBorder="1" applyAlignment="1">
      <alignment horizontal="center" vertical="bottom" textRotation="0" wrapText="false" shrinkToFit="false"/>
    </xf>
    <xf xfId="0" fontId="1" numFmtId="0" fillId="2" borderId="22" applyFont="1" applyNumberFormat="0" applyFill="0" applyBorder="1" applyAlignment="1">
      <alignment horizontal="center" vertical="bottom" textRotation="0" wrapText="false" shrinkToFit="false"/>
    </xf>
    <xf xfId="0" fontId="4" numFmtId="0" fillId="2" borderId="10" applyFont="1" applyNumberFormat="0" applyFill="0" applyBorder="1" applyAlignment="1">
      <alignment horizontal="left" vertical="bottom" textRotation="0" wrapText="false" shrinkToFit="false"/>
    </xf>
    <xf xfId="0" fontId="2" numFmtId="0" fillId="2" borderId="13" applyFont="1" applyNumberFormat="0" applyFill="0" applyBorder="1" applyAlignment="0">
      <alignment horizontal="general" vertical="bottom" textRotation="0" wrapText="false" shrinkToFit="false"/>
    </xf>
    <xf xfId="0" fontId="2" numFmtId="0" fillId="2" borderId="11" applyFont="1" applyNumberFormat="0" applyFill="0" applyBorder="1" applyAlignment="0">
      <alignment horizontal="general" vertical="bottom" textRotation="0" wrapText="false" shrinkToFit="false"/>
    </xf>
    <xf xfId="0" fontId="2" numFmtId="0" fillId="2" borderId="12" applyFont="1" applyNumberFormat="0" applyFill="0" applyBorder="1" applyAlignment="0">
      <alignment horizontal="general" vertical="bottom" textRotation="0" wrapText="false" shrinkToFit="false"/>
    </xf>
    <xf xfId="0" fontId="2" numFmtId="0" fillId="2" borderId="16" applyFont="1" applyNumberFormat="0" applyFill="0" applyBorder="1" applyAlignment="0">
      <alignment horizontal="general" vertical="bottom" textRotation="0" wrapText="false" shrinkToFit="false"/>
    </xf>
    <xf xfId="0" fontId="6" numFmtId="0" fillId="2" borderId="10" applyFont="1" applyNumberFormat="0" applyFill="0" applyBorder="1" applyAlignment="0">
      <alignment horizontal="general" vertical="bottom" textRotation="0" wrapText="false" shrinkToFit="false"/>
    </xf>
    <xf xfId="0" fontId="6" numFmtId="0" fillId="2" borderId="13" applyFont="1" applyNumberFormat="0" applyFill="0" applyBorder="1" applyAlignment="1">
      <alignment horizontal="center" vertical="bottom" textRotation="0" wrapText="false" shrinkToFit="false"/>
    </xf>
    <xf xfId="0" fontId="6" numFmtId="0" fillId="2" borderId="11" applyFont="1" applyNumberFormat="0" applyFill="0" applyBorder="1" applyAlignment="1">
      <alignment horizontal="center" vertical="bottom" textRotation="0" wrapText="false" shrinkToFit="false"/>
    </xf>
    <xf xfId="0" fontId="6" numFmtId="0" fillId="2" borderId="12" applyFont="1" applyNumberFormat="0" applyFill="0" applyBorder="1" applyAlignment="1">
      <alignment horizontal="center" vertical="bottom" textRotation="0" wrapText="false" shrinkToFit="false"/>
    </xf>
    <xf xfId="0" fontId="6" numFmtId="4" fillId="2" borderId="13" applyFont="1" applyNumberFormat="1" applyFill="0" applyBorder="1" applyAlignment="0">
      <alignment horizontal="general" vertical="bottom" textRotation="0" wrapText="false" shrinkToFit="false"/>
    </xf>
    <xf xfId="0" fontId="6" numFmtId="4" fillId="2" borderId="12" applyFont="1" applyNumberFormat="1" applyFill="0" applyBorder="1" applyAlignment="0">
      <alignment horizontal="general" vertical="bottom" textRotation="0" wrapText="false" shrinkToFit="false"/>
    </xf>
    <xf xfId="0" fontId="6" numFmtId="0" fillId="2" borderId="12" applyFont="1" applyNumberFormat="0" applyFill="0" applyBorder="1" applyAlignment="0">
      <alignment horizontal="general" vertical="bottom" textRotation="0" wrapText="false" shrinkToFit="false"/>
    </xf>
    <xf xfId="0" fontId="6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0" fillId="2" borderId="10" applyFont="1" applyNumberFormat="0" applyFill="0" applyBorder="1" applyAlignment="0">
      <alignment horizontal="general" vertical="bottom" textRotation="0" wrapText="false" shrinkToFit="false"/>
    </xf>
    <xf xfId="0" fontId="6" numFmtId="0" fillId="2" borderId="11" applyFont="1" applyNumberFormat="0" applyFill="0" applyBorder="1" applyAlignment="0">
      <alignment horizontal="general" vertical="bottom" textRotation="0" wrapText="false" shrinkToFit="false"/>
    </xf>
    <xf xfId="0" fontId="4" numFmtId="0" fillId="2" borderId="12" applyFont="1" applyNumberFormat="0" applyFill="0" applyBorder="1" applyAlignment="0">
      <alignment horizontal="general" vertical="bottom" textRotation="0" wrapText="false" shrinkToFit="false"/>
    </xf>
    <xf xfId="0" fontId="4" numFmtId="4" fillId="2" borderId="23" applyFont="1" applyNumberFormat="1" applyFill="0" applyBorder="1" applyAlignment="0">
      <alignment horizontal="general" vertical="bottom" textRotation="0" wrapText="false" shrinkToFit="false"/>
    </xf>
    <xf xfId="0" fontId="4" numFmtId="4" fillId="2" borderId="12" applyFont="1" applyNumberFormat="1" applyFill="0" applyBorder="1" applyAlignment="0">
      <alignment horizontal="general" vertical="bottom" textRotation="0" wrapText="false" shrinkToFit="false"/>
    </xf>
    <xf xfId="0" fontId="6" numFmtId="4" fillId="2" borderId="24" applyFont="1" applyNumberFormat="1" applyFill="0" applyBorder="1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4" applyFont="1" applyNumberFormat="0" applyFill="0" applyBorder="1" applyAlignment="0">
      <alignment horizontal="general" vertical="bottom" textRotation="0" wrapText="false" shrinkToFit="false"/>
    </xf>
    <xf xfId="0" fontId="6" numFmtId="0" fillId="2" borderId="16" applyFont="1" applyNumberFormat="0" applyFill="0" applyBorder="1" applyAlignment="0">
      <alignment horizontal="general" vertical="bottom" textRotation="0" wrapText="false" shrinkToFit="false"/>
    </xf>
    <xf xfId="0" fontId="6" numFmtId="0" fillId="2" borderId="13" applyFont="1" applyNumberFormat="0" applyFill="0" applyBorder="1" applyAlignment="0">
      <alignment horizontal="general" vertical="bottom" textRotation="0" wrapText="false" shrinkToFit="false"/>
    </xf>
    <xf xfId="0" fontId="6" numFmtId="4" fillId="2" borderId="0" applyFont="1" applyNumberFormat="1" applyFill="0" applyBorder="0" applyAlignment="0">
      <alignment horizontal="general" vertical="bottom" textRotation="0" wrapText="false" shrinkToFit="false"/>
    </xf>
    <xf xfId="0" fontId="6" numFmtId="0" fillId="2" borderId="10" applyFont="1" applyNumberFormat="0" applyFill="0" applyBorder="1" applyAlignment="1">
      <alignment horizontal="left" vertical="bottom" textRotation="0" wrapText="false" shrinkToFit="false"/>
    </xf>
    <xf xfId="0" fontId="6" numFmtId="4" fillId="2" borderId="25" applyFont="1" applyNumberFormat="1" applyFill="0" applyBorder="1" applyAlignment="0">
      <alignment horizontal="general" vertical="bottom" textRotation="0" wrapText="false" shrinkToFit="false"/>
    </xf>
    <xf xfId="0" fontId="6" numFmtId="4" fillId="2" borderId="26" applyFont="1" applyNumberFormat="1" applyFill="0" applyBorder="1" applyAlignment="0">
      <alignment horizontal="general" vertical="bottom" textRotation="0" wrapText="false" shrinkToFit="false"/>
    </xf>
    <xf xfId="0" fontId="6" numFmtId="4" fillId="2" borderId="27" applyFont="1" applyNumberFormat="1" applyFill="0" applyBorder="1" applyAlignment="0">
      <alignment horizontal="general" vertical="bottom" textRotation="0" wrapText="false" shrinkToFit="false"/>
    </xf>
    <xf xfId="0" fontId="6" numFmtId="4" fillId="2" borderId="28" applyFont="1" applyNumberFormat="1" applyFill="0" applyBorder="1" applyAlignment="0">
      <alignment horizontal="general" vertical="bottom" textRotation="0" wrapText="false" shrinkToFit="false"/>
    </xf>
    <xf xfId="0" fontId="6" numFmtId="4" fillId="2" borderId="29" applyFont="1" applyNumberFormat="1" applyFill="0" applyBorder="1" applyAlignment="0">
      <alignment horizontal="general" vertical="bottom" textRotation="0" wrapText="false" shrinkToFit="false"/>
    </xf>
    <xf xfId="0" fontId="6" numFmtId="4" fillId="2" borderId="30" applyFont="1" applyNumberFormat="1" applyFill="0" applyBorder="1" applyAlignment="0">
      <alignment horizontal="general" vertical="bottom" textRotation="0" wrapText="false" shrinkToFit="false"/>
    </xf>
    <xf xfId="0" fontId="6" numFmtId="4" fillId="2" borderId="23" applyFont="1" applyNumberFormat="1" applyFill="0" applyBorder="1" applyAlignment="0">
      <alignment horizontal="general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bottom" textRotation="0" wrapText="false" shrinkToFit="false"/>
    </xf>
    <xf xfId="0" fontId="4" numFmtId="4" fillId="2" borderId="20" applyFont="1" applyNumberFormat="1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4" fillId="2" borderId="22" applyFont="1" applyNumberFormat="1" applyFill="0" applyBorder="1" applyAlignment="0">
      <alignment horizontal="general" vertical="bottom" textRotation="0" wrapText="false" shrinkToFit="false"/>
    </xf>
    <xf xfId="0" fontId="4" numFmtId="4" fillId="2" borderId="13" applyFont="1" applyNumberFormat="1" applyFill="0" applyBorder="1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4" fillId="2" borderId="31" applyFont="1" applyNumberFormat="1" applyFill="0" applyBorder="1" applyAlignment="0">
      <alignment horizontal="general" vertical="bottom" textRotation="0" wrapText="false" shrinkToFit="false"/>
    </xf>
    <xf xfId="0" fontId="4" numFmtId="4" fillId="2" borderId="32" applyFont="1" applyNumberFormat="1" applyFill="0" applyBorder="1" applyAlignment="0">
      <alignment horizontal="general" vertical="bottom" textRotation="0" wrapText="false" shrinkToFit="false"/>
    </xf>
    <xf xfId="0" fontId="4" numFmtId="0" fillId="2" borderId="17" applyFont="1" applyNumberFormat="0" applyFill="0" applyBorder="1" applyAlignment="0">
      <alignment horizontal="general" vertical="bottom" textRotation="0" wrapText="false" shrinkToFit="false"/>
    </xf>
    <xf xfId="0" fontId="6" numFmtId="0" fillId="2" borderId="21" applyFont="1" applyNumberFormat="0" applyFill="0" applyBorder="1" applyAlignment="1">
      <alignment horizontal="center" vertical="bottom" textRotation="0" wrapText="false" shrinkToFit="false"/>
    </xf>
    <xf xfId="0" fontId="6" numFmtId="0" fillId="2" borderId="18" applyFont="1" applyNumberFormat="0" applyFill="0" applyBorder="1" applyAlignment="1">
      <alignment horizontal="center" vertical="bottom" textRotation="0" wrapText="false" shrinkToFit="false"/>
    </xf>
    <xf xfId="0" fontId="4" numFmtId="0" fillId="2" borderId="19" applyFont="1" applyNumberFormat="0" applyFill="0" applyBorder="1" applyAlignment="1">
      <alignment horizontal="center" vertical="bottom" textRotation="0" wrapText="false" shrinkToFit="false"/>
    </xf>
    <xf xfId="0" fontId="4" numFmtId="4" fillId="2" borderId="19" applyFont="1" applyNumberFormat="1" applyFill="0" applyBorder="1" applyAlignment="0">
      <alignment horizontal="general" vertical="bottom" textRotation="0" wrapText="false" shrinkToFit="false"/>
    </xf>
    <xf xfId="0" fontId="4" numFmtId="0" fillId="2" borderId="19" applyFont="1" applyNumberFormat="0" applyFill="0" applyBorder="1" applyAlignment="0">
      <alignment horizontal="general" vertical="bottom" textRotation="0" wrapText="false" shrinkToFit="false"/>
    </xf>
    <xf xfId="0" fontId="4" numFmtId="0" fillId="2" borderId="21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0" applyBorder="1" applyAlignment="1">
      <alignment horizontal="center" vertical="bottom" textRotation="0" wrapText="false" shrinkToFit="false"/>
    </xf>
    <xf xfId="0" fontId="4" numFmtId="0" fillId="2" borderId="5" applyFont="1" applyNumberFormat="0" applyFill="0" applyBorder="1" applyAlignment="1">
      <alignment horizontal="center" vertical="bottom" textRotation="0" wrapText="false" shrinkToFit="false"/>
    </xf>
    <xf xfId="0" fontId="4" numFmtId="0" fillId="2" borderId="6" applyFont="1" applyNumberFormat="0" applyFill="0" applyBorder="1" applyAlignment="1">
      <alignment horizontal="center" vertical="bottom" textRotation="0" wrapText="false" shrinkToFit="false"/>
    </xf>
    <xf xfId="0" fontId="4" numFmtId="0" fillId="2" borderId="7" applyFont="1" applyNumberFormat="0" applyFill="0" applyBorder="1" applyAlignment="1">
      <alignment horizontal="center" vertical="bottom" textRotation="0" wrapText="false" shrinkToFit="false"/>
    </xf>
    <xf xfId="0" fontId="4" numFmtId="0" fillId="2" borderId="8" applyFont="1" applyNumberFormat="0" applyFill="0" applyBorder="1" applyAlignment="1">
      <alignment horizontal="center" vertical="bottom" textRotation="0" wrapText="false" shrinkToFit="false"/>
    </xf>
    <xf xfId="0" fontId="4" numFmtId="0" fillId="2" borderId="9" applyFont="1" applyNumberFormat="0" applyFill="0" applyBorder="1" applyAlignment="1">
      <alignment horizontal="center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bottom" textRotation="0" wrapText="false" shrinkToFit="false"/>
    </xf>
    <xf xfId="0" fontId="4" numFmtId="0" fillId="2" borderId="13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6" applyFont="1" applyNumberFormat="0" applyFill="0" applyBorder="1" applyAlignment="1">
      <alignment horizontal="center" vertical="bottom" textRotation="0" wrapText="false" shrinkToFit="false"/>
    </xf>
    <xf xfId="0" fontId="4" numFmtId="0" fillId="2" borderId="21" applyFont="1" applyNumberFormat="0" applyFill="0" applyBorder="1" applyAlignment="1">
      <alignment horizontal="center" vertical="bottom" textRotation="0" wrapText="false" shrinkToFit="false"/>
    </xf>
    <xf xfId="0" fontId="4" numFmtId="0" fillId="2" borderId="22" applyFont="1" applyNumberFormat="0" applyFill="0" applyBorder="1" applyAlignment="1">
      <alignment horizontal="center" vertical="bottom" textRotation="0" wrapText="false" shrinkToFit="false"/>
    </xf>
    <xf xfId="0" fontId="7" numFmtId="0" fillId="2" borderId="10" applyFont="1" applyNumberFormat="0" applyFill="0" applyBorder="1" applyAlignment="0">
      <alignment horizontal="general" vertical="bottom" textRotation="0" wrapText="false" shrinkToFit="false"/>
    </xf>
    <xf xfId="0" fontId="4" numFmtId="4" fillId="2" borderId="16" applyFont="1" applyNumberFormat="1" applyFill="0" applyBorder="1" applyAlignment="0">
      <alignment horizontal="general" vertical="bottom" textRotation="0" wrapText="false" shrinkToFit="false"/>
    </xf>
    <xf xfId="0" fontId="6" numFmtId="4" fillId="2" borderId="20" applyFont="1" applyNumberFormat="1" applyFill="0" applyBorder="1" applyAlignment="0">
      <alignment horizontal="general" vertical="bottom" textRotation="0" wrapText="false" shrinkToFit="false"/>
    </xf>
    <xf xfId="0" fontId="6" numFmtId="4" fillId="2" borderId="22" applyFont="1" applyNumberFormat="1" applyFill="0" applyBorder="1" applyAlignment="0">
      <alignment horizontal="general" vertical="bottom" textRotation="0" wrapText="false" shrinkToFit="false"/>
    </xf>
    <xf xfId="0" fontId="4" numFmtId="4" fillId="2" borderId="33" applyFont="1" applyNumberFormat="1" applyFill="0" applyBorder="1" applyAlignment="0">
      <alignment horizontal="general" vertical="bottom" textRotation="0" wrapText="false" shrinkToFit="false"/>
    </xf>
    <xf xfId="0" fontId="4" numFmtId="4" fillId="2" borderId="34" applyFont="1" applyNumberFormat="1" applyFill="0" applyBorder="1" applyAlignment="0">
      <alignment horizontal="general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35" applyFont="1" applyNumberFormat="0" applyFill="0" applyBorder="1" applyAlignment="1">
      <alignment horizontal="center" vertical="bottom" textRotation="0" wrapText="false" shrinkToFit="false"/>
    </xf>
    <xf xfId="0" fontId="6" numFmtId="0" fillId="2" borderId="35" applyFont="1" applyNumberFormat="0" applyFill="0" applyBorder="1" applyAlignment="1">
      <alignment horizontal="center" vertical="bottom" textRotation="0" wrapText="false" shrinkToFit="false"/>
    </xf>
    <xf xfId="0" fontId="6" numFmtId="4" fillId="2" borderId="35" applyFont="1" applyNumberFormat="1" applyFill="0" applyBorder="1" applyAlignment="1">
      <alignment horizontal="center" vertical="bottom" textRotation="0" wrapText="false" shrinkToFit="false"/>
    </xf>
    <xf xfId="0" fontId="2" numFmtId="4" fillId="2" borderId="35" applyFont="1" applyNumberFormat="1" applyFill="0" applyBorder="1" applyAlignment="0">
      <alignment horizontal="general" vertical="bottom" textRotation="0" wrapText="false" shrinkToFit="false"/>
    </xf>
    <xf xfId="0" fontId="2" numFmtId="4" fillId="2" borderId="36" applyFont="1" applyNumberFormat="1" applyFill="0" applyBorder="1" applyAlignment="0">
      <alignment horizontal="general" vertical="bottom" textRotation="0" wrapText="false" shrinkToFit="false"/>
    </xf>
    <xf xfId="0" fontId="6" numFmtId="4" fillId="2" borderId="13" applyFont="1" applyNumberFormat="1" applyFill="0" applyBorder="1" applyAlignment="1">
      <alignment horizontal="center" vertical="bottom" textRotation="0" wrapText="false" shrinkToFit="false"/>
    </xf>
    <xf xfId="0" fontId="6" numFmtId="0" fillId="2" borderId="18" applyFont="1" applyNumberFormat="0" applyFill="0" applyBorder="1" applyAlignment="0">
      <alignment horizontal="general" vertical="bottom" textRotation="0" wrapText="false" shrinkToFit="false"/>
    </xf>
    <xf xfId="0" fontId="6" numFmtId="164" fillId="2" borderId="26" applyFont="1" applyNumberFormat="1" applyFill="0" applyBorder="1" applyAlignment="0">
      <alignment horizontal="general" vertical="bottom" textRotation="0" wrapText="false" shrinkToFit="false"/>
    </xf>
    <xf xfId="0" fontId="6" numFmtId="4" fillId="2" borderId="15" applyFont="1" applyNumberFormat="1" applyFill="0" applyBorder="1" applyAlignment="0">
      <alignment horizontal="general" vertical="bottom" textRotation="0" wrapText="false" shrinkToFit="false"/>
    </xf>
    <xf xfId="0" fontId="6" numFmtId="4" fillId="2" borderId="37" applyFont="1" applyNumberFormat="1" applyFill="0" applyBorder="1" applyAlignment="0">
      <alignment horizontal="general" vertical="bottom" textRotation="0" wrapText="false" shrinkToFit="false"/>
    </xf>
    <xf xfId="0" fontId="5" numFmtId="0" fillId="2" borderId="17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4" fillId="2" borderId="0" applyFont="1" applyNumberFormat="1" applyFill="0" applyBorder="0" applyAlignment="0">
      <alignment horizontal="general" vertical="bottom" textRotation="0" wrapText="false" shrinkToFit="false"/>
    </xf>
    <xf xfId="0" fontId="5" numFmtId="0" fillId="2" borderId="10" applyFont="1" applyNumberFormat="0" applyFill="0" applyBorder="1" applyAlignment="1">
      <alignment horizontal="center" vertical="bottom" textRotation="0" wrapText="false" shrinkToFit="false"/>
    </xf>
    <xf xfId="0" fontId="6" numFmtId="0" fillId="2" borderId="10" applyFont="1" applyNumberFormat="0" applyFill="0" applyBorder="1" applyAlignment="1">
      <alignment horizontal="general" vertical="bottom" textRotation="0" wrapText="tru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2" fillId="2" borderId="25" applyFont="1" applyNumberFormat="1" applyFill="0" applyBorder="1" applyAlignment="0">
      <alignment horizontal="general" vertical="bottom" textRotation="0" wrapText="false" shrinkToFit="false"/>
    </xf>
    <xf xfId="0" fontId="4" numFmtId="4" fillId="2" borderId="24" applyFont="1" applyNumberFormat="1" applyFill="0" applyBorder="1" applyAlignment="0">
      <alignment horizontal="general" vertical="bottom" textRotation="0" wrapText="false" shrinkToFit="false"/>
    </xf>
    <xf xfId="0" fontId="6" numFmtId="0" fillId="2" borderId="10" applyFont="1" applyNumberFormat="0" applyFill="0" applyBorder="1" applyAlignment="1">
      <alignment horizontal="left" vertical="center" textRotation="0" wrapText="false" shrinkToFit="false"/>
    </xf>
    <xf xfId="0" fontId="6" numFmtId="4" fillId="2" borderId="26" applyFont="1" applyNumberFormat="1" applyFill="0" applyBorder="1" applyAlignment="1">
      <alignment horizontal="right" vertical="bottom" textRotation="0" wrapText="false" shrinkToFit="false"/>
    </xf>
    <xf xfId="0" fontId="6" numFmtId="0" fillId="2" borderId="12" applyFont="1" applyNumberFormat="0" applyFill="0" applyBorder="1" applyAlignment="1">
      <alignment horizontal="center" vertical="center" textRotation="0" wrapText="false" shrinkToFit="false"/>
    </xf>
    <xf xfId="0" fontId="6" numFmtId="4" fillId="2" borderId="28" applyFont="1" applyNumberFormat="1" applyFill="0" applyBorder="1" applyAlignment="1">
      <alignment horizontal="right" vertical="bottom" textRotation="0" wrapText="false" shrinkToFit="false"/>
    </xf>
    <xf xfId="0" fontId="4" numFmtId="4" fillId="2" borderId="31" applyFont="1" applyNumberFormat="1" applyFill="0" applyBorder="1" applyAlignment="1">
      <alignment horizontal="right" vertical="bottom" textRotation="0" wrapText="false" shrinkToFit="false"/>
    </xf>
    <xf xfId="0" fontId="6" numFmtId="0" fillId="2" borderId="19" applyFont="1" applyNumberFormat="0" applyFill="0" applyBorder="1" applyAlignment="1">
      <alignment horizontal="center" vertical="bottom" textRotation="0" wrapText="false" shrinkToFit="false"/>
    </xf>
    <xf xfId="0" fontId="6" numFmtId="0" fillId="2" borderId="21" applyFont="1" applyNumberFormat="0" applyFill="0" applyBorder="1" applyAlignment="1">
      <alignment horizontal="center" vertical="center" textRotation="0" wrapText="false" shrinkToFit="false"/>
    </xf>
    <xf xfId="0" fontId="5" numFmtId="0" fillId="2" borderId="8" applyFont="1" applyNumberFormat="0" applyFill="0" applyBorder="1" applyAlignment="1">
      <alignment horizontal="center" vertical="bottom" textRotation="0" wrapText="false" shrinkToFit="false"/>
    </xf>
    <xf xfId="0" fontId="6" numFmtId="0" fillId="2" borderId="8" applyFont="1" applyNumberFormat="0" applyFill="0" applyBorder="1" applyAlignment="1">
      <alignment horizontal="center" vertical="bottom" textRotation="0" wrapText="false" shrinkToFit="false"/>
    </xf>
    <xf xfId="0" fontId="4" numFmtId="0" fillId="2" borderId="8" applyFont="1" applyNumberFormat="0" applyFill="0" applyBorder="1" applyAlignment="1">
      <alignment horizontal="center" vertical="bottom" textRotation="0" wrapText="false" shrinkToFit="false"/>
    </xf>
    <xf xfId="0" fontId="4" numFmtId="4" fillId="2" borderId="8" applyFont="1" applyNumberFormat="1" applyFill="0" applyBorder="1" applyAlignment="1">
      <alignment horizontal="right" vertical="bottom" textRotation="0" wrapText="false" shrinkToFit="false"/>
    </xf>
    <xf xfId="0" fontId="6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4" fillId="2" borderId="0" applyFont="1" applyNumberFormat="1" applyFill="0" applyBorder="0" applyAlignment="1">
      <alignment horizontal="right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4" fillId="2" borderId="13" applyFont="1" applyNumberFormat="1" applyFill="0" applyBorder="1" applyAlignment="1">
      <alignment horizontal="right" vertical="bottom" textRotation="0" wrapText="false" shrinkToFit="false"/>
    </xf>
    <xf xfId="0" fontId="6" numFmtId="4" fillId="2" borderId="16" applyFont="1" applyNumberFormat="1" applyFill="0" applyBorder="1" applyAlignment="1">
      <alignment horizontal="right" vertical="bottom" textRotation="0" wrapText="false" shrinkToFit="false"/>
    </xf>
    <xf xfId="0" fontId="6" numFmtId="4" fillId="2" borderId="15" applyFont="1" applyNumberFormat="1" applyFill="0" applyBorder="1" applyAlignment="1">
      <alignment horizontal="right" vertical="bottom" textRotation="0" wrapText="false" shrinkToFit="false"/>
    </xf>
    <xf xfId="0" fontId="6" numFmtId="4" fillId="2" borderId="37" applyFont="1" applyNumberFormat="1" applyFill="0" applyBorder="1" applyAlignment="1">
      <alignment horizontal="right" vertical="bottom" textRotation="0" wrapText="false" shrinkToFit="false"/>
    </xf>
    <xf xfId="0" fontId="6" numFmtId="4" fillId="2" borderId="20" applyFont="1" applyNumberFormat="1" applyFill="0" applyBorder="1" applyAlignment="1">
      <alignment horizontal="right" vertical="bottom" textRotation="0" wrapText="false" shrinkToFit="false"/>
    </xf>
    <xf xfId="0" fontId="6" numFmtId="4" fillId="2" borderId="22" applyFont="1" applyNumberFormat="1" applyFill="0" applyBorder="1" applyAlignment="1">
      <alignment horizontal="right" vertical="bottom" textRotation="0" wrapText="false" shrinkToFit="false"/>
    </xf>
    <xf xfId="0" fontId="4" numFmtId="4" fillId="2" borderId="20" applyFont="1" applyNumberFormat="1" applyFill="0" applyBorder="1" applyAlignment="1">
      <alignment horizontal="right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bottom" textRotation="0" wrapText="false" shrinkToFit="false"/>
    </xf>
    <xf xfId="0" fontId="4" numFmtId="0" fillId="2" borderId="38" applyFont="1" applyNumberFormat="0" applyFill="0" applyBorder="1" applyAlignment="0">
      <alignment horizontal="general" vertical="bottom" textRotation="0" wrapText="false" shrinkToFit="false"/>
    </xf>
    <xf xfId="0" fontId="6" numFmtId="0" fillId="2" borderId="39" applyFont="1" applyNumberFormat="0" applyFill="0" applyBorder="1" applyAlignment="0">
      <alignment horizontal="general" vertical="bottom" textRotation="0" wrapText="false" shrinkToFit="false"/>
    </xf>
    <xf xfId="0" fontId="4" numFmtId="0" fillId="2" borderId="40" applyFont="1" applyNumberFormat="0" applyFill="0" applyBorder="1" applyAlignment="0">
      <alignment horizontal="general" vertical="bottom" textRotation="0" wrapText="false" shrinkToFit="false"/>
    </xf>
    <xf xfId="0" fontId="4" numFmtId="4" fillId="2" borderId="41" applyFont="1" applyNumberFormat="1" applyFill="0" applyBorder="1" applyAlignment="0">
      <alignment horizontal="general" vertical="bottom" textRotation="0" wrapText="false" shrinkToFit="false"/>
    </xf>
    <xf xfId="0" fontId="4" numFmtId="4" fillId="2" borderId="42" applyFont="1" applyNumberFormat="1" applyFill="0" applyBorder="1" applyAlignment="0">
      <alignment horizontal="general" vertical="bottom" textRotation="0" wrapText="false" shrinkToFit="false"/>
    </xf>
    <xf xfId="0" fontId="6" numFmtId="0" fillId="2" borderId="43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1">
      <alignment horizontal="right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39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bottom" textRotation="0" wrapText="false" shrinkToFit="false"/>
    </xf>
    <xf xfId="0" fontId="6" numFmtId="4" fillId="2" borderId="25" applyFont="1" applyNumberFormat="1" applyFill="0" applyBorder="1" applyAlignment="1">
      <alignment horizontal="right" vertical="bottom" textRotation="0" wrapText="false" shrinkToFit="false"/>
    </xf>
    <xf xfId="0" fontId="6" numFmtId="4" fillId="2" borderId="30" applyFont="1" applyNumberFormat="1" applyFill="0" applyBorder="1" applyAlignment="1">
      <alignment horizontal="right" vertical="bottom" textRotation="0" wrapText="false" shrinkToFit="false"/>
    </xf>
    <xf xfId="0" fontId="6" numFmtId="4" fillId="2" borderId="23" applyFont="1" applyNumberFormat="1" applyFill="0" applyBorder="1" applyAlignment="1">
      <alignment horizontal="right" vertical="bottom" textRotation="0" wrapText="false" shrinkToFit="false"/>
    </xf>
    <xf xfId="0" fontId="6" numFmtId="4" fillId="2" borderId="24" applyFont="1" applyNumberFormat="1" applyFill="0" applyBorder="1" applyAlignment="1">
      <alignment horizontal="right" vertical="bottom" textRotation="0" wrapText="false" shrinkToFit="false"/>
    </xf>
    <xf xfId="0" fontId="4" numFmtId="4" fillId="2" borderId="32" applyFont="1" applyNumberFormat="1" applyFill="0" applyBorder="1" applyAlignment="1">
      <alignment horizontal="right" vertical="bottom" textRotation="0" wrapText="false" shrinkToFit="false"/>
    </xf>
    <xf xfId="0" fontId="4" numFmtId="0" fillId="2" borderId="39" applyFont="1" applyNumberFormat="0" applyFill="0" applyBorder="1" applyAlignment="1">
      <alignment horizontal="center" vertical="bottom" textRotation="0" wrapText="false" shrinkToFit="false"/>
    </xf>
    <xf xfId="0" fontId="4" numFmtId="0" fillId="2" borderId="40" applyFont="1" applyNumberFormat="0" applyFill="0" applyBorder="1" applyAlignment="1">
      <alignment horizontal="center" vertical="bottom" textRotation="0" wrapText="false" shrinkToFit="false"/>
    </xf>
    <xf xfId="0" fontId="4" numFmtId="4" fillId="2" borderId="41" applyFont="1" applyNumberFormat="1" applyFill="0" applyBorder="1" applyAlignment="1">
      <alignment horizontal="right" vertical="bottom" textRotation="0" wrapText="false" shrinkToFit="false"/>
    </xf>
    <xf xfId="0" fontId="4" numFmtId="0" fillId="2" borderId="40" applyFont="1" applyNumberFormat="0" applyFill="0" applyBorder="1" applyAlignment="1">
      <alignment horizontal="center" vertical="center" textRotation="0" wrapText="false" shrinkToFit="false"/>
    </xf>
    <xf xfId="0" fontId="6" numFmtId="0" fillId="2" borderId="43" applyFont="1" applyNumberFormat="0" applyFill="0" applyBorder="1" applyAlignment="1">
      <alignment horizontal="left" vertical="center" textRotation="0" wrapText="false" shrinkToFit="false"/>
    </xf>
    <xf xfId="0" fontId="4" numFmtId="0" fillId="2" borderId="43" applyFont="1" applyNumberFormat="0" applyFill="0" applyBorder="1" applyAlignment="1">
      <alignment horizontal="center" vertical="bottom" textRotation="0" wrapText="false" shrinkToFit="false"/>
    </xf>
    <xf xfId="0" fontId="4" numFmtId="4" fillId="2" borderId="43" applyFont="1" applyNumberFormat="1" applyFill="0" applyBorder="1" applyAlignment="1">
      <alignment horizontal="center" vertical="bottom" textRotation="0" wrapText="false" shrinkToFit="false"/>
    </xf>
    <xf xfId="0" fontId="4" numFmtId="0" fillId="2" borderId="43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0" numFmtId="0" fillId="2" borderId="1" applyFont="1" applyNumberFormat="0" applyFill="0" applyBorder="1" applyAlignment="0">
      <alignment horizontal="general" vertical="bottom" textRotation="0" wrapText="false" shrinkToFit="false"/>
    </xf>
    <xf xfId="0" fontId="10" numFmtId="0" fillId="2" borderId="2" applyFont="1" applyNumberFormat="0" applyFill="0" applyBorder="1" applyAlignment="0">
      <alignment horizontal="general" vertical="bottom" textRotation="0" wrapText="false" shrinkToFit="false"/>
    </xf>
    <xf xfId="0" fontId="10" numFmtId="0" fillId="2" borderId="3" applyFont="1" applyNumberFormat="0" applyFill="0" applyBorder="1" applyAlignment="1">
      <alignment horizontal="center" vertical="bottom" textRotation="0" wrapText="false" shrinkToFit="false"/>
    </xf>
    <xf xfId="0" fontId="10" numFmtId="0" fillId="2" borderId="4" applyFont="1" applyNumberFormat="0" applyFill="0" applyBorder="1" applyAlignment="1">
      <alignment horizontal="center" vertical="bottom" textRotation="0" wrapText="false" shrinkToFit="false"/>
    </xf>
    <xf xfId="0" fontId="10" numFmtId="0" fillId="2" borderId="5" applyFont="1" applyNumberFormat="0" applyFill="0" applyBorder="1" applyAlignment="1">
      <alignment horizontal="center" vertical="bottom" textRotation="0" wrapText="false" shrinkToFit="false"/>
    </xf>
    <xf xfId="0" fontId="10" numFmtId="0" fillId="2" borderId="6" applyFont="1" applyNumberFormat="0" applyFill="0" applyBorder="1" applyAlignment="1">
      <alignment horizontal="center" vertical="bottom" textRotation="0" wrapText="false" shrinkToFit="false"/>
    </xf>
    <xf xfId="0" fontId="10" numFmtId="0" fillId="2" borderId="7" applyFont="1" applyNumberFormat="0" applyFill="0" applyBorder="1" applyAlignment="1">
      <alignment horizontal="center" vertical="bottom" textRotation="0" wrapText="false" shrinkToFit="false"/>
    </xf>
    <xf xfId="0" fontId="10" numFmtId="0" fillId="2" borderId="9" applyFont="1" applyNumberFormat="0" applyFill="0" applyBorder="1" applyAlignment="1">
      <alignment horizontal="center" vertical="bottom" textRotation="0" wrapText="false" shrinkToFit="false"/>
    </xf>
    <xf xfId="0" fontId="10" numFmtId="0" fillId="2" borderId="10" applyFont="1" applyNumberFormat="0" applyFill="0" applyBorder="1" applyAlignment="1">
      <alignment horizontal="center" vertical="bottom" textRotation="0" wrapText="false" shrinkToFit="false"/>
    </xf>
    <xf xfId="0" fontId="10" numFmtId="0" fillId="2" borderId="11" applyFont="1" applyNumberFormat="0" applyFill="0" applyBorder="1" applyAlignment="1">
      <alignment horizontal="center" vertical="bottom" textRotation="0" wrapText="false" shrinkToFit="false"/>
    </xf>
    <xf xfId="0" fontId="10" numFmtId="0" fillId="2" borderId="12" applyFont="1" applyNumberFormat="0" applyFill="0" applyBorder="1" applyAlignment="1">
      <alignment horizontal="center" vertical="bottom" textRotation="0" wrapText="false" shrinkToFit="false"/>
    </xf>
    <xf xfId="0" fontId="10" numFmtId="0" fillId="2" borderId="13" applyFont="1" applyNumberFormat="0" applyFill="0" applyBorder="1" applyAlignment="1">
      <alignment horizontal="center" vertical="bottom" textRotation="0" wrapText="false" shrinkToFit="false"/>
    </xf>
    <xf xfId="0" fontId="10" numFmtId="0" fillId="2" borderId="14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0" applyBorder="1" applyAlignment="1">
      <alignment horizontal="center" vertical="bottom" textRotation="0" wrapText="false" shrinkToFit="false"/>
    </xf>
    <xf xfId="0" fontId="10" numFmtId="0" fillId="2" borderId="14" applyFont="1" applyNumberFormat="0" applyFill="0" applyBorder="1" applyAlignment="1">
      <alignment horizontal="center" vertical="center" textRotation="0" wrapText="false" shrinkToFit="false"/>
    </xf>
    <xf xfId="0" fontId="10" numFmtId="0" fillId="2" borderId="15" applyFont="1" applyNumberFormat="0" applyFill="0" applyBorder="1" applyAlignment="1">
      <alignment horizontal="center" vertical="center" textRotation="0" wrapText="false" shrinkToFit="false"/>
    </xf>
    <xf xfId="0" fontId="10" numFmtId="0" fillId="2" borderId="16" applyFont="1" applyNumberFormat="0" applyFill="0" applyBorder="1" applyAlignment="1">
      <alignment horizontal="center" vertical="bottom" textRotation="0" wrapText="false" shrinkToFit="false"/>
    </xf>
    <xf xfId="0" fontId="10" numFmtId="0" fillId="2" borderId="17" applyFont="1" applyNumberFormat="0" applyFill="0" applyBorder="1" applyAlignment="0">
      <alignment horizontal="general" vertical="bottom" textRotation="0" wrapText="false" shrinkToFit="false"/>
    </xf>
    <xf xfId="0" fontId="10" numFmtId="0" fillId="2" borderId="18" applyFont="1" applyNumberFormat="0" applyFill="0" applyBorder="1" applyAlignment="0">
      <alignment horizontal="general" vertical="bottom" textRotation="0" wrapText="false" shrinkToFit="false"/>
    </xf>
    <xf xfId="0" fontId="10" numFmtId="0" fillId="2" borderId="19" applyFont="1" applyNumberFormat="0" applyFill="0" applyBorder="1" applyAlignment="1">
      <alignment horizontal="center" vertical="bottom" textRotation="0" wrapText="false" shrinkToFit="false"/>
    </xf>
    <xf xfId="0" fontId="10" numFmtId="0" fillId="2" borderId="20" applyFont="1" applyNumberFormat="0" applyFill="0" applyBorder="1" applyAlignment="1">
      <alignment horizontal="center" vertical="bottom" textRotation="0" wrapText="false" shrinkToFit="false"/>
    </xf>
    <xf xfId="0" fontId="10" numFmtId="0" fillId="2" borderId="19" applyFont="1" applyNumberFormat="0" applyFill="0" applyBorder="1" applyAlignment="1">
      <alignment horizontal="center" vertical="center" textRotation="0" wrapText="false" shrinkToFit="false"/>
    </xf>
    <xf xfId="0" fontId="10" numFmtId="0" fillId="2" borderId="20" applyFont="1" applyNumberFormat="0" applyFill="0" applyBorder="1" applyAlignment="1">
      <alignment horizontal="center" vertical="center" textRotation="0" wrapText="false" shrinkToFit="false"/>
    </xf>
    <xf xfId="0" fontId="10" numFmtId="0" fillId="2" borderId="22" applyFont="1" applyNumberFormat="0" applyFill="0" applyBorder="1" applyAlignment="1">
      <alignment horizontal="center" vertical="bottom" textRotation="0" wrapText="false" shrinkToFit="false"/>
    </xf>
    <xf xfId="0" fontId="11" numFmtId="0" fillId="2" borderId="10" applyFont="1" applyNumberFormat="0" applyFill="0" applyBorder="1" applyAlignment="1">
      <alignment horizontal="left" vertical="bottom" textRotation="0" wrapText="false" shrinkToFit="false"/>
    </xf>
    <xf xfId="0" fontId="8" numFmtId="0" fillId="2" borderId="11" applyFont="1" applyNumberFormat="0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13" applyFont="1" applyNumberFormat="0" applyFill="0" applyBorder="1" applyAlignment="0">
      <alignment horizontal="general" vertical="bottom" textRotation="0" wrapText="false" shrinkToFit="false"/>
    </xf>
    <xf xfId="0" fontId="8" numFmtId="0" fillId="2" borderId="16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10" applyFont="1" applyNumberFormat="0" applyFill="0" applyBorder="1" applyAlignment="0">
      <alignment horizontal="general" vertical="bottom" textRotation="0" wrapText="false" shrinkToFit="false"/>
    </xf>
    <xf xfId="0" fontId="8" numFmtId="4" fillId="2" borderId="25" applyFont="1" applyNumberFormat="1" applyFill="0" applyBorder="1" applyAlignment="0">
      <alignment horizontal="general" vertical="bottom" textRotation="0" wrapText="false" shrinkToFit="false"/>
    </xf>
    <xf xfId="0" fontId="8" numFmtId="0" fillId="2" borderId="12" applyFont="1" applyNumberFormat="0" applyFill="0" applyBorder="1" applyAlignment="0">
      <alignment horizontal="general" vertical="bottom" textRotation="0" wrapText="false" shrinkToFit="false"/>
    </xf>
    <xf xfId="0" fontId="8" numFmtId="4" fillId="2" borderId="25" applyFont="1" applyNumberFormat="1" applyFill="0" applyBorder="1" applyAlignment="0">
      <alignment horizontal="general" vertical="bottom" textRotation="0" wrapText="false" shrinkToFit="false"/>
    </xf>
    <xf xfId="0" fontId="8" numFmtId="4" fillId="2" borderId="30" applyFont="1" applyNumberFormat="1" applyFill="0" applyBorder="1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11" numFmtId="0" fillId="2" borderId="10" applyFont="1" applyNumberFormat="0" applyFill="0" applyBorder="1" applyAlignment="0">
      <alignment horizontal="general" vertical="bottom" textRotation="0" wrapText="false" shrinkToFit="false"/>
    </xf>
    <xf xfId="0" fontId="8" numFmtId="4" fillId="2" borderId="13" applyFont="1" applyNumberFormat="1" applyFill="0" applyBorder="1" applyAlignment="0">
      <alignment horizontal="general" vertical="bottom" textRotation="0" wrapText="false" shrinkToFit="false"/>
    </xf>
    <xf xfId="0" fontId="8" numFmtId="4" fillId="2" borderId="13" applyFont="1" applyNumberFormat="1" applyFill="0" applyBorder="1" applyAlignment="0">
      <alignment horizontal="general" vertical="bottom" textRotation="0" wrapText="false" shrinkToFit="false"/>
    </xf>
    <xf xfId="0" fontId="8" numFmtId="4" fillId="2" borderId="16" applyFont="1" applyNumberFormat="1" applyFill="0" applyBorder="1" applyAlignment="0">
      <alignment horizontal="general" vertical="bottom" textRotation="0" wrapText="false" shrinkToFit="false"/>
    </xf>
    <xf xfId="0" fontId="8" numFmtId="4" fillId="2" borderId="26" applyFont="1" applyNumberFormat="1" applyFill="0" applyBorder="1" applyAlignment="0">
      <alignment horizontal="general" vertical="bottom" textRotation="0" wrapText="false" shrinkToFit="false"/>
    </xf>
    <xf xfId="0" fontId="8" numFmtId="4" fillId="2" borderId="26" applyFont="1" applyNumberFormat="1" applyFill="0" applyBorder="1" applyAlignment="0">
      <alignment horizontal="general" vertical="bottom" textRotation="0" wrapText="false" shrinkToFit="false"/>
    </xf>
    <xf xfId="0" fontId="8" numFmtId="4" fillId="2" borderId="28" applyFont="1" applyNumberFormat="1" applyFill="0" applyBorder="1" applyAlignment="0">
      <alignment horizontal="general" vertical="bottom" textRotation="0" wrapText="false" shrinkToFit="false"/>
    </xf>
    <xf xfId="0" fontId="8" numFmtId="4" fillId="2" borderId="15" applyFont="1" applyNumberFormat="1" applyFill="0" applyBorder="1" applyAlignment="0">
      <alignment horizontal="general" vertical="bottom" textRotation="0" wrapText="false" shrinkToFit="false"/>
    </xf>
    <xf xfId="0" fontId="7" numFmtId="4" fillId="2" borderId="25" applyFont="1" applyNumberFormat="1" applyFill="0" applyBorder="1" applyAlignment="1">
      <alignment horizontal="right" vertical="bottom" textRotation="0" wrapText="false" shrinkToFit="false"/>
    </xf>
    <xf xfId="0" fontId="7" numFmtId="4" fillId="2" borderId="26" applyFont="1" applyNumberFormat="1" applyFill="0" applyBorder="1" applyAlignment="1">
      <alignment horizontal="right" vertical="bottom" textRotation="0" wrapText="false" shrinkToFit="false"/>
    </xf>
    <xf xfId="0" fontId="8" numFmtId="4" fillId="2" borderId="26" applyFont="1" applyNumberFormat="1" applyFill="0" applyBorder="1" applyAlignment="0">
      <alignment horizontal="general" vertical="bottom" textRotation="0" wrapText="false" shrinkToFit="false"/>
    </xf>
    <xf xfId="0" fontId="8" numFmtId="4" fillId="2" borderId="26" applyFont="1" applyNumberFormat="1" applyFill="0" applyBorder="1" applyAlignment="0">
      <alignment horizontal="general" vertical="bottom" textRotation="0" wrapText="false" shrinkToFit="false"/>
    </xf>
    <xf xfId="0" fontId="8" numFmtId="4" fillId="2" borderId="28" applyFont="1" applyNumberFormat="1" applyFill="0" applyBorder="1" applyAlignment="0">
      <alignment horizontal="general" vertical="bottom" textRotation="0" wrapText="false" shrinkToFit="false"/>
    </xf>
    <xf xfId="0" fontId="12" numFmtId="0" fillId="2" borderId="10" applyFont="1" applyNumberFormat="0" applyFill="0" applyBorder="1" applyAlignment="0">
      <alignment horizontal="general" vertical="bottom" textRotation="0" wrapText="false" shrinkToFit="false"/>
    </xf>
    <xf xfId="0" fontId="8" numFmtId="4" fillId="2" borderId="20" applyFont="1" applyNumberFormat="1" applyFill="0" applyBorder="1" applyAlignment="0">
      <alignment horizontal="general" vertical="bottom" textRotation="0" wrapText="false" shrinkToFit="false"/>
    </xf>
    <xf xfId="0" fontId="8" numFmtId="4" fillId="2" borderId="23" applyFont="1" applyNumberFormat="1" applyFill="0" applyBorder="1" applyAlignment="0">
      <alignment horizontal="general" vertical="bottom" textRotation="0" wrapText="false" shrinkToFit="false"/>
    </xf>
    <xf xfId="0" fontId="8" numFmtId="4" fillId="2" borderId="24" applyFont="1" applyNumberFormat="1" applyFill="0" applyBorder="1" applyAlignment="0">
      <alignment horizontal="general" vertical="bottom" textRotation="0" wrapText="false" shrinkToFit="false"/>
    </xf>
    <xf xfId="0" fontId="11" numFmtId="0" fillId="2" borderId="17" applyFont="1" applyNumberFormat="0" applyFill="0" applyBorder="1" applyAlignment="0">
      <alignment horizontal="general" vertical="bottom" textRotation="0" wrapText="false" shrinkToFit="false"/>
    </xf>
    <xf xfId="0" fontId="8" numFmtId="0" fillId="2" borderId="18" applyFont="1" applyNumberFormat="0" applyFill="0" applyBorder="1" applyAlignment="0">
      <alignment horizontal="general" vertical="bottom" textRotation="0" wrapText="false" shrinkToFit="false"/>
    </xf>
    <xf xfId="0" fontId="11" numFmtId="0" fillId="2" borderId="19" applyFont="1" applyNumberFormat="0" applyFill="0" applyBorder="1" applyAlignment="0">
      <alignment horizontal="general" vertical="bottom" textRotation="0" wrapText="false" shrinkToFit="false"/>
    </xf>
    <xf xfId="0" fontId="11" numFmtId="4" fillId="2" borderId="20" applyFont="1" applyNumberFormat="1" applyFill="0" applyBorder="1" applyAlignment="0">
      <alignment horizontal="general" vertical="bottom" textRotation="0" wrapText="false" shrinkToFit="false"/>
    </xf>
    <xf xfId="0" fontId="11" numFmtId="0" fillId="2" borderId="21" applyFont="1" applyNumberFormat="0" applyFill="0" applyBorder="1" applyAlignment="0">
      <alignment horizontal="general" vertical="bottom" textRotation="0" wrapText="false" shrinkToFit="false"/>
    </xf>
    <xf xfId="0" fontId="11" numFmtId="4" fillId="2" borderId="22" applyFont="1" applyNumberFormat="1" applyFill="0" applyBorder="1" applyAlignment="0">
      <alignment horizontal="general" vertical="bottom" textRotation="0" wrapText="false" shrinkToFit="false"/>
    </xf>
    <xf xfId="0" fontId="11" numFmtId="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10" numFmtId="0" fillId="2" borderId="14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0" applyBorder="1" applyAlignment="1">
      <alignment horizontal="center" vertical="bottom" textRotation="0" wrapText="false" shrinkToFit="false"/>
    </xf>
    <xf xfId="0" fontId="10" numFmtId="0" fillId="2" borderId="14" applyFont="1" applyNumberFormat="0" applyFill="0" applyBorder="1" applyAlignment="1">
      <alignment horizontal="center" vertical="center" textRotation="0" wrapText="false" shrinkToFit="false"/>
    </xf>
    <xf xfId="0" fontId="10" numFmtId="0" fillId="2" borderId="15" applyFont="1" applyNumberFormat="0" applyFill="0" applyBorder="1" applyAlignment="1">
      <alignment horizontal="center" vertical="center" textRotation="0" wrapText="false" shrinkToFit="false"/>
    </xf>
    <xf xfId="0" fontId="8" numFmtId="0" fillId="2" borderId="11" applyFont="1" applyNumberFormat="0" applyFill="0" applyBorder="1" applyAlignment="0">
      <alignment horizontal="general" vertical="bottom" textRotation="0" wrapText="false" shrinkToFit="false"/>
    </xf>
    <xf xfId="0" fontId="8" numFmtId="4" fillId="2" borderId="23" applyFont="1" applyNumberFormat="1" applyFill="0" applyBorder="1" applyAlignment="0">
      <alignment horizontal="general" vertical="bottom" textRotation="0" wrapText="false" shrinkToFit="false"/>
    </xf>
    <xf xfId="0" fontId="8" numFmtId="4" fillId="2" borderId="20" applyFont="1" applyNumberFormat="1" applyFill="0" applyBorder="1" applyAlignment="0">
      <alignment horizontal="general" vertical="bottom" textRotation="0" wrapText="false" shrinkToFit="false"/>
    </xf>
    <xf xfId="0" fontId="8" numFmtId="4" fillId="2" borderId="22" applyFont="1" applyNumberFormat="1" applyFill="0" applyBorder="1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4" fillId="2" borderId="13" applyFont="1" applyNumberFormat="1" applyFill="0" applyBorder="1" applyAlignment="0">
      <alignment horizontal="general" vertical="bottom" textRotation="0" wrapText="false" shrinkToFit="false"/>
    </xf>
    <xf xfId="0" fontId="11" numFmtId="4" fillId="2" borderId="16" applyFont="1" applyNumberFormat="1" applyFill="0" applyBorder="1" applyAlignment="0">
      <alignment horizontal="general" vertical="bottom" textRotation="0" wrapText="false" shrinkToFit="false"/>
    </xf>
    <xf xfId="0" fontId="11" numFmtId="4" fillId="2" borderId="0" applyFont="1" applyNumberFormat="1" applyFill="0" applyBorder="0" applyAlignment="0">
      <alignment horizontal="general" vertical="bottom" textRotation="0" wrapText="false" shrinkToFit="false"/>
    </xf>
    <xf xfId="0" fontId="10" numFmtId="0" fillId="2" borderId="44" applyFont="1" applyNumberFormat="0" applyFill="0" applyBorder="1" applyAlignment="0">
      <alignment horizontal="general" vertical="bottom" textRotation="0" wrapText="false" shrinkToFit="false"/>
    </xf>
    <xf xfId="0" fontId="0" numFmtId="0" fillId="2" borderId="45" applyFont="0" applyNumberFormat="0" applyFill="0" applyBorder="1" applyAlignment="0">
      <alignment horizontal="general" vertical="bottom" textRotation="0" wrapText="false" shrinkToFit="false"/>
    </xf>
    <xf xfId="0" fontId="11" numFmtId="0" fillId="2" borderId="46" applyFont="1" applyNumberFormat="0" applyFill="0" applyBorder="1" applyAlignment="0">
      <alignment horizontal="general" vertical="bottom" textRotation="0" wrapText="false" shrinkToFit="false"/>
    </xf>
    <xf xfId="0" fontId="11" numFmtId="4" fillId="2" borderId="45" applyFont="1" applyNumberFormat="1" applyFill="0" applyBorder="1" applyAlignment="0">
      <alignment horizontal="general" vertical="bottom" textRotation="0" wrapText="false" shrinkToFit="false"/>
    </xf>
    <xf xfId="0" fontId="11" numFmtId="0" fillId="2" borderId="47" applyFont="1" applyNumberFormat="0" applyFill="0" applyBorder="1" applyAlignment="0">
      <alignment horizontal="general" vertical="bottom" textRotation="0" wrapText="false" shrinkToFit="false"/>
    </xf>
    <xf xfId="0" fontId="11" numFmtId="4" fillId="2" borderId="48" applyFont="1" applyNumberFormat="1" applyFill="0" applyBorder="1" applyAlignment="0">
      <alignment horizontal="general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7" numFmtId="4" fillId="2" borderId="25" applyFont="1" applyNumberFormat="1" applyFill="0" applyBorder="1" applyAlignment="1">
      <alignment horizontal="right" vertical="bottom" textRotation="0" wrapText="false" shrinkToFit="false"/>
    </xf>
    <xf xfId="0" fontId="7" numFmtId="4" fillId="2" borderId="26" applyFont="1" applyNumberFormat="1" applyFill="0" applyBorder="1" applyAlignment="1">
      <alignment horizontal="right" vertical="bottom" textRotation="0" wrapText="false" shrinkToFit="false"/>
    </xf>
    <xf xfId="0" fontId="7" numFmtId="4" fillId="2" borderId="26" applyFont="1" applyNumberFormat="1" applyFill="0" applyBorder="1" applyAlignment="1">
      <alignment horizontal="right" vertical="bottom" textRotation="0" wrapText="false" shrinkToFit="false"/>
    </xf>
    <xf xfId="0" fontId="8" numFmtId="0" fillId="2" borderId="9" applyFont="1" applyNumberFormat="0" applyFill="0" applyBorder="1" applyAlignment="0">
      <alignment horizontal="general" vertical="bottom" textRotation="0" wrapText="false" shrinkToFit="false"/>
    </xf>
    <xf xfId="0" fontId="8" numFmtId="4" fillId="2" borderId="23" applyFont="1" applyNumberFormat="1" applyFill="0" applyBorder="1" applyAlignment="0">
      <alignment horizontal="general" vertical="bottom" textRotation="0" wrapText="false" shrinkToFit="false"/>
    </xf>
    <xf xfId="0" fontId="8" numFmtId="4" fillId="2" borderId="4" applyFont="1" applyNumberFormat="1" applyFill="0" applyBorder="1" applyAlignment="0">
      <alignment horizontal="general" vertical="bottom" textRotation="0" wrapText="false" shrinkToFit="false"/>
    </xf>
    <xf xfId="0" fontId="8" numFmtId="4" fillId="2" borderId="9" applyFont="1" applyNumberFormat="1" applyFill="0" applyBorder="1" applyAlignment="0">
      <alignment horizontal="general" vertical="bottom" textRotation="0" wrapText="false" shrinkToFit="false"/>
    </xf>
    <xf xfId="0" fontId="11" numFmtId="4" fillId="2" borderId="31" applyFont="1" applyNumberFormat="1" applyFill="0" applyBorder="1" applyAlignment="0">
      <alignment horizontal="general" vertical="bottom" textRotation="0" wrapText="false" shrinkToFit="false"/>
    </xf>
    <xf xfId="0" fontId="11" numFmtId="4" fillId="2" borderId="32" applyFont="1" applyNumberFormat="1" applyFill="0" applyBorder="1" applyAlignment="0">
      <alignment horizontal="general" vertical="bottom" textRotation="0" wrapText="false" shrinkToFit="false"/>
    </xf>
    <xf xfId="0" fontId="10" numFmtId="0" fillId="2" borderId="38" applyFont="1" applyNumberFormat="0" applyFill="0" applyBorder="1" applyAlignment="0">
      <alignment horizontal="general" vertical="bottom" textRotation="0" wrapText="false" shrinkToFit="false"/>
    </xf>
    <xf xfId="0" fontId="0" numFmtId="0" fillId="2" borderId="41" applyFont="0" applyNumberFormat="0" applyFill="0" applyBorder="1" applyAlignment="0">
      <alignment horizontal="general" vertical="bottom" textRotation="0" wrapText="false" shrinkToFit="false"/>
    </xf>
    <xf xfId="0" fontId="11" numFmtId="0" fillId="2" borderId="49" applyFont="1" applyNumberFormat="0" applyFill="0" applyBorder="1" applyAlignment="0">
      <alignment horizontal="general" vertical="bottom" textRotation="0" wrapText="false" shrinkToFit="false"/>
    </xf>
    <xf xfId="0" fontId="11" numFmtId="4" fillId="2" borderId="41" applyFont="1" applyNumberFormat="1" applyFill="0" applyBorder="1" applyAlignment="0">
      <alignment horizontal="general" vertical="bottom" textRotation="0" wrapText="false" shrinkToFit="false"/>
    </xf>
    <xf xfId="0" fontId="11" numFmtId="0" fillId="2" borderId="40" applyFont="1" applyNumberFormat="0" applyFill="0" applyBorder="1" applyAlignment="0">
      <alignment horizontal="general" vertical="bottom" textRotation="0" wrapText="false" shrinkToFit="false"/>
    </xf>
    <xf xfId="0" fontId="11" numFmtId="4" fillId="2" borderId="42" applyFont="1" applyNumberFormat="1" applyFill="0" applyBorder="1" applyAlignment="0">
      <alignment horizontal="general" vertical="bottom" textRotation="0" wrapText="false" shrinkToFit="false"/>
    </xf>
    <xf xfId="0" fontId="8" numFmtId="4" fillId="2" borderId="26" applyFont="1" applyNumberFormat="1" applyFill="0" applyBorder="1" applyAlignment="1">
      <alignment horizontal="right" vertical="bottom" textRotation="0" wrapText="false" shrinkToFit="false"/>
    </xf>
    <xf xfId="0" fontId="8" numFmtId="4" fillId="2" borderId="28" applyFont="1" applyNumberFormat="1" applyFill="0" applyBorder="1" applyAlignment="1">
      <alignment horizontal="right" vertical="bottom" textRotation="0" wrapText="false" shrinkToFit="false"/>
    </xf>
    <xf xfId="0" fontId="8" numFmtId="4" fillId="2" borderId="0" applyFont="1" applyNumberFormat="1" applyFill="0" applyBorder="0" applyAlignment="1">
      <alignment horizontal="right" vertical="bottom" textRotation="0" wrapText="false" shrinkToFit="false"/>
    </xf>
    <xf xfId="0" fontId="8" numFmtId="4" fillId="2" borderId="15" applyFont="1" applyNumberFormat="1" applyFill="0" applyBorder="1" applyAlignment="0">
      <alignment horizontal="general" vertical="bottom" textRotation="0" wrapText="false" shrinkToFit="false"/>
    </xf>
    <xf xfId="0" fontId="8" numFmtId="4" fillId="2" borderId="28" applyFont="1" applyNumberFormat="1" applyFill="0" applyBorder="1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8" numFmtId="4" fillId="2" borderId="50" applyFont="1" applyNumberFormat="1" applyFill="0" applyBorder="1" applyAlignment="0">
      <alignment horizontal="general" vertical="bottom" textRotation="0" wrapText="false" shrinkToFit="false"/>
    </xf>
    <xf xfId="0" fontId="8" numFmtId="0" fillId="2" borderId="41" applyFont="1" applyNumberFormat="0" applyFill="0" applyBorder="1" applyAlignment="0">
      <alignment horizontal="general" vertical="bottom" textRotation="0" wrapText="false" shrinkToFit="false"/>
    </xf>
    <xf xfId="0" fontId="7" numFmtId="4" fillId="2" borderId="50" applyFont="1" applyNumberFormat="1" applyFill="0" applyBorder="1" applyAlignment="1">
      <alignment horizontal="right" vertical="bottom" textRotation="0" wrapText="false" shrinkToFit="false"/>
    </xf>
    <xf xfId="0" fontId="11" numFmtId="4" fillId="2" borderId="0" applyFont="1" applyNumberFormat="1" applyFill="0" applyBorder="0" applyAlignment="1">
      <alignment horizontal="general" vertical="bottom" textRotation="0" wrapText="true" shrinkToFit="false"/>
    </xf>
    <xf xfId="0" fontId="11" numFmtId="4" fillId="2" borderId="20" applyFont="1" applyNumberFormat="1" applyFill="0" applyBorder="1" applyAlignment="0">
      <alignment horizontal="general" vertical="bottom" textRotation="0" wrapText="false" shrinkToFit="false"/>
    </xf>
    <xf xfId="0" fontId="8" numFmtId="4" fillId="2" borderId="25" applyFont="1" applyNumberFormat="1" applyFill="0" applyBorder="1" applyAlignment="1">
      <alignment horizontal="right" vertical="bottom" textRotation="0" wrapText="false" shrinkToFit="false"/>
    </xf>
    <xf xfId="0" fontId="8" numFmtId="4" fillId="2" borderId="30" applyFont="1" applyNumberFormat="1" applyFill="0" applyBorder="1" applyAlignment="1">
      <alignment horizontal="right" vertical="bottom" textRotation="0" wrapText="false" shrinkToFit="false"/>
    </xf>
    <xf xfId="0" fontId="8" numFmtId="4" fillId="2" borderId="13" applyFont="1" applyNumberFormat="1" applyFill="0" applyBorder="1" applyAlignment="1">
      <alignment horizontal="right" vertical="bottom" textRotation="0" wrapText="false" shrinkToFit="false"/>
    </xf>
    <xf xfId="0" fontId="8" numFmtId="4" fillId="2" borderId="16" applyFont="1" applyNumberFormat="1" applyFill="0" applyBorder="1" applyAlignment="1">
      <alignment horizontal="right" vertical="bottom" textRotation="0" wrapText="false" shrinkToFit="false"/>
    </xf>
    <xf xfId="0" fontId="8" numFmtId="4" fillId="2" borderId="20" applyFont="1" applyNumberFormat="1" applyFill="0" applyBorder="1" applyAlignment="1">
      <alignment horizontal="right" vertical="bottom" textRotation="0" wrapText="false" shrinkToFit="false"/>
    </xf>
    <xf xfId="0" fontId="8" numFmtId="4" fillId="2" borderId="22" applyFont="1" applyNumberFormat="1" applyFill="0" applyBorder="1" applyAlignment="1">
      <alignment horizontal="right" vertical="bottom" textRotation="0" wrapText="false" shrinkToFit="false"/>
    </xf>
    <xf xfId="0" fontId="11" numFmtId="4" fillId="2" borderId="20" applyFont="1" applyNumberFormat="1" applyFill="0" applyBorder="1" applyAlignment="1">
      <alignment horizontal="right" vertical="bottom" textRotation="0" wrapText="false" shrinkToFit="false"/>
    </xf>
    <xf xfId="0" fontId="11" numFmtId="4" fillId="2" borderId="22" applyFont="1" applyNumberFormat="1" applyFill="0" applyBorder="1" applyAlignment="1">
      <alignment horizontal="right" vertical="bottom" textRotation="0" wrapText="false" shrinkToFit="false"/>
    </xf>
    <xf xfId="0" fontId="11" numFmtId="4" fillId="2" borderId="0" applyFont="1" applyNumberFormat="1" applyFill="0" applyBorder="0" applyAlignment="1">
      <alignment horizontal="right" vertical="bottom" textRotation="0" wrapText="false" shrinkToFit="false"/>
    </xf>
    <xf xfId="0" fontId="11" numFmtId="4" fillId="3" borderId="0" applyFont="1" applyNumberFormat="1" applyFill="1" applyBorder="0" applyAlignment="0">
      <alignment horizontal="general" vertical="bottom" textRotation="0" wrapText="false" shrinkToFit="false"/>
    </xf>
    <xf xfId="0" fontId="8" numFmtId="0" fillId="2" borderId="10" applyFont="1" applyNumberFormat="0" applyFill="0" applyBorder="1" applyAlignment="1">
      <alignment horizontal="general" vertical="bottom" textRotation="0" wrapText="true" shrinkToFit="false"/>
    </xf>
    <xf xfId="0" fontId="11" numFmtId="4" fillId="2" borderId="32" applyFont="1" applyNumberFormat="1" applyFill="0" applyBorder="1" applyAlignment="0">
      <alignment horizontal="general" vertical="bottom" textRotation="0" wrapText="false" shrinkToFit="false"/>
    </xf>
    <xf xfId="0" fontId="8" numFmtId="0" fillId="2" borderId="27" applyFont="1" applyNumberFormat="0" applyFill="0" applyBorder="1" applyAlignment="0">
      <alignment horizontal="general" vertical="bottom" textRotation="0" wrapText="false" shrinkToFit="false"/>
    </xf>
    <xf xfId="0" fontId="7" numFmtId="4" fillId="2" borderId="25" applyFont="1" applyNumberFormat="1" applyFill="0" applyBorder="1" applyAlignment="1">
      <alignment horizontal="right" vertical="bottom" textRotation="0" wrapText="false" shrinkToFit="false"/>
    </xf>
    <xf xfId="0" fontId="10" numFmtId="0" fillId="2" borderId="11" applyFont="1" applyNumberFormat="0" applyFill="0" applyBorder="1" applyAlignment="0">
      <alignment horizontal="general" vertical="bottom" textRotation="0" wrapText="false" shrinkToFit="false"/>
    </xf>
    <xf xfId="0" fontId="10" numFmtId="0" fillId="2" borderId="13" applyFont="1" applyNumberFormat="0" applyFill="0" applyBorder="1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center" textRotation="0" wrapText="false" shrinkToFit="false"/>
    </xf>
    <xf xfId="0" fontId="10" numFmtId="0" fillId="2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16" applyFont="1" applyNumberFormat="0" applyFill="0" applyBorder="1" applyAlignment="1">
      <alignment horizontal="center" vertical="bottom" textRotation="0" wrapText="false" shrinkToFit="false"/>
    </xf>
    <xf xfId="0" fontId="11" numFmtId="0" fillId="2" borderId="51" applyFont="1" applyNumberFormat="0" applyFill="0" applyBorder="1" applyAlignment="1">
      <alignment horizontal="center" vertical="bottom" textRotation="0" wrapText="false" shrinkToFit="false"/>
    </xf>
    <xf xfId="0" fontId="11" numFmtId="0" fillId="2" borderId="12" applyFont="1" applyNumberFormat="0" applyFill="0" applyBorder="1" applyAlignment="0">
      <alignment horizontal="general" vertical="bottom" textRotation="0" wrapText="false" shrinkToFit="false"/>
    </xf>
    <xf xfId="0" fontId="11" numFmtId="4" fillId="2" borderId="48" applyFont="1" applyNumberFormat="1" applyFill="0" applyBorder="1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6" applyFont="0" applyNumberFormat="0" applyFill="0" applyBorder="1" applyAlignment="0">
      <alignment horizontal="general" vertical="bottom" textRotation="0" wrapText="false" shrinkToFit="false"/>
    </xf>
    <xf xfId="0" fontId="8" numFmtId="4" fillId="2" borderId="24" applyFont="1" applyNumberFormat="1" applyFill="0" applyBorder="1" applyAlignment="0">
      <alignment horizontal="general" vertical="bottom" textRotation="0" wrapText="false" shrinkToFit="false"/>
    </xf>
    <xf xfId="0" fontId="11" numFmtId="0" fillId="2" borderId="52" applyFont="1" applyNumberFormat="0" applyFill="0" applyBorder="1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8" numFmtId="0" fillId="2" borderId="12" applyFont="1" applyNumberFormat="0" applyFill="0" applyBorder="1" applyAlignment="0">
      <alignment horizontal="general" vertical="bottom" textRotation="0" wrapText="false" shrinkToFit="false"/>
    </xf>
    <xf xfId="0" fontId="8" numFmtId="4" fillId="2" borderId="15" applyFont="1" applyNumberFormat="1" applyFill="0" applyBorder="1" applyAlignment="0">
      <alignment horizontal="general" vertical="bottom" textRotation="0" wrapText="false" shrinkToFit="false"/>
    </xf>
    <xf xfId="0" fontId="8" numFmtId="4" fillId="2" borderId="37" applyFont="1" applyNumberFormat="1" applyFill="0" applyBorder="1" applyAlignment="0">
      <alignment horizontal="general" vertical="bottom" textRotation="0" wrapText="false" shrinkToFit="false"/>
    </xf>
    <xf xfId="0" fontId="11" numFmtId="0" fillId="2" borderId="10" applyFont="1" applyNumberFormat="0" applyFill="0" applyBorder="1" applyAlignment="1">
      <alignment horizontal="center" vertical="bottom" textRotation="0" wrapText="false" shrinkToFit="false"/>
    </xf>
    <xf xfId="0" fontId="11" numFmtId="0" fillId="2" borderId="12" applyFont="1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0" applyBorder="1" applyAlignment="0">
      <alignment horizontal="general" vertical="bottom" textRotation="0" wrapText="false" shrinkToFit="false"/>
    </xf>
    <xf xfId="0" fontId="11" numFmtId="0" fillId="2" borderId="19" applyFont="1" applyNumberFormat="0" applyFill="0" applyBorder="1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11" numFmtId="4" fillId="2" borderId="22" applyFont="1" applyNumberFormat="1" applyFill="0" applyBorder="1" applyAlignment="0">
      <alignment horizontal="general" vertical="bottom" textRotation="0" wrapText="false" shrinkToFit="false"/>
    </xf>
    <xf xfId="0" fontId="11" numFmtId="4" fillId="2" borderId="42" applyFont="1" applyNumberFormat="1" applyFill="0" applyBorder="1" applyAlignment="0">
      <alignment horizontal="general" vertical="bottom" textRotation="0" wrapText="false" shrinkToFit="false"/>
    </xf>
    <xf xfId="0" fontId="8" numFmtId="0" fillId="2" borderId="10" applyFont="1" applyNumberFormat="0" applyFill="0" applyBorder="1" applyAlignment="1">
      <alignment horizontal="general" vertical="bottom" textRotation="0" wrapText="true" shrinkToFit="false"/>
    </xf>
    <xf xfId="0" fontId="8" numFmtId="0" fillId="2" borderId="11" applyFont="1" applyNumberFormat="0" applyFill="0" applyBorder="1" applyAlignment="1">
      <alignment horizontal="general" vertical="bottom" textRotation="0" wrapText="true" shrinkToFit="false"/>
    </xf>
    <xf xfId="0" fontId="8" numFmtId="0" fillId="2" borderId="11" applyFont="1" applyNumberFormat="0" applyFill="0" applyBorder="1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4" applyFont="1" applyNumberFormat="0" applyFill="0" applyBorder="1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43" applyFont="0" applyNumberFormat="0" applyFill="0" applyBorder="1" applyAlignment="0">
      <alignment horizontal="general" vertical="bottom" textRotation="0" wrapText="false" shrinkToFit="false"/>
    </xf>
    <xf xfId="0" fontId="0" numFmtId="0" fillId="2" borderId="43" applyFont="0" applyNumberFormat="0" applyFill="0" applyBorder="1" applyAlignment="0">
      <alignment horizontal="general" vertical="bottom" textRotation="0" wrapText="false" shrinkToFit="false"/>
    </xf>
    <xf xfId="0" fontId="8" numFmtId="0" fillId="2" borderId="8" applyFont="1" applyNumberFormat="0" applyFill="0" applyBorder="1" applyAlignment="0">
      <alignment horizontal="general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51" applyFont="1" applyNumberFormat="0" applyFill="0" applyBorder="1" applyAlignment="1">
      <alignment horizontal="center" vertical="bottom" textRotation="0" wrapText="false" shrinkToFit="false"/>
    </xf>
    <xf xfId="0" fontId="13" numFmtId="0" fillId="2" borderId="1" applyFont="1" applyNumberFormat="0" applyFill="0" applyBorder="1" applyAlignment="1">
      <alignment horizontal="center" vertical="center" textRotation="0" wrapText="false" shrinkToFit="false"/>
    </xf>
    <xf xfId="0" fontId="13" numFmtId="0" fillId="2" borderId="2" applyFont="1" applyNumberFormat="0" applyFill="0" applyBorder="1" applyAlignment="1">
      <alignment horizontal="center" vertical="bottom" textRotation="0" wrapText="false" shrinkToFit="false"/>
    </xf>
    <xf xfId="0" fontId="13" numFmtId="0" fillId="2" borderId="53" applyFont="1" applyNumberFormat="0" applyFill="0" applyBorder="1" applyAlignment="1">
      <alignment horizontal="center" vertical="center" textRotation="0" wrapText="false" shrinkToFit="false"/>
    </xf>
    <xf xfId="0" fontId="13" numFmtId="0" fillId="2" borderId="11" applyFont="1" applyNumberFormat="0" applyFill="0" applyBorder="1" applyAlignment="1">
      <alignment horizontal="center" vertical="bottom" textRotation="0" wrapText="false" shrinkToFit="false"/>
    </xf>
    <xf xfId="0" fontId="13" numFmtId="0" fillId="2" borderId="18" applyFont="1" applyNumberFormat="0" applyFill="0" applyBorder="1" applyAlignment="1">
      <alignment horizontal="center" vertical="bottom" textRotation="0" wrapText="false" shrinkToFit="false"/>
    </xf>
    <xf xfId="0" fontId="13" numFmtId="0" fillId="2" borderId="54" applyFont="1" applyNumberFormat="0" applyFill="0" applyBorder="1" applyAlignment="1">
      <alignment horizontal="center" vertical="center" textRotation="0" wrapText="false" shrinkToFit="false"/>
    </xf>
    <xf xfId="0" fontId="12" numFmtId="0" fillId="2" borderId="2" applyFont="1" applyNumberFormat="0" applyFill="0" applyBorder="1" applyAlignment="0">
      <alignment horizontal="general" vertical="bottom" textRotation="0" wrapText="false" shrinkToFit="false"/>
    </xf>
    <xf xfId="0" fontId="12" numFmtId="0" fillId="2" borderId="53" applyFont="1" applyNumberFormat="0" applyFill="0" applyBorder="1" applyAlignment="0">
      <alignment horizontal="general" vertical="bottom" textRotation="0" wrapText="false" shrinkToFit="false"/>
    </xf>
    <xf xfId="0" fontId="12" numFmtId="0" fillId="2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11" applyFont="1" applyNumberFormat="0" applyFill="0" applyBorder="1" applyAlignment="0">
      <alignment horizontal="general" vertical="bottom" textRotation="0" wrapText="false" shrinkToFit="false"/>
    </xf>
    <xf xfId="0" fontId="12" numFmtId="4" fillId="2" borderId="11" applyFont="1" applyNumberFormat="1" applyFill="0" applyBorder="1" applyAlignment="1">
      <alignment horizontal="right" vertical="bottom" textRotation="0" wrapText="false" shrinkToFit="false"/>
    </xf>
    <xf xfId="0" fontId="13" numFmtId="0" fillId="2" borderId="10" applyFont="1" applyNumberFormat="0" applyFill="0" applyBorder="1" applyAlignment="1">
      <alignment horizontal="center" vertical="bottom" textRotation="0" wrapText="false" shrinkToFit="false"/>
    </xf>
    <xf xfId="0" fontId="13" numFmtId="0" fillId="2" borderId="55" applyFont="1" applyNumberFormat="0" applyFill="0" applyBorder="1" applyAlignment="1">
      <alignment horizontal="center" vertical="center" textRotation="0" wrapText="false" shrinkToFit="false"/>
    </xf>
    <xf xfId="0" fontId="13" numFmtId="4" fillId="2" borderId="56" applyFont="1" applyNumberFormat="1" applyFill="0" applyBorder="1" applyAlignment="1">
      <alignment horizontal="right" vertical="bottom" textRotation="0" wrapText="false" shrinkToFit="false"/>
    </xf>
    <xf xfId="0" fontId="12" numFmtId="4" fillId="2" borderId="11" applyFont="1" applyNumberFormat="1" applyFill="0" applyBorder="1" applyAlignment="0">
      <alignment horizontal="general" vertical="bottom" textRotation="0" wrapText="false" shrinkToFit="false"/>
    </xf>
    <xf xfId="0" fontId="12" numFmtId="0" fillId="2" borderId="55" applyFont="1" applyNumberFormat="0" applyFill="0" applyBorder="1" applyAlignment="0">
      <alignment horizontal="general" vertical="bottom" textRotation="0" wrapText="false" shrinkToFit="false"/>
    </xf>
    <xf xfId="0" fontId="12" numFmtId="4" fillId="2" borderId="55" applyFont="1" applyNumberFormat="1" applyFill="0" applyBorder="1" applyAlignment="0">
      <alignment horizontal="general" vertical="bottom" textRotation="0" wrapText="false" shrinkToFit="false"/>
    </xf>
    <xf xfId="0" fontId="13" numFmtId="4" fillId="2" borderId="56" applyFont="1" applyNumberFormat="1" applyFill="0" applyBorder="1" applyAlignment="0">
      <alignment horizontal="general" vertical="bottom" textRotation="0" wrapText="false" shrinkToFit="false"/>
    </xf>
    <xf xfId="0" fontId="13" numFmtId="4" fillId="2" borderId="57" applyFont="1" applyNumberFormat="1" applyFill="0" applyBorder="1" applyAlignment="0">
      <alignment horizontal="general" vertical="bottom" textRotation="0" wrapText="false" shrinkToFit="false"/>
    </xf>
    <xf xfId="0" fontId="12" numFmtId="0" fillId="2" borderId="8" applyFont="1" applyNumberFormat="0" applyFill="0" applyBorder="1" applyAlignment="0">
      <alignment horizontal="general" vertical="bottom" textRotation="0" wrapText="false" shrinkToFit="false"/>
    </xf>
    <xf xfId="0" fontId="13" numFmtId="4" fillId="2" borderId="0" applyFont="1" applyNumberFormat="1" applyFill="0" applyBorder="0" applyAlignment="0">
      <alignment horizontal="general" vertical="bottom" textRotation="0" wrapText="false" shrinkToFit="false"/>
    </xf>
    <xf xfId="0" fontId="12" numFmtId="0" fillId="2" borderId="21" applyFont="1" applyNumberFormat="0" applyFill="0" applyBorder="1" applyAlignment="0">
      <alignment horizontal="general" vertical="bottom" textRotation="0" wrapText="false" shrinkToFit="false"/>
    </xf>
    <xf xfId="0" fontId="13" numFmtId="0" fillId="2" borderId="5" applyFont="1" applyNumberFormat="0" applyFill="0" applyBorder="1" applyAlignment="1">
      <alignment horizontal="center" vertical="bottom" textRotation="0" wrapText="false" shrinkToFit="false"/>
    </xf>
    <xf xfId="0" fontId="12" numFmtId="0" fillId="2" borderId="51" applyFont="1" applyNumberFormat="0" applyFill="0" applyBorder="1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3" numFmtId="4" fillId="2" borderId="11" applyFont="1" applyNumberFormat="1" applyFill="0" applyBorder="1" applyAlignment="0">
      <alignment horizontal="general" vertical="bottom" textRotation="0" wrapText="false" shrinkToFit="false"/>
    </xf>
    <xf xfId="0" fontId="13" numFmtId="4" fillId="2" borderId="55" applyFont="1" applyNumberFormat="1" applyFill="0" applyBorder="1" applyAlignment="0">
      <alignment horizontal="general" vertical="bottom" textRotation="0" wrapText="false" shrinkToFit="false"/>
    </xf>
    <xf xfId="0" fontId="12" numFmtId="0" fillId="2" borderId="8" applyFont="1" applyNumberFormat="0" applyFill="0" applyBorder="1" applyAlignment="1">
      <alignment horizontal="center" vertical="bottom" textRotation="0" wrapText="false" shrinkToFit="false"/>
    </xf>
    <xf xfId="0" fontId="12" numFmtId="0" fillId="2" borderId="21" applyFont="1" applyNumberFormat="0" applyFill="0" applyBorder="1" applyAlignment="1">
      <alignment horizontal="center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12" numFmtId="0" fillId="2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1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0">
      <alignment horizontal="general" vertical="bottom" textRotation="0" wrapText="false" shrinkToFit="false"/>
    </xf>
    <xf xfId="0" fontId="13" numFmtId="4" fillId="2" borderId="58" applyFont="1" applyNumberFormat="1" applyFill="0" applyBorder="1" applyAlignment="0">
      <alignment horizontal="general" vertical="bottom" textRotation="0" wrapText="false" shrinkToFit="false"/>
    </xf>
    <xf xfId="0" fontId="13" numFmtId="4" fillId="2" borderId="59" applyFont="1" applyNumberFormat="1" applyFill="0" applyBorder="1" applyAlignment="0">
      <alignment horizontal="general" vertical="bottom" textRotation="0" wrapText="false" shrinkToFit="false"/>
    </xf>
    <xf xfId="0" fontId="8" numFmtId="0" fillId="2" borderId="8" applyFont="1" applyNumberFormat="0" applyFill="0" applyBorder="1" applyAlignment="1">
      <alignment horizontal="center" vertical="bottom" textRotation="0" wrapText="false" shrinkToFit="false"/>
    </xf>
    <xf xfId="0" fontId="8" numFmtId="0" fillId="2" borderId="11" applyFont="1" applyNumberFormat="0" applyFill="0" applyBorder="1" applyAlignment="0">
      <alignment horizontal="general" vertical="bottom" textRotation="0" wrapText="false" shrinkToFit="false"/>
    </xf>
    <xf xfId="0" fontId="8" numFmtId="0" fillId="2" borderId="51" applyFont="1" applyNumberFormat="0" applyFill="0" applyBorder="1" applyAlignment="0">
      <alignment horizontal="general" vertical="bottom" textRotation="0" wrapText="false" shrinkToFit="false"/>
    </xf>
    <xf xfId="0" fontId="8" numFmtId="0" fillId="2" borderId="16" applyFont="1" applyNumberFormat="0" applyFill="0" applyBorder="1" applyAlignment="0">
      <alignment horizontal="general" vertical="bottom" textRotation="0" wrapText="false" shrinkToFit="false"/>
    </xf>
    <xf xfId="0" fontId="13" numFmtId="0" fillId="2" borderId="51" applyFont="1" applyNumberFormat="0" applyFill="0" applyBorder="1" applyAlignment="1">
      <alignment horizontal="center" vertical="bottom" textRotation="0" wrapText="false" shrinkToFit="false"/>
    </xf>
    <xf xfId="0" fontId="12" numFmtId="0" fillId="2" borderId="60" applyFont="1" applyNumberFormat="0" applyFill="0" applyBorder="1" applyAlignment="0">
      <alignment horizontal="general" vertical="bottom" textRotation="0" wrapText="false" shrinkToFit="false"/>
    </xf>
    <xf xfId="0" fontId="12" numFmtId="0" fillId="2" borderId="9" applyFont="1" applyNumberFormat="0" applyFill="0" applyBorder="1" applyAlignment="0">
      <alignment horizontal="general" vertical="bottom" textRotation="0" wrapText="false" shrinkToFit="false"/>
    </xf>
    <xf xfId="0" fontId="9" numFmtId="0" fillId="2" borderId="51" applyFont="1" applyNumberFormat="0" applyFill="0" applyBorder="1" applyAlignment="1">
      <alignment horizontal="center" vertical="bottom" textRotation="0" wrapText="false" shrinkToFit="false"/>
    </xf>
    <xf xfId="0" fontId="9" numFmtId="0" fillId="2" borderId="16" applyFont="1" applyNumberFormat="0" applyFill="0" applyBorder="1" applyAlignment="1">
      <alignment horizontal="center" vertical="bottom" textRotation="0" wrapText="false" shrinkToFit="false"/>
    </xf>
    <xf xfId="0" fontId="10" numFmtId="0" fillId="2" borderId="51" applyFont="1" applyNumberFormat="0" applyFill="0" applyBorder="1" applyAlignment="1">
      <alignment horizontal="center" vertical="bottom" textRotation="0" wrapText="false" shrinkToFit="false"/>
    </xf>
    <xf xfId="0" fontId="12" numFmtId="0" fillId="2" borderId="16" applyFont="1" applyNumberFormat="0" applyFill="0" applyBorder="1" applyAlignment="0">
      <alignment horizontal="general" vertical="bottom" textRotation="0" wrapText="false" shrinkToFit="false"/>
    </xf>
    <xf xfId="0" fontId="15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22" applyFont="1" applyNumberFormat="0" applyFill="0" applyBorder="1" applyAlignment="0">
      <alignment horizontal="general" vertical="bottom" textRotation="0" wrapText="false" shrinkToFit="false"/>
    </xf>
    <xf xfId="0" fontId="15" numFmtId="0" fillId="2" borderId="10" applyFont="1" applyNumberFormat="0" applyFill="0" applyBorder="1" applyAlignment="0">
      <alignment horizontal="general" vertical="bottom" textRotation="0" wrapText="false" shrinkToFit="false"/>
    </xf>
    <xf xfId="0" fontId="16" numFmtId="0" fillId="2" borderId="11" applyFont="1" applyNumberFormat="0" applyFill="0" applyBorder="1" applyAlignment="1">
      <alignment horizontal="center" vertical="bottom" textRotation="0" wrapText="false" shrinkToFit="false"/>
    </xf>
    <xf xfId="0" fontId="15" numFmtId="0" fillId="2" borderId="11" applyFont="1" applyNumberFormat="0" applyFill="0" applyBorder="1" applyAlignment="0">
      <alignment horizontal="general" vertical="bottom" textRotation="0" wrapText="false" shrinkToFit="false"/>
    </xf>
    <xf xfId="0" fontId="12" numFmtId="0" fillId="2" borderId="10" applyFont="1" applyNumberFormat="0" applyFill="0" applyBorder="1" applyAlignment="0">
      <alignment horizontal="general" vertical="bottom" textRotation="0" wrapText="false" shrinkToFit="false"/>
    </xf>
    <xf xfId="0" fontId="15" numFmtId="0" fillId="2" borderId="18" applyFont="1" applyNumberFormat="0" applyFill="0" applyBorder="1" applyAlignment="0">
      <alignment horizontal="general" vertical="bottom" textRotation="0" wrapText="false" shrinkToFit="false"/>
    </xf>
    <xf xfId="0" fontId="15" numFmtId="4" fillId="2" borderId="12" applyFont="1" applyNumberFormat="1" applyFill="0" applyBorder="1" applyAlignment="0">
      <alignment horizontal="general" vertical="bottom" textRotation="0" wrapText="false" shrinkToFit="false"/>
    </xf>
    <xf xfId="0" fontId="15" numFmtId="4" fillId="2" borderId="55" applyFont="1" applyNumberFormat="1" applyFill="0" applyBorder="1" applyAlignment="0">
      <alignment horizontal="general" vertical="bottom" textRotation="0" wrapText="false" shrinkToFit="false"/>
    </xf>
    <xf xfId="0" fontId="15" numFmtId="4" fillId="2" borderId="61" applyFont="1" applyNumberFormat="1" applyFill="0" applyBorder="1" applyAlignment="0">
      <alignment horizontal="general" vertical="bottom" textRotation="0" wrapText="false" shrinkToFit="false"/>
    </xf>
    <xf xfId="0" fontId="15" numFmtId="4" fillId="2" borderId="11" applyFont="1" applyNumberFormat="1" applyFill="0" applyBorder="1" applyAlignment="0">
      <alignment horizontal="general" vertical="bottom" textRotation="0" wrapText="false" shrinkToFit="false"/>
    </xf>
    <xf xfId="0" fontId="15" numFmtId="4" fillId="2" borderId="13" applyFont="1" applyNumberFormat="1" applyFill="0" applyBorder="1" applyAlignment="0">
      <alignment horizontal="general" vertical="bottom" textRotation="0" wrapText="false" shrinkToFit="false"/>
    </xf>
    <xf xfId="0" fontId="12" numFmtId="0" fillId="2" borderId="51" applyFont="1" applyNumberFormat="0" applyFill="0" applyBorder="1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16" applyFont="1" applyNumberFormat="0" applyFill="0" applyBorder="1" applyAlignment="1">
      <alignment horizontal="center" vertical="bottom" textRotation="0" wrapText="false" shrinkToFit="false"/>
    </xf>
    <xf xfId="0" fontId="12" numFmtId="0" fillId="2" borderId="16" applyFont="1" applyNumberFormat="0" applyFill="0" applyBorder="1" applyAlignment="1">
      <alignment horizontal="center" vertical="bottom" textRotation="0" wrapText="false" shrinkToFit="false"/>
    </xf>
    <xf xfId="0" fontId="15" numFmtId="0" fillId="2" borderId="1" applyFont="1" applyNumberFormat="0" applyFill="0" applyBorder="1" applyAlignment="0">
      <alignment horizontal="general" vertical="bottom" textRotation="0" wrapText="false" shrinkToFit="false"/>
    </xf>
    <xf xfId="0" fontId="15" numFmtId="0" fillId="2" borderId="2" applyFont="1" applyNumberFormat="0" applyFill="0" applyBorder="1" applyAlignment="0">
      <alignment horizontal="general" vertical="bottom" textRotation="0" wrapText="false" shrinkToFit="false"/>
    </xf>
    <xf xfId="0" fontId="12" numFmtId="0" fillId="2" borderId="52" applyFont="1" applyNumberFormat="0" applyFill="0" applyBorder="1" applyAlignment="0">
      <alignment horizontal="general" vertical="bottom" textRotation="0" wrapText="false" shrinkToFit="false"/>
    </xf>
    <xf xfId="0" fontId="16" numFmtId="0" fillId="2" borderId="10" applyFont="1" applyNumberFormat="0" applyFill="0" applyBorder="1" applyAlignment="1">
      <alignment horizontal="center" vertical="bottom" textRotation="0" wrapText="false" shrinkToFit="false"/>
    </xf>
    <xf xfId="0" fontId="16" numFmtId="0" fillId="2" borderId="11" applyFont="1" applyNumberFormat="0" applyFill="0" applyBorder="1" applyAlignment="0">
      <alignment horizontal="general" vertical="bottom" textRotation="0" wrapText="false" shrinkToFit="false"/>
    </xf>
    <xf xfId="0" fontId="16" numFmtId="0" fillId="2" borderId="55" applyFont="1" applyNumberFormat="0" applyFill="0" applyBorder="1" applyAlignment="1">
      <alignment horizontal="center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16" numFmtId="0" fillId="2" borderId="18" applyFont="1" applyNumberFormat="0" applyFill="0" applyBorder="1" applyAlignment="1">
      <alignment horizontal="center" vertical="bottom" textRotation="0" wrapText="false" shrinkToFit="false"/>
    </xf>
    <xf xfId="0" fontId="16" numFmtId="0" fillId="2" borderId="21" applyFont="1" applyNumberFormat="0" applyFill="0" applyBorder="1" applyAlignment="1">
      <alignment horizontal="center" vertical="bottom" textRotation="0" wrapText="false" shrinkToFit="false"/>
    </xf>
    <xf xfId="0" fontId="8" numFmtId="0" fillId="2" borderId="55" applyFont="1" applyNumberFormat="0" applyFill="0" applyBorder="1" applyAlignment="0">
      <alignment horizontal="general" vertical="bottom" textRotation="0" wrapText="false" shrinkToFit="false"/>
    </xf>
    <xf xfId="0" fontId="8" numFmtId="0" fillId="2" borderId="11" applyFont="1" applyNumberFormat="0" applyFill="0" applyBorder="1" applyAlignment="1">
      <alignment horizontal="center" vertical="bottom" textRotation="0" wrapText="false" shrinkToFit="false"/>
    </xf>
    <xf xfId="0" fontId="16" numFmtId="0" fillId="2" borderId="0" applyFont="1" applyNumberFormat="0" applyFill="0" applyBorder="0" applyAlignment="1">
      <alignment horizontal="center" vertical="bottom" textRotation="0" wrapText="false" shrinkToFit="false"/>
    </xf>
    <xf xfId="0" fontId="15" numFmtId="0" fillId="2" borderId="62" applyFont="1" applyNumberFormat="0" applyFill="0" applyBorder="1" applyAlignment="1">
      <alignment horizontal="general" vertical="bottom" textRotation="0" wrapText="true" shrinkToFit="false"/>
    </xf>
    <xf xfId="0" fontId="15" numFmtId="0" fillId="2" borderId="62" applyFont="1" applyNumberFormat="0" applyFill="0" applyBorder="1" applyAlignment="1">
      <alignment horizontal="center" vertical="bottom" textRotation="0" wrapText="true" shrinkToFit="false"/>
    </xf>
    <xf xfId="0" fontId="15" numFmtId="0" fillId="2" borderId="0" applyFont="1" applyNumberFormat="0" applyFill="0" applyBorder="0" applyAlignment="1">
      <alignment horizontal="center" vertical="bottom" textRotation="0" wrapText="false" shrinkToFit="false"/>
    </xf>
    <xf xfId="0" fontId="15" numFmtId="0" fillId="2" borderId="16" applyFont="1" applyNumberFormat="0" applyFill="0" applyBorder="1" applyAlignment="0">
      <alignment horizontal="general" vertical="bottom" textRotation="0" wrapText="false" shrinkToFit="false"/>
    </xf>
    <xf xfId="0" fontId="10" numFmtId="0" fillId="2" borderId="3" applyFont="1" applyNumberFormat="0" applyFill="0" applyBorder="1" applyAlignment="1">
      <alignment horizontal="center" vertical="center" textRotation="0" wrapText="false" shrinkToFit="false"/>
    </xf>
    <xf xfId="0" fontId="16" numFmtId="0" fillId="2" borderId="63" applyFont="1" applyNumberFormat="0" applyFill="0" applyBorder="1" applyAlignment="0">
      <alignment horizontal="general" vertical="bottom" textRotation="0" wrapText="false" shrinkToFit="false"/>
    </xf>
    <xf xfId="0" fontId="16" numFmtId="0" fillId="2" borderId="64" applyFont="1" applyNumberFormat="0" applyFill="0" applyBorder="1" applyAlignment="1">
      <alignment horizontal="center" vertical="center" textRotation="0" wrapText="false" shrinkToFit="false"/>
    </xf>
    <xf xfId="0" fontId="16" numFmtId="0" fillId="2" borderId="64" applyFont="1" applyNumberFormat="0" applyFill="0" applyBorder="1" applyAlignment="1">
      <alignment horizontal="center" vertical="center" textRotation="0" wrapText="true" shrinkToFit="false"/>
    </xf>
    <xf xfId="0" fontId="16" numFmtId="0" fillId="2" borderId="14" applyFont="1" applyNumberFormat="0" applyFill="0" applyBorder="1" applyAlignment="1">
      <alignment horizontal="center" vertical="center" textRotation="0" wrapText="false" shrinkToFit="false"/>
    </xf>
    <xf xfId="0" fontId="16" numFmtId="0" fillId="2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65" applyFont="1" applyNumberFormat="0" applyFill="0" applyBorder="1" applyAlignment="1">
      <alignment horizontal="center" vertical="center" textRotation="0" wrapText="false" shrinkToFit="false"/>
    </xf>
    <xf xfId="0" fontId="16" numFmtId="0" fillId="2" borderId="62" applyFont="1" applyNumberFormat="0" applyFill="0" applyBorder="1" applyAlignment="1">
      <alignment horizontal="center" vertical="bottom" textRotation="0" wrapText="false" shrinkToFit="false"/>
    </xf>
    <xf xfId="0" fontId="16" numFmtId="0" fillId="2" borderId="14" applyFont="1" applyNumberFormat="0" applyFill="0" applyBorder="1" applyAlignment="1">
      <alignment horizontal="center" vertical="center" textRotation="0" wrapText="true" shrinkToFit="false"/>
    </xf>
    <xf xfId="0" fontId="16" numFmtId="0" fillId="2" borderId="15" applyFont="1" applyNumberFormat="0" applyFill="0" applyBorder="1" applyAlignment="1">
      <alignment horizontal="center" vertical="center" textRotation="0" wrapText="true" shrinkToFit="false"/>
    </xf>
    <xf xfId="0" fontId="16" numFmtId="0" fillId="2" borderId="0" applyFont="1" applyNumberFormat="0" applyFill="0" applyBorder="0" applyAlignment="1">
      <alignment horizontal="left" vertical="bottom" textRotation="0" wrapText="false" shrinkToFit="false"/>
    </xf>
    <xf xfId="0" fontId="16" numFmtId="0" fillId="2" borderId="11" applyFont="1" applyNumberFormat="0" applyFill="0" applyBorder="1" applyAlignment="1">
      <alignment horizontal="center" vertical="center" textRotation="0" wrapText="false" shrinkToFit="false"/>
    </xf>
    <xf xfId="0" fontId="16" numFmtId="0" fillId="2" borderId="11" applyFont="1" applyNumberFormat="0" applyFill="0" applyBorder="1" applyAlignment="1">
      <alignment horizontal="center" vertical="center" textRotation="0" wrapText="true" shrinkToFit="false"/>
    </xf>
    <xf xfId="0" fontId="16" numFmtId="0" fillId="2" borderId="12" applyFont="1" applyNumberFormat="0" applyFill="0" applyBorder="1" applyAlignment="1">
      <alignment horizontal="center" vertical="center" textRotation="0" wrapText="false" shrinkToFit="false"/>
    </xf>
    <xf xfId="0" fontId="16" numFmtId="0" fillId="2" borderId="13" applyFont="1" applyNumberFormat="0" applyFill="0" applyBorder="1" applyAlignment="1">
      <alignment horizontal="center" vertical="center" textRotation="0" wrapText="false" shrinkToFit="false"/>
    </xf>
    <xf xfId="0" fontId="16" numFmtId="0" fillId="2" borderId="66" applyFont="1" applyNumberFormat="0" applyFill="0" applyBorder="1" applyAlignment="1">
      <alignment horizontal="center" vertical="center" textRotation="0" wrapText="false" shrinkToFit="false"/>
    </xf>
    <xf xfId="0" fontId="16" numFmtId="0" fillId="2" borderId="29" applyFont="1" applyNumberFormat="0" applyFill="0" applyBorder="1" applyAlignment="1">
      <alignment horizontal="center" vertical="center" textRotation="0" wrapText="false" shrinkToFit="false"/>
    </xf>
    <xf xfId="0" fontId="16" numFmtId="0" fillId="2" borderId="25" applyFont="1" applyNumberFormat="0" applyFill="0" applyBorder="1" applyAlignment="1">
      <alignment horizontal="center" vertical="center" textRotation="0" wrapText="false" shrinkToFit="false"/>
    </xf>
    <xf xfId="0" fontId="16" numFmtId="0" fillId="2" borderId="12" applyFont="1" applyNumberFormat="0" applyFill="0" applyBorder="1" applyAlignment="1">
      <alignment horizontal="center" vertical="center" textRotation="0" wrapText="true" shrinkToFit="false"/>
    </xf>
    <xf xfId="0" fontId="16" numFmtId="0" fillId="2" borderId="13" applyFont="1" applyNumberFormat="0" applyFill="0" applyBorder="1" applyAlignment="1">
      <alignment horizontal="center" vertical="center" textRotation="0" wrapText="true" shrinkToFit="false"/>
    </xf>
    <xf xfId="0" fontId="16" numFmtId="0" fillId="2" borderId="0" applyFont="1" applyNumberFormat="0" applyFill="0" applyBorder="0" applyAlignment="0">
      <alignment horizontal="general" vertical="bottom" textRotation="0" wrapText="false" shrinkToFit="false"/>
    </xf>
    <xf xfId="0" fontId="16" numFmtId="0" fillId="2" borderId="63" applyFont="1" applyNumberFormat="0" applyFill="0" applyBorder="1" applyAlignment="1">
      <alignment horizontal="center" vertical="center" textRotation="0" wrapText="false" shrinkToFit="false"/>
    </xf>
    <xf xfId="0" fontId="16" numFmtId="0" fillId="2" borderId="63" applyFont="1" applyNumberFormat="0" applyFill="0" applyBorder="1" applyAlignment="1">
      <alignment horizontal="center" vertical="center" textRotation="0" wrapText="true" shrinkToFit="false"/>
    </xf>
    <xf xfId="0" fontId="16" numFmtId="0" fillId="2" borderId="67" applyFont="1" applyNumberFormat="0" applyFill="0" applyBorder="1" applyAlignment="1">
      <alignment horizontal="center" vertical="bottom" textRotation="0" wrapText="false" shrinkToFit="false"/>
    </xf>
    <xf xfId="0" fontId="16" numFmtId="0" fillId="2" borderId="26" applyFont="1" applyNumberFormat="0" applyFill="0" applyBorder="1" applyAlignment="1">
      <alignment horizontal="center" vertical="bottom" textRotation="0" wrapText="false" shrinkToFit="false"/>
    </xf>
    <xf xfId="0" fontId="16" numFmtId="0" fillId="2" borderId="66" applyFont="1" applyNumberFormat="0" applyFill="0" applyBorder="1" applyAlignment="1">
      <alignment horizontal="center" vertical="center" textRotation="0" wrapText="true" shrinkToFit="false"/>
    </xf>
    <xf xfId="0" fontId="16" numFmtId="0" fillId="2" borderId="25" applyFont="1" applyNumberFormat="0" applyFill="0" applyBorder="1" applyAlignment="1">
      <alignment horizontal="center" vertical="center" textRotation="0" wrapText="true" shrinkToFit="false"/>
    </xf>
    <xf xfId="0" fontId="16" numFmtId="0" fillId="2" borderId="62" applyFont="1" applyNumberFormat="0" applyFill="0" applyBorder="1" applyAlignment="1">
      <alignment horizontal="center" vertical="bottom" textRotation="0" wrapText="false" shrinkToFit="false"/>
    </xf>
    <xf xfId="0" fontId="16" numFmtId="0" fillId="2" borderId="67" applyFont="1" applyNumberFormat="0" applyFill="0" applyBorder="1" applyAlignment="1">
      <alignment horizontal="center" vertical="bottom" textRotation="0" wrapText="false" shrinkToFit="false"/>
    </xf>
    <xf xfId="0" fontId="16" numFmtId="0" fillId="2" borderId="26" applyFont="1" applyNumberFormat="0" applyFill="0" applyBorder="1" applyAlignment="1">
      <alignment horizontal="center" vertical="bottom" textRotation="0" wrapText="false" shrinkToFit="false"/>
    </xf>
    <xf xfId="0" fontId="15" numFmtId="0" fillId="2" borderId="62" applyFont="1" applyNumberFormat="0" applyFill="0" applyBorder="1" applyAlignment="1">
      <alignment horizontal="right" vertical="bottom" textRotation="0" wrapText="false" shrinkToFit="false"/>
    </xf>
    <xf xfId="0" fontId="15" numFmtId="0" fillId="2" borderId="67" applyFont="1" applyNumberFormat="0" applyFill="0" applyBorder="1" applyAlignment="0">
      <alignment horizontal="general" vertical="bottom" textRotation="0" wrapText="false" shrinkToFit="false"/>
    </xf>
    <xf xfId="0" fontId="15" numFmtId="4" fillId="2" borderId="26" applyFont="1" applyNumberFormat="1" applyFill="0" applyBorder="1" applyAlignment="0">
      <alignment horizontal="general" vertical="bottom" textRotation="0" wrapText="false" shrinkToFit="false"/>
    </xf>
    <xf xfId="0" fontId="15" numFmtId="15" fillId="2" borderId="62" applyFont="1" applyNumberFormat="1" applyFill="0" applyBorder="1" applyAlignment="0">
      <alignment horizontal="general" vertical="bottom" textRotation="0" wrapText="false" shrinkToFit="false"/>
    </xf>
    <xf xfId="0" fontId="15" numFmtId="15" fillId="2" borderId="62" applyFont="1" applyNumberFormat="1" applyFill="0" applyBorder="1" applyAlignment="1">
      <alignment horizontal="center" vertical="bottom" textRotation="0" wrapText="true" shrinkToFit="false"/>
    </xf>
    <xf xfId="0" fontId="15" numFmtId="165" fillId="2" borderId="26" applyFont="1" applyNumberFormat="1" applyFill="0" applyBorder="1" applyAlignment="1">
      <alignment horizontal="center" vertical="bottom" textRotation="0" wrapText="true" shrinkToFit="false"/>
    </xf>
    <xf xfId="0" fontId="15" numFmtId="4" fillId="2" borderId="0" applyFont="1" applyNumberFormat="1" applyFill="0" applyBorder="0" applyAlignment="0">
      <alignment horizontal="general" vertical="bottom" textRotation="0" wrapText="false" shrinkToFit="false"/>
    </xf>
    <xf xfId="0" fontId="11" numFmtId="0" fillId="2" borderId="62" applyFont="1" applyNumberFormat="0" applyFill="0" applyBorder="1" applyAlignment="0">
      <alignment horizontal="general" vertical="bottom" textRotation="0" wrapText="false" shrinkToFit="false"/>
    </xf>
    <xf xfId="0" fontId="11" numFmtId="0" fillId="2" borderId="67" applyFont="1" applyNumberFormat="0" applyFill="0" applyBorder="1" applyAlignment="0">
      <alignment horizontal="general" vertical="bottom" textRotation="0" wrapText="false" shrinkToFit="false"/>
    </xf>
    <xf xfId="0" fontId="11" numFmtId="4" fillId="2" borderId="26" applyFont="1" applyNumberFormat="1" applyFill="0" applyBorder="1" applyAlignment="0">
      <alignment horizontal="general" vertical="bottom" textRotation="0" wrapText="false" shrinkToFit="false"/>
    </xf>
    <xf xfId="0" fontId="11" numFmtId="0" fillId="2" borderId="67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60" applyFont="0" applyNumberFormat="0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51" applyFont="0" applyNumberFormat="0" applyFill="0" applyBorder="1" applyAlignment="0">
      <alignment horizontal="general" vertical="bottom" textRotation="0" wrapText="false" shrinkToFit="false"/>
    </xf>
    <xf xfId="0" fontId="0" numFmtId="0" fillId="2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52" applyFont="0" applyNumberFormat="0" applyFill="0" applyBorder="1" applyAlignment="0">
      <alignment horizontal="general" vertical="bottom" textRotation="0" wrapText="false" shrinkToFit="false"/>
    </xf>
    <xf xfId="0" fontId="0" numFmtId="0" fillId="2" borderId="21" applyFont="0" applyNumberFormat="0" applyFill="0" applyBorder="1" applyAlignment="0">
      <alignment horizontal="general" vertical="bottom" textRotation="0" wrapText="false" shrinkToFit="false"/>
    </xf>
    <xf xfId="0" fontId="0" numFmtId="0" fillId="2" borderId="22" applyFont="0" applyNumberFormat="0" applyFill="0" applyBorder="1" applyAlignment="0">
      <alignment horizontal="general" vertical="bottom" textRotation="0" wrapText="false" shrinkToFit="false"/>
    </xf>
    <xf xfId="0" fontId="10" numFmtId="0" fillId="2" borderId="1" applyFont="1" applyNumberFormat="0" applyFill="0" applyBorder="1" applyAlignment="1">
      <alignment horizontal="center" vertical="bottom" textRotation="0" wrapText="false" shrinkToFit="false"/>
    </xf>
    <xf xfId="0" fontId="10" numFmtId="0" fillId="2" borderId="2" applyFont="1" applyNumberFormat="0" applyFill="0" applyBorder="1" applyAlignment="1">
      <alignment horizontal="center" vertical="bottom" textRotation="0" wrapText="false" shrinkToFit="false"/>
    </xf>
    <xf xfId="0" fontId="10" numFmtId="0" fillId="2" borderId="53" applyFont="1" applyNumberFormat="0" applyFill="0" applyBorder="1" applyAlignment="1">
      <alignment horizontal="center" vertical="bottom" textRotation="0" wrapText="false" shrinkToFit="false"/>
    </xf>
    <xf xfId="0" fontId="8" numFmtId="49" fillId="2" borderId="17" applyFont="1" applyNumberFormat="1" applyFill="0" applyBorder="1" applyAlignment="1">
      <alignment horizontal="center" vertical="bottom" textRotation="0" wrapText="false" shrinkToFit="false"/>
    </xf>
    <xf xfId="0" fontId="8" numFmtId="49" fillId="2" borderId="18" applyFont="1" applyNumberFormat="1" applyFill="0" applyBorder="1" applyAlignment="1">
      <alignment horizontal="center" vertical="bottom" textRotation="0" wrapText="false" shrinkToFit="false"/>
    </xf>
    <xf xfId="0" fontId="8" numFmtId="49" fillId="2" borderId="54" applyFont="1" applyNumberFormat="1" applyFill="0" applyBorder="1" applyAlignment="1">
      <alignment horizontal="center" vertical="bottom" textRotation="0" wrapText="false" shrinkToFit="false"/>
    </xf>
    <xf xfId="0" fontId="10" numFmtId="0" fillId="2" borderId="51" applyFont="1" applyNumberFormat="0" applyFill="0" applyBorder="1" applyAlignment="0">
      <alignment horizontal="general" vertical="bottom" textRotation="0" wrapText="false" shrinkToFit="false"/>
    </xf>
    <xf xfId="0" fontId="10" numFmtId="0" fillId="2" borderId="13" applyFont="1" applyNumberFormat="0" applyFill="0" applyBorder="1" applyAlignment="0">
      <alignment horizontal="general" vertical="bottom" textRotation="0" wrapText="false" shrinkToFit="false"/>
    </xf>
    <xf xfId="0" fontId="0" numFmtId="4" fillId="2" borderId="16" applyFont="0" applyNumberFormat="1" applyFill="0" applyBorder="1" applyAlignment="0">
      <alignment horizontal="general" vertical="bottom" textRotation="0" wrapText="false" shrinkToFit="false"/>
    </xf>
    <xf xfId="0" fontId="17" numFmtId="4" fillId="2" borderId="0" applyFont="1" applyNumberFormat="1" applyFill="0" applyBorder="0" applyAlignment="0">
      <alignment horizontal="general" vertical="bottom" textRotation="0" wrapText="false" shrinkToFit="false"/>
    </xf>
    <xf xfId="0" fontId="10" numFmtId="0" fillId="2" borderId="60" applyFont="1" applyNumberFormat="0" applyFill="0" applyBorder="1" applyAlignment="1">
      <alignment horizontal="center" vertical="center" textRotation="0" wrapText="false" shrinkToFit="false"/>
    </xf>
    <xf xfId="0" fontId="10" numFmtId="0" fillId="2" borderId="4" applyFont="1" applyNumberFormat="0" applyFill="0" applyBorder="1" applyAlignment="1">
      <alignment horizontal="center" vertical="center" textRotation="0" wrapText="false" shrinkToFit="false"/>
    </xf>
    <xf xfId="0" fontId="10" numFmtId="4" fillId="2" borderId="9" applyFont="1" applyNumberFormat="1" applyFill="0" applyBorder="1" applyAlignment="1">
      <alignment horizontal="right" vertical="center" textRotation="0" wrapText="false" shrinkToFit="false"/>
    </xf>
    <xf xfId="0" fontId="10" numFmtId="0" fillId="2" borderId="68" applyFont="1" applyNumberFormat="0" applyFill="0" applyBorder="1" applyAlignment="1">
      <alignment horizontal="center" vertical="center" textRotation="0" wrapText="false" shrinkToFit="false"/>
    </xf>
    <xf xfId="0" fontId="10" numFmtId="0" fillId="2" borderId="41" applyFont="1" applyNumberFormat="0" applyFill="0" applyBorder="1" applyAlignment="1">
      <alignment horizontal="center" vertical="center" textRotation="0" wrapText="false" shrinkToFit="false"/>
    </xf>
    <xf xfId="0" fontId="10" numFmtId="0" fillId="2" borderId="49" applyFont="1" applyNumberFormat="0" applyFill="0" applyBorder="1" applyAlignment="1">
      <alignment horizontal="center" vertical="center" textRotation="0" wrapText="false" shrinkToFit="false"/>
    </xf>
    <xf xfId="0" fontId="10" numFmtId="4" fillId="2" borderId="42" applyFont="1" applyNumberFormat="1" applyFill="0" applyBorder="1" applyAlignment="1">
      <alignment horizontal="right" vertical="center" textRotation="0" wrapText="false" shrinkToFit="false"/>
    </xf>
    <xf xfId="0" fontId="0" numFmtId="0" fillId="2" borderId="69" applyFont="0" applyNumberFormat="0" applyFill="0" applyBorder="1" applyAlignment="0">
      <alignment horizontal="general" vertical="bottom" textRotation="0" wrapText="false" shrinkToFit="false"/>
    </xf>
    <xf xfId="0" fontId="0" numFmtId="0" fillId="2" borderId="36" applyFont="0" applyNumberFormat="0" applyFill="0" applyBorder="1" applyAlignment="0">
      <alignment horizontal="general" vertical="bottom" textRotation="0" wrapText="false" shrinkToFit="false"/>
    </xf>
    <xf xfId="0" fontId="0" numFmtId="0" fillId="2" borderId="51" applyFont="0" applyNumberFormat="0" applyFill="0" applyBorder="1" applyAlignment="1">
      <alignment horizontal="right" vertical="bottom" textRotation="0" wrapText="false" shrinkToFit="false"/>
    </xf>
    <xf xfId="0" fontId="0" numFmtId="0" fillId="2" borderId="20" applyFont="0" applyNumberFormat="0" applyFill="0" applyBorder="1" applyAlignment="0">
      <alignment horizontal="general" vertical="bottom" textRotation="0" wrapText="false" shrinkToFit="false"/>
    </xf>
    <xf xfId="0" fontId="0" numFmtId="4" fillId="2" borderId="22" applyFont="0" applyNumberFormat="1" applyFill="0" applyBorder="1" applyAlignment="0">
      <alignment horizontal="general" vertical="bottom" textRotation="0" wrapText="false" shrinkToFit="false"/>
    </xf>
    <xf xfId="0" fontId="18" numFmtId="0" fillId="2" borderId="51" applyFont="1" applyNumberFormat="0" applyFill="0" applyBorder="1" applyAlignment="1">
      <alignment horizontal="center" vertical="bottom" textRotation="0" wrapText="false" shrinkToFit="false"/>
    </xf>
    <xf xfId="0" fontId="18" numFmtId="0" fillId="2" borderId="0" applyFont="1" applyNumberFormat="0" applyFill="0" applyBorder="0" applyAlignment="1">
      <alignment horizontal="center" vertical="bottom" textRotation="0" wrapText="false" shrinkToFit="false"/>
    </xf>
    <xf xfId="0" fontId="18" numFmtId="0" fillId="2" borderId="16" applyFont="1" applyNumberFormat="0" applyFill="0" applyBorder="1" applyAlignment="1">
      <alignment horizontal="center" vertical="bottom" textRotation="0" wrapText="false" shrinkToFit="false"/>
    </xf>
    <xf xfId="0" fontId="13" numFmtId="0" fillId="2" borderId="2" applyFont="1" applyNumberFormat="0" applyFill="0" applyBorder="1" applyAlignment="1">
      <alignment horizontal="center" vertical="center" textRotation="0" wrapText="false" shrinkToFit="false"/>
    </xf>
    <xf xfId="0" fontId="13" numFmtId="0" fillId="2" borderId="17" applyFont="1" applyNumberFormat="0" applyFill="0" applyBorder="1" applyAlignment="1">
      <alignment horizontal="center" vertical="center" textRotation="0" wrapText="false" shrinkToFit="false"/>
    </xf>
    <xf xfId="0" fontId="13" numFmtId="0" fillId="2" borderId="18" applyFont="1" applyNumberFormat="0" applyFill="0" applyBorder="1" applyAlignment="1">
      <alignment horizontal="center" vertical="center" textRotation="0" wrapText="false" shrinkToFit="false"/>
    </xf>
    <xf xfId="0" fontId="13" numFmtId="0" fillId="2" borderId="1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1">
      <alignment horizontal="center" vertical="bottom" textRotation="0" wrapText="false" shrinkToFit="false"/>
    </xf>
    <xf xfId="0" fontId="8" numFmtId="0" fillId="2" borderId="53" applyFont="1" applyNumberFormat="0" applyFill="0" applyBorder="1" applyAlignment="0">
      <alignment horizontal="general" vertical="bottom" textRotation="0" wrapText="false" shrinkToFit="false"/>
    </xf>
    <xf xfId="0" fontId="13" numFmtId="0" fillId="2" borderId="10" applyFont="1" applyNumberFormat="0" applyFill="0" applyBorder="1" applyAlignment="0">
      <alignment horizontal="general" vertical="bottom" textRotation="0" wrapText="false" shrinkToFit="false"/>
    </xf>
    <xf xfId="0" fontId="13" numFmtId="0" fillId="2" borderId="10" applyFont="1" applyNumberFormat="0" applyFill="0" applyBorder="1" applyAlignment="1">
      <alignment horizontal="left" vertical="bottom" textRotation="0" wrapText="false" shrinkToFit="false"/>
    </xf>
    <xf xfId="0" fontId="12" numFmtId="0" fillId="2" borderId="17" applyFont="1" applyNumberFormat="0" applyFill="0" applyBorder="1" applyAlignment="0">
      <alignment horizontal="general" vertical="bottom" textRotation="0" wrapText="false" shrinkToFit="false"/>
    </xf>
    <xf xfId="0" fontId="12" numFmtId="0" fillId="2" borderId="18" applyFont="1" applyNumberFormat="0" applyFill="0" applyBorder="1" applyAlignment="1">
      <alignment horizontal="center" vertical="bottom" textRotation="0" wrapText="false" shrinkToFit="false"/>
    </xf>
    <xf xfId="0" fontId="13" numFmtId="0" fillId="2" borderId="17" applyFont="1" applyNumberFormat="0" applyFill="0" applyBorder="1" applyAlignment="0">
      <alignment horizontal="general" vertical="bottom" textRotation="0" wrapText="false" shrinkToFit="false"/>
    </xf>
    <xf xfId="0" fontId="12" numFmtId="0" fillId="2" borderId="18" applyFont="1" applyNumberFormat="0" applyFill="0" applyBorder="1" applyAlignment="1">
      <alignment horizontal="center" vertical="bottom" textRotation="0" wrapText="false" shrinkToFit="false"/>
    </xf>
    <xf xfId="0" fontId="13" numFmtId="4" fillId="2" borderId="31" applyFont="1" applyNumberFormat="1" applyFill="0" applyBorder="1" applyAlignment="0">
      <alignment horizontal="general" vertical="bottom" textRotation="0" wrapText="false" shrinkToFit="false"/>
    </xf>
    <xf xfId="0" fontId="13" numFmtId="4" fillId="2" borderId="32" applyFont="1" applyNumberFormat="1" applyFill="0" applyBorder="1" applyAlignment="0">
      <alignment horizontal="general" vertical="bottom" textRotation="0" wrapText="false" shrinkToFit="false"/>
    </xf>
    <xf xfId="0" fontId="11" numFmtId="0" fillId="2" borderId="8" applyFont="1" applyNumberFormat="0" applyFill="0" applyBorder="1" applyAlignment="0">
      <alignment horizontal="general" vertical="bottom" textRotation="0" wrapText="false" shrinkToFit="false"/>
    </xf>
    <xf xfId="0" fontId="11" numFmtId="4" fillId="2" borderId="8" applyFont="1" applyNumberFormat="1" applyFill="0" applyBorder="1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3" numFmtId="4" fillId="2" borderId="2" applyFont="1" applyNumberFormat="1" applyFill="0" applyBorder="1" applyAlignment="1">
      <alignment horizontal="center" vertical="center" textRotation="0" wrapText="false" shrinkToFit="false"/>
    </xf>
    <xf xfId="0" fontId="13" numFmtId="4" fillId="2" borderId="18" applyFont="1" applyNumberFormat="1" applyFill="0" applyBorder="1" applyAlignment="1">
      <alignment horizontal="center" vertical="center" textRotation="0" wrapText="false" shrinkToFit="false"/>
    </xf>
    <xf xfId="0" fontId="13" numFmtId="0" fillId="2" borderId="10" applyFont="1" applyNumberFormat="0" applyFill="0" applyBorder="1" applyAlignment="0">
      <alignment horizontal="general" vertical="bottom" textRotation="0" wrapText="false" shrinkToFit="false"/>
    </xf>
    <xf xfId="0" fontId="12" numFmtId="0" fillId="2" borderId="10" applyFont="1" applyNumberFormat="0" applyFill="0" applyBorder="1" applyAlignment="1">
      <alignment horizontal="left" vertical="bottom" textRotation="0" wrapText="false" shrinkToFit="false"/>
    </xf>
    <xf xfId="0" fontId="13" numFmtId="0" fillId="2" borderId="70" applyFont="1" applyNumberFormat="0" applyFill="0" applyBorder="1" applyAlignment="1">
      <alignment horizontal="center" vertical="bottom" textRotation="0" wrapText="false" shrinkToFit="false"/>
    </xf>
    <xf xfId="0" fontId="13" numFmtId="0" fillId="2" borderId="56" applyFont="1" applyNumberFormat="0" applyFill="0" applyBorder="1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4" fillId="2" borderId="0" applyFont="1" applyNumberFormat="1" applyFill="0" applyBorder="0" applyAlignment="0">
      <alignment horizontal="general" vertical="bottom" textRotation="0" wrapText="false" shrinkToFit="false"/>
    </xf>
    <xf xfId="0" fontId="13" numFmtId="0" fillId="2" borderId="10" applyFont="1" applyNumberFormat="0" applyFill="0" applyBorder="1" applyAlignment="1">
      <alignment horizontal="center" vertical="bottom" textRotation="0" wrapText="false" shrinkToFit="false"/>
    </xf>
    <xf xfId="0" fontId="13" numFmtId="0" fillId="2" borderId="11" applyFont="1" applyNumberFormat="0" applyFill="0" applyBorder="1" applyAlignment="1">
      <alignment horizontal="center" vertical="bottom" textRotation="0" wrapText="false" shrinkToFit="false"/>
    </xf>
    <xf xfId="0" fontId="13" numFmtId="4" fillId="2" borderId="11" applyFont="1" applyNumberFormat="1" applyFill="0" applyBorder="1" applyAlignment="1">
      <alignment horizontal="center" vertical="center" textRotation="0" wrapText="false" shrinkToFit="false"/>
    </xf>
    <xf xfId="0" fontId="12" numFmtId="4" fillId="2" borderId="11" applyFont="1" applyNumberFormat="1" applyFill="0" applyBorder="1" applyAlignment="1">
      <alignment horizontal="right" vertical="center" textRotation="0" wrapText="false" shrinkToFit="false"/>
    </xf>
    <xf xfId="0" fontId="12" numFmtId="4" fillId="2" borderId="55" applyFont="1" applyNumberFormat="1" applyFill="0" applyBorder="1" applyAlignment="1">
      <alignment horizontal="right" vertical="center" textRotation="0" wrapText="false" shrinkToFit="false"/>
    </xf>
    <xf xfId="0" fontId="13" numFmtId="0" fillId="2" borderId="10" applyFont="1" applyNumberFormat="0" applyFill="0" applyBorder="1" applyAlignment="1">
      <alignment horizontal="left" vertical="bottom" textRotation="0" wrapText="false" shrinkToFit="false"/>
    </xf>
    <xf xfId="0" fontId="13" numFmtId="4" fillId="2" borderId="56" applyFont="1" applyNumberFormat="1" applyFill="0" applyBorder="1" applyAlignment="1">
      <alignment horizontal="right" vertical="center" textRotation="0" wrapText="false" shrinkToFit="false"/>
    </xf>
    <xf xfId="0" fontId="13" numFmtId="4" fillId="2" borderId="57" applyFont="1" applyNumberFormat="1" applyFill="0" applyBorder="1" applyAlignment="1">
      <alignment horizontal="right" vertical="center" textRotation="0" wrapText="false" shrinkToFit="false"/>
    </xf>
    <xf xfId="0" fontId="12" numFmtId="165" fillId="2" borderId="11" applyFont="1" applyNumberFormat="1" applyFill="0" applyBorder="1" applyAlignment="0">
      <alignment horizontal="general" vertical="bottom" textRotation="0" wrapText="false" shrinkToFit="false"/>
    </xf>
    <xf xfId="0" fontId="12" numFmtId="165" fillId="2" borderId="55" applyFont="1" applyNumberFormat="1" applyFill="0" applyBorder="1" applyAlignment="0">
      <alignment horizontal="general" vertical="bottom" textRotation="0" wrapText="false" shrinkToFit="false"/>
    </xf>
    <xf xfId="0" fontId="12" numFmtId="0" fillId="2" borderId="10" applyFont="1" applyNumberFormat="0" applyFill="0" applyBorder="1" applyAlignment="1">
      <alignment horizontal="left" vertical="center" textRotation="0" wrapText="false" shrinkToFit="false"/>
    </xf>
    <xf xfId="0" fontId="12" numFmtId="14" fillId="2" borderId="11" applyFont="1" applyNumberFormat="1" applyFill="0" applyBorder="1" applyAlignment="1">
      <alignment horizontal="center" vertical="bottom" textRotation="0" wrapText="false" shrinkToFit="false"/>
    </xf>
    <xf xfId="0" fontId="12" numFmtId="165" fillId="2" borderId="11" applyFont="1" applyNumberFormat="1" applyFill="0" applyBorder="1" applyAlignment="1">
      <alignment horizontal="center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3" numFmtId="0" fillId="2" borderId="71" applyFont="1" applyNumberFormat="0" applyFill="0" applyBorder="1" applyAlignment="1">
      <alignment horizontal="center" vertical="center" textRotation="0" wrapText="false" shrinkToFit="false"/>
    </xf>
    <xf xfId="0" fontId="13" numFmtId="0" fillId="2" borderId="72" applyFont="1" applyNumberFormat="0" applyFill="0" applyBorder="1" applyAlignment="1">
      <alignment horizontal="center" vertical="bottom" textRotation="0" wrapText="false" shrinkToFit="false"/>
    </xf>
    <xf xfId="0" fontId="13" numFmtId="4" fillId="2" borderId="72" applyFont="1" applyNumberFormat="1" applyFill="0" applyBorder="1" applyAlignment="1">
      <alignment horizontal="center" vertical="center" textRotation="0" wrapText="false" shrinkToFit="false"/>
    </xf>
    <xf xfId="0" fontId="13" numFmtId="0" fillId="2" borderId="73" applyFont="1" applyNumberFormat="0" applyFill="0" applyBorder="1" applyAlignment="1">
      <alignment horizontal="center" vertical="center" textRotation="0" wrapText="false" shrinkToFit="false"/>
    </xf>
    <xf xfId="0" fontId="12" numFmtId="4" fillId="2" borderId="55" applyFont="1" applyNumberFormat="1" applyFill="0" applyBorder="1" applyAlignment="0">
      <alignment horizontal="general" vertical="bottom" textRotation="0" wrapText="false" shrinkToFit="false"/>
    </xf>
    <xf xfId="0" fontId="13" numFmtId="0" fillId="2" borderId="17" applyFont="1" applyNumberFormat="0" applyFill="0" applyBorder="1" applyAlignment="1">
      <alignment horizontal="center" vertical="bottom" textRotation="0" wrapText="false" shrinkToFit="false"/>
    </xf>
    <xf xfId="0" fontId="13" numFmtId="0" fillId="2" borderId="12" applyFont="1" applyNumberFormat="0" applyFill="0" applyBorder="1" applyAlignment="1">
      <alignment horizontal="center" vertical="bottom" textRotation="0" wrapText="false" shrinkToFit="false"/>
    </xf>
    <xf xfId="0" fontId="13" numFmtId="0" fillId="2" borderId="52" applyFont="1" applyNumberFormat="0" applyFill="0" applyBorder="1" applyAlignment="1">
      <alignment horizontal="center" vertical="bottom" textRotation="0" wrapText="false" shrinkToFit="false"/>
    </xf>
    <xf xfId="0" fontId="13" numFmtId="0" fillId="2" borderId="38" applyFont="1" applyNumberFormat="0" applyFill="0" applyBorder="1" applyAlignment="0">
      <alignment horizontal="general" vertical="bottom" textRotation="0" wrapText="false" shrinkToFit="false"/>
    </xf>
    <xf xfId="0" fontId="12" numFmtId="0" fillId="2" borderId="49" applyFont="1" applyNumberFormat="0" applyFill="0" applyBorder="1" applyAlignment="1">
      <alignment horizontal="center" vertical="bottom" textRotation="0" wrapText="false" shrinkToFit="false"/>
    </xf>
    <xf xfId="0" fontId="13" numFmtId="0" fillId="2" borderId="51" applyFont="1" applyNumberFormat="0" applyFill="0" applyBorder="1" applyAlignment="0">
      <alignment horizontal="general" vertical="bottom" textRotation="0" wrapText="false" shrinkToFit="false"/>
    </xf>
    <xf xfId="0" fontId="13" numFmtId="4" fillId="2" borderId="16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2" numFmtId="0" fillId="2" borderId="2" applyFont="1" applyNumberFormat="0" applyFill="0" applyBorder="1" applyAlignment="1">
      <alignment horizontal="center" vertical="bottom" textRotation="0" wrapText="false" shrinkToFit="false"/>
    </xf>
    <xf xfId="0" fontId="13" numFmtId="0" fillId="2" borderId="8" applyFont="1" applyNumberFormat="0" applyFill="0" applyBorder="1" applyAlignment="0">
      <alignment horizontal="general" vertical="bottom" textRotation="0" wrapText="false" shrinkToFit="false"/>
    </xf>
    <xf xfId="0" fontId="12" numFmtId="4" fillId="2" borderId="8" applyFont="1" applyNumberFormat="1" applyFill="0" applyBorder="1" applyAlignment="0">
      <alignment horizontal="general" vertical="bottom" textRotation="0" wrapText="false" shrinkToFit="false"/>
    </xf>
    <xf xfId="0" fontId="13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4" fillId="2" borderId="18" applyFont="1" applyNumberFormat="1" applyFill="0" applyBorder="1" applyAlignment="0">
      <alignment horizontal="general" vertical="bottom" textRotation="0" wrapText="false" shrinkToFit="false"/>
    </xf>
    <xf xfId="0" fontId="12" numFmtId="4" fillId="2" borderId="54" applyFont="1" applyNumberFormat="1" applyFill="0" applyBorder="1" applyAlignment="0">
      <alignment horizontal="general" vertical="bottom" textRotation="0" wrapText="false" shrinkToFit="false"/>
    </xf>
    <xf xfId="0" fontId="12" numFmtId="0" fillId="2" borderId="39" applyFont="1" applyNumberFormat="0" applyFill="0" applyBorder="1" applyAlignment="1">
      <alignment horizontal="center" vertical="bottom" textRotation="0" wrapText="false" shrinkToFit="false"/>
    </xf>
    <xf xfId="0" fontId="13" numFmtId="4" fillId="2" borderId="39" applyFont="1" applyNumberFormat="1" applyFill="0" applyBorder="1" applyAlignment="0">
      <alignment horizontal="general" vertical="bottom" textRotation="0" wrapText="false" shrinkToFit="false"/>
    </xf>
    <xf xfId="0" fontId="13" numFmtId="4" fillId="2" borderId="74" applyFont="1" applyNumberFormat="1" applyFill="0" applyBorder="1" applyAlignment="0">
      <alignment horizontal="general" vertical="bottom" textRotation="0" wrapText="false" shrinkToFit="false"/>
    </xf>
    <xf xfId="0" fontId="0" numFmtId="0" fillId="2" borderId="21" applyFont="0" applyNumberFormat="0" applyFill="0" applyBorder="1" applyAlignment="1">
      <alignment horizontal="center" vertical="bottom" textRotation="0" wrapText="false" shrinkToFit="false"/>
    </xf>
    <xf xfId="0" fontId="10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0" fillId="2" borderId="2" applyFont="1" applyNumberFormat="0" applyFill="0" applyBorder="1" applyAlignment="1">
      <alignment horizontal="center" vertical="bottom" textRotation="0" wrapText="false" shrinkToFit="false"/>
    </xf>
    <xf xfId="0" fontId="9" numFmtId="0" fillId="2" borderId="53" applyFont="1" applyNumberFormat="0" applyFill="0" applyBorder="1" applyAlignment="1">
      <alignment horizontal="center" vertical="bottom" textRotation="0" wrapText="false" shrinkToFit="false"/>
    </xf>
    <xf xfId="0" fontId="10" numFmtId="0" fillId="2" borderId="17" applyFont="1" applyNumberFormat="0" applyFill="0" applyBorder="1" applyAlignment="1">
      <alignment horizontal="center" vertical="center" textRotation="0" wrapText="false" shrinkToFit="false"/>
    </xf>
    <xf xfId="0" fontId="9" numFmtId="0" fillId="2" borderId="18" applyFont="1" applyNumberFormat="0" applyFill="0" applyBorder="1" applyAlignment="1">
      <alignment horizontal="center" vertical="bottom" textRotation="0" wrapText="false" shrinkToFit="false"/>
    </xf>
    <xf xfId="0" fontId="9" numFmtId="0" fillId="2" borderId="54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19" numFmtId="0" fillId="2" borderId="0" applyFont="1" applyNumberFormat="0" applyFill="0" applyBorder="0" applyAlignment="0">
      <alignment horizontal="general" vertical="bottom" textRotation="0" wrapText="false" shrinkToFit="false"/>
    </xf>
    <xf xfId="0" fontId="19" numFmtId="4" fillId="2" borderId="25" applyFont="1" applyNumberFormat="1" applyFill="0" applyBorder="1" applyAlignment="0">
      <alignment horizontal="general" vertical="bottom" textRotation="0" wrapText="false" shrinkToFit="false"/>
    </xf>
    <xf xfId="0" fontId="19" numFmtId="4" fillId="2" borderId="25" applyFont="1" applyNumberFormat="1" applyFill="0" applyBorder="1" applyAlignment="0">
      <alignment horizontal="general" vertical="bottom" textRotation="0" wrapText="false" shrinkToFit="false"/>
    </xf>
    <xf xfId="0" fontId="19" numFmtId="4" fillId="2" borderId="30" applyFont="1" applyNumberFormat="1" applyFill="0" applyBorder="1" applyAlignment="0">
      <alignment horizontal="general" vertical="bottom" textRotation="0" wrapText="false" shrinkToFit="false"/>
    </xf>
    <xf xfId="0" fontId="19" numFmtId="4" fillId="2" borderId="23" applyFont="1" applyNumberFormat="1" applyFill="0" applyBorder="1" applyAlignment="0">
      <alignment horizontal="general" vertical="bottom" textRotation="0" wrapText="false" shrinkToFit="false"/>
    </xf>
    <xf xfId="0" fontId="19" numFmtId="4" fillId="2" borderId="23" applyFont="1" applyNumberFormat="1" applyFill="0" applyBorder="1" applyAlignment="0">
      <alignment horizontal="general" vertical="bottom" textRotation="0" wrapText="false" shrinkToFit="false"/>
    </xf>
    <xf xfId="0" fontId="19" numFmtId="4" fillId="2" borderId="24" applyFont="1" applyNumberFormat="1" applyFill="0" applyBorder="1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9" numFmtId="4" fillId="2" borderId="20" applyFont="1" applyNumberFormat="1" applyFill="0" applyBorder="1" applyAlignment="0">
      <alignment horizontal="general" vertical="bottom" textRotation="0" wrapText="false" shrinkToFit="false"/>
    </xf>
    <xf xfId="0" fontId="9" numFmtId="4" fillId="2" borderId="20" applyFont="1" applyNumberFormat="1" applyFill="0" applyBorder="1" applyAlignment="0">
      <alignment horizontal="general" vertical="bottom" textRotation="0" wrapText="false" shrinkToFit="false"/>
    </xf>
    <xf xfId="0" fontId="9" numFmtId="4" fillId="2" borderId="22" applyFont="1" applyNumberFormat="1" applyFill="0" applyBorder="1" applyAlignment="0">
      <alignment horizontal="general" vertical="bottom" textRotation="0" wrapText="false" shrinkToFit="false"/>
    </xf>
    <xf xfId="0" fontId="10" numFmtId="0" fillId="2" borderId="10" applyFont="1" applyNumberFormat="0" applyFill="0" applyBorder="1" applyAlignment="0">
      <alignment horizontal="general" vertical="bottom" textRotation="0" wrapText="false" shrinkToFit="false"/>
    </xf>
    <xf xfId="0" fontId="19" numFmtId="4" fillId="2" borderId="13" applyFont="1" applyNumberFormat="1" applyFill="0" applyBorder="1" applyAlignment="0">
      <alignment horizontal="general" vertical="bottom" textRotation="0" wrapText="false" shrinkToFit="false"/>
    </xf>
    <xf xfId="0" fontId="19" numFmtId="4" fillId="2" borderId="13" applyFont="1" applyNumberFormat="1" applyFill="0" applyBorder="1" applyAlignment="0">
      <alignment horizontal="general" vertical="bottom" textRotation="0" wrapText="false" shrinkToFit="false"/>
    </xf>
    <xf xfId="0" fontId="19" numFmtId="4" fillId="2" borderId="16" applyFont="1" applyNumberFormat="1" applyFill="0" applyBorder="1" applyAlignment="0">
      <alignment horizontal="general" vertical="bottom" textRotation="0" wrapText="false" shrinkToFit="false"/>
    </xf>
    <xf xfId="0" fontId="19" numFmtId="4" fillId="2" borderId="20" applyFont="1" applyNumberFormat="1" applyFill="0" applyBorder="1" applyAlignment="0">
      <alignment horizontal="general" vertical="bottom" textRotation="0" wrapText="false" shrinkToFit="false"/>
    </xf>
    <xf xfId="0" fontId="19" numFmtId="4" fillId="2" borderId="20" applyFont="1" applyNumberFormat="1" applyFill="0" applyBorder="1" applyAlignment="0">
      <alignment horizontal="general" vertical="bottom" textRotation="0" wrapText="false" shrinkToFit="false"/>
    </xf>
    <xf xfId="0" fontId="19" numFmtId="4" fillId="2" borderId="26" applyFont="1" applyNumberFormat="1" applyFill="0" applyBorder="1" applyAlignment="0">
      <alignment horizontal="general" vertical="bottom" textRotation="0" wrapText="false" shrinkToFit="false"/>
    </xf>
    <xf xfId="0" fontId="19" numFmtId="4" fillId="2" borderId="26" applyFont="1" applyNumberFormat="1" applyFill="0" applyBorder="1" applyAlignment="0">
      <alignment horizontal="general" vertical="bottom" textRotation="0" wrapText="false" shrinkToFit="false"/>
    </xf>
    <xf xfId="0" fontId="19" numFmtId="4" fillId="2" borderId="28" applyFont="1" applyNumberFormat="1" applyFill="0" applyBorder="1" applyAlignment="0">
      <alignment horizontal="general" vertical="bottom" textRotation="0" wrapText="false" shrinkToFit="false"/>
    </xf>
    <xf xfId="0" fontId="9" numFmtId="4" fillId="2" borderId="32" applyFont="1" applyNumberFormat="1" applyFill="0" applyBorder="1" applyAlignment="0">
      <alignment horizontal="general" vertical="bottom" textRotation="0" wrapText="false" shrinkToFit="false"/>
    </xf>
    <xf xfId="0" fontId="9" numFmtId="4" fillId="2" borderId="13" applyFont="1" applyNumberFormat="1" applyFill="0" applyBorder="1" applyAlignment="0">
      <alignment horizontal="general" vertical="bottom" textRotation="0" wrapText="false" shrinkToFit="false"/>
    </xf>
    <xf xfId="0" fontId="9" numFmtId="4" fillId="2" borderId="13" applyFont="1" applyNumberFormat="1" applyFill="0" applyBorder="1" applyAlignment="0">
      <alignment horizontal="general" vertical="bottom" textRotation="0" wrapText="false" shrinkToFit="false"/>
    </xf>
    <xf xfId="0" fontId="9" numFmtId="4" fillId="2" borderId="16" applyFont="1" applyNumberFormat="1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1">
      <alignment horizontal="left" vertical="bottom" textRotation="0" wrapText="false" shrinkToFit="false"/>
    </xf>
    <xf xfId="0" fontId="19" numFmtId="4" fillId="2" borderId="7" applyFont="1" applyNumberFormat="1" applyFill="0" applyBorder="1" applyAlignment="0">
      <alignment horizontal="general" vertical="bottom" textRotation="0" wrapText="false" shrinkToFit="false"/>
    </xf>
    <xf xfId="0" fontId="19" numFmtId="4" fillId="2" borderId="7" applyFont="1" applyNumberFormat="1" applyFill="0" applyBorder="1" applyAlignment="0">
      <alignment horizontal="general" vertical="bottom" textRotation="0" wrapText="false" shrinkToFit="false"/>
    </xf>
    <xf xfId="0" fontId="19" numFmtId="4" fillId="2" borderId="75" applyFont="1" applyNumberFormat="1" applyFill="0" applyBorder="1" applyAlignment="0">
      <alignment horizontal="general" vertical="bottom" textRotation="0" wrapText="false" shrinkToFit="false"/>
    </xf>
    <xf xfId="0" fontId="9" numFmtId="4" fillId="2" borderId="4" applyFont="1" applyNumberFormat="1" applyFill="0" applyBorder="1" applyAlignment="0">
      <alignment horizontal="general" vertical="bottom" textRotation="0" wrapText="false" shrinkToFit="false"/>
    </xf>
    <xf xfId="0" fontId="9" numFmtId="4" fillId="2" borderId="4" applyFont="1" applyNumberFormat="1" applyFill="0" applyBorder="1" applyAlignment="0">
      <alignment horizontal="general" vertical="bottom" textRotation="0" wrapText="false" shrinkToFit="false"/>
    </xf>
    <xf xfId="0" fontId="9" numFmtId="4" fillId="2" borderId="9" applyFont="1" applyNumberFormat="1" applyFill="0" applyBorder="1" applyAlignment="0">
      <alignment horizontal="general" vertical="bottom" textRotation="0" wrapText="false" shrinkToFit="false"/>
    </xf>
    <xf xfId="0" fontId="9" numFmtId="4" fillId="2" borderId="31" applyFont="1" applyNumberFormat="1" applyFill="0" applyBorder="1" applyAlignment="0">
      <alignment horizontal="general" vertical="bottom" textRotation="0" wrapText="false" shrinkToFit="false"/>
    </xf>
    <xf xfId="0" fontId="9" numFmtId="4" fillId="2" borderId="31" applyFont="1" applyNumberFormat="1" applyFill="0" applyBorder="1" applyAlignment="0">
      <alignment horizontal="general" vertical="bottom" textRotation="0" wrapText="false" shrinkToFit="false"/>
    </xf>
    <xf xfId="0" fontId="9" numFmtId="0" fillId="2" borderId="40" applyFont="1" applyNumberFormat="0" applyFill="0" applyBorder="1" applyAlignment="0">
      <alignment horizontal="general" vertical="bottom" textRotation="0" wrapText="false" shrinkToFit="false"/>
    </xf>
    <xf xfId="0" fontId="9" numFmtId="4" fillId="2" borderId="33" applyFont="1" applyNumberFormat="1" applyFill="0" applyBorder="1" applyAlignment="0">
      <alignment horizontal="general" vertical="bottom" textRotation="0" wrapText="false" shrinkToFit="false"/>
    </xf>
    <xf xfId="0" fontId="9" numFmtId="4" fillId="2" borderId="33" applyFont="1" applyNumberFormat="1" applyFill="0" applyBorder="1" applyAlignment="0">
      <alignment horizontal="general" vertical="bottom" textRotation="0" wrapText="false" shrinkToFit="false"/>
    </xf>
    <xf xfId="0" fontId="9" numFmtId="4" fillId="2" borderId="34" applyFont="1" applyNumberFormat="1" applyFill="0" applyBorder="1" applyAlignment="0">
      <alignment horizontal="general" vertical="bottom" textRotation="0" wrapText="false" shrinkToFit="false"/>
    </xf>
    <xf xfId="0" fontId="10" numFmtId="4" fillId="2" borderId="0" applyFont="1" applyNumberFormat="1" applyFill="0" applyBorder="0" applyAlignment="0">
      <alignment horizontal="general" vertical="bottom" textRotation="0" wrapText="false" shrinkToFit="false"/>
    </xf>
    <xf xfId="0" fontId="10" numFmtId="4" fillId="2" borderId="0" applyFont="1" applyNumberFormat="1" applyFill="0" applyBorder="0" applyAlignment="0">
      <alignment horizontal="general" vertical="bottom" textRotation="0" wrapText="false" shrinkToFit="false"/>
    </xf>
    <xf xfId="0" fontId="19" numFmtId="0" fillId="2" borderId="4" applyFont="1" applyNumberFormat="0" applyFill="0" applyBorder="1" applyAlignment="0">
      <alignment horizontal="general" vertical="bottom" textRotation="0" wrapText="false" shrinkToFit="false"/>
    </xf>
    <xf xfId="0" fontId="19" numFmtId="0" fillId="2" borderId="4" applyFont="1" applyNumberFormat="0" applyFill="0" applyBorder="1" applyAlignment="0">
      <alignment horizontal="general" vertical="bottom" textRotation="0" wrapText="false" shrinkToFit="false"/>
    </xf>
    <xf xfId="0" fontId="19" numFmtId="0" fillId="2" borderId="9" applyFont="1" applyNumberFormat="0" applyFill="0" applyBorder="1" applyAlignment="0">
      <alignment horizontal="general" vertical="bottom" textRotation="0" wrapText="false" shrinkToFit="false"/>
    </xf>
    <xf xfId="0" fontId="9" numFmtId="4" fillId="2" borderId="23" applyFont="1" applyNumberFormat="1" applyFill="0" applyBorder="1" applyAlignment="0">
      <alignment horizontal="general" vertical="bottom" textRotation="0" wrapText="false" shrinkToFit="false"/>
    </xf>
    <xf xfId="0" fontId="9" numFmtId="4" fillId="2" borderId="23" applyFont="1" applyNumberFormat="1" applyFill="0" applyBorder="1" applyAlignment="0">
      <alignment horizontal="general" vertical="bottom" textRotation="0" wrapText="false" shrinkToFit="false"/>
    </xf>
    <xf xfId="0" fontId="9" numFmtId="4" fillId="2" borderId="24" applyFont="1" applyNumberFormat="1" applyFill="0" applyBorder="1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64" applyFont="1" applyNumberFormat="0" applyFill="0" applyBorder="1" applyAlignment="1">
      <alignment horizontal="center" vertical="center" textRotation="0" wrapText="false" shrinkToFit="false"/>
    </xf>
    <xf xfId="0" fontId="10" numFmtId="0" fillId="2" borderId="64" applyFont="1" applyNumberFormat="0" applyFill="0" applyBorder="1" applyAlignment="1">
      <alignment horizontal="center" vertical="bottom" textRotation="0" wrapText="false" shrinkToFit="false"/>
    </xf>
    <xf xfId="0" fontId="10" numFmtId="0" fillId="2" borderId="18" applyFont="1" applyNumberFormat="0" applyFill="0" applyBorder="1" applyAlignment="1">
      <alignment horizontal="center" vertical="center" textRotation="0" wrapText="false" shrinkToFit="false"/>
    </xf>
    <xf xfId="0" fontId="10" numFmtId="0" fillId="2" borderId="18" applyFont="1" applyNumberFormat="0" applyFill="0" applyBorder="1" applyAlignment="1">
      <alignment horizontal="center" vertical="bottom" textRotation="0" wrapText="false" shrinkToFit="false"/>
    </xf>
    <xf xfId="0" fontId="0" numFmtId="4" fillId="2" borderId="25" applyFont="0" applyNumberFormat="1" applyFill="0" applyBorder="1" applyAlignment="0">
      <alignment horizontal="general" vertical="bottom" textRotation="0" wrapText="false" shrinkToFit="false"/>
    </xf>
    <xf xfId="0" fontId="0" numFmtId="4" fillId="2" borderId="25" applyFont="0" applyNumberFormat="1" applyFill="0" applyBorder="1" applyAlignment="0">
      <alignment horizontal="general" vertical="bottom" textRotation="0" wrapText="false" shrinkToFit="false"/>
    </xf>
    <xf xfId="0" fontId="0" numFmtId="4" fillId="2" borderId="13" applyFont="0" applyNumberFormat="1" applyFill="0" applyBorder="1" applyAlignment="0">
      <alignment horizontal="general" vertical="bottom" textRotation="0" wrapText="false" shrinkToFit="false"/>
    </xf>
    <xf xfId="0" fontId="0" numFmtId="4" fillId="2" borderId="13" applyFont="0" applyNumberFormat="1" applyFill="0" applyBorder="1" applyAlignment="0">
      <alignment horizontal="general" vertical="bottom" textRotation="0" wrapText="false" shrinkToFit="false"/>
    </xf>
    <xf xfId="0" fontId="10" numFmtId="4" fillId="2" borderId="45" applyFont="1" applyNumberFormat="1" applyFill="0" applyBorder="1" applyAlignment="0">
      <alignment horizontal="general" vertical="bottom" textRotation="0" wrapText="false" shrinkToFit="false"/>
    </xf>
    <xf xfId="0" fontId="10" numFmtId="4" fillId="2" borderId="45" applyFont="1" applyNumberFormat="1" applyFill="0" applyBorder="1" applyAlignment="0">
      <alignment horizontal="general" vertical="bottom" textRotation="0" wrapText="false" shrinkToFit="false"/>
    </xf>
    <xf xfId="0" fontId="10" numFmtId="4" fillId="2" borderId="13" applyFont="1" applyNumberFormat="1" applyFill="0" applyBorder="1" applyAlignment="0">
      <alignment horizontal="general" vertical="bottom" textRotation="0" wrapText="false" shrinkToFit="false"/>
    </xf>
    <xf xfId="0" fontId="10" numFmtId="4" fillId="2" borderId="13" applyFont="1" applyNumberFormat="1" applyFill="0" applyBorder="1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4" fillId="2" borderId="26" applyFont="0" applyNumberFormat="1" applyFill="0" applyBorder="1" applyAlignment="0">
      <alignment horizontal="general" vertical="bottom" textRotation="0" wrapText="false" shrinkToFit="false"/>
    </xf>
    <xf xfId="0" fontId="0" numFmtId="4" fillId="2" borderId="26" applyFont="0" applyNumberFormat="1" applyFill="0" applyBorder="1" applyAlignment="0">
      <alignment horizontal="general" vertical="bottom" textRotation="0" wrapText="false" shrinkToFit="false"/>
    </xf>
    <xf xfId="0" fontId="10" numFmtId="4" fillId="2" borderId="23" applyFont="1" applyNumberFormat="1" applyFill="0" applyBorder="1" applyAlignment="0">
      <alignment horizontal="general" vertical="bottom" textRotation="0" wrapText="false" shrinkToFit="false"/>
    </xf>
    <xf xfId="0" fontId="10" numFmtId="4" fillId="2" borderId="23" applyFont="1" applyNumberFormat="1" applyFill="0" applyBorder="1" applyAlignment="0">
      <alignment horizontal="general" vertical="bottom" textRotation="0" wrapText="false" shrinkToFit="false"/>
    </xf>
    <xf xfId="0" fontId="10" numFmtId="0" fillId="2" borderId="63" applyFont="1" applyNumberFormat="0" applyFill="0" applyBorder="1" applyAlignment="1">
      <alignment horizontal="center" vertical="bottom" textRotation="0" wrapText="false" shrinkToFit="false"/>
    </xf>
    <xf xfId="0" fontId="10" numFmtId="0" fillId="2" borderId="29" applyFont="1" applyNumberFormat="0" applyFill="0" applyBorder="1" applyAlignment="0">
      <alignment horizontal="general" vertical="bottom" textRotation="0" wrapText="false" shrinkToFit="false"/>
    </xf>
    <xf xfId="0" fontId="10" numFmtId="4" fillId="2" borderId="25" applyFont="1" applyNumberFormat="1" applyFill="0" applyBorder="1" applyAlignment="0">
      <alignment horizontal="general" vertical="bottom" textRotation="0" wrapText="false" shrinkToFit="false"/>
    </xf>
    <xf xfId="0" fontId="10" numFmtId="4" fillId="2" borderId="25" applyFont="1" applyNumberFormat="1" applyFill="0" applyBorder="1" applyAlignment="0">
      <alignment horizontal="general" vertical="bottom" textRotation="0" wrapText="false" shrinkToFit="false"/>
    </xf>
    <xf xfId="0" fontId="10" numFmtId="0" fillId="2" borderId="65" applyFont="1" applyNumberFormat="0" applyFill="0" applyBorder="1" applyAlignment="1">
      <alignment horizontal="center" vertical="bottom" textRotation="0" wrapText="false" shrinkToFit="false"/>
    </xf>
    <xf xfId="0" fontId="10" numFmtId="4" fillId="2" borderId="65" applyFont="1" applyNumberFormat="1" applyFill="0" applyBorder="1" applyAlignment="0">
      <alignment horizontal="general" vertical="bottom" textRotation="0" wrapText="false" shrinkToFit="false"/>
    </xf>
    <xf xfId="0" fontId="10" numFmtId="4" fillId="2" borderId="65" applyFont="1" applyNumberFormat="1" applyFill="0" applyBorder="1" applyAlignment="0">
      <alignment horizontal="general" vertical="bottom" textRotation="0" wrapText="false" shrinkToFit="false"/>
    </xf>
    <xf xfId="0" fontId="0" numFmtId="4" fillId="2" borderId="30" applyFont="0" applyNumberFormat="1" applyFill="0" applyBorder="1" applyAlignment="0">
      <alignment horizontal="general" vertical="bottom" textRotation="0" wrapText="false" shrinkToFit="false"/>
    </xf>
    <xf xfId="0" fontId="10" numFmtId="4" fillId="2" borderId="24" applyFont="1" applyNumberFormat="1" applyFill="0" applyBorder="1" applyAlignment="0">
      <alignment horizontal="general" vertical="bottom" textRotation="0" wrapText="false" shrinkToFit="false"/>
    </xf>
    <xf xfId="0" fontId="0" numFmtId="2" fillId="2" borderId="16" applyFont="0" applyNumberFormat="1" applyFill="0" applyBorder="1" applyAlignment="0">
      <alignment horizontal="general" vertical="bottom" textRotation="0" wrapText="false" shrinkToFit="false"/>
    </xf>
    <xf xfId="0" fontId="10" numFmtId="0" fillId="2" borderId="17" applyFont="1" applyNumberFormat="0" applyFill="0" applyBorder="1" applyAlignment="1">
      <alignment horizontal="center" vertical="bottom" textRotation="0" wrapText="false" shrinkToFit="false"/>
    </xf>
    <xf xfId="0" fontId="10" numFmtId="0" fillId="2" borderId="21" applyFont="1" applyNumberFormat="0" applyFill="0" applyBorder="1" applyAlignment="0">
      <alignment horizontal="general" vertical="bottom" textRotation="0" wrapText="false" shrinkToFit="false"/>
    </xf>
    <xf xfId="0" fontId="10" numFmtId="4" fillId="2" borderId="20" applyFont="1" applyNumberFormat="1" applyFill="0" applyBorder="1" applyAlignment="0">
      <alignment horizontal="general" vertical="bottom" textRotation="0" wrapText="false" shrinkToFit="false"/>
    </xf>
    <xf xfId="0" fontId="10" numFmtId="4" fillId="2" borderId="20" applyFont="1" applyNumberFormat="1" applyFill="0" applyBorder="1" applyAlignment="0">
      <alignment horizontal="general" vertical="bottom" textRotation="0" wrapText="false" shrinkToFit="false"/>
    </xf>
    <xf xfId="0" fontId="0" numFmtId="4" fillId="2" borderId="4" applyFont="0" applyNumberFormat="1" applyFill="0" applyBorder="1" applyAlignment="0">
      <alignment horizontal="general" vertical="bottom" textRotation="0" wrapText="false" shrinkToFit="false"/>
    </xf>
    <xf xfId="0" fontId="0" numFmtId="2" fillId="2" borderId="9" applyFont="0" applyNumberFormat="1" applyFill="0" applyBorder="1" applyAlignment="0">
      <alignment horizontal="general" vertical="bottom" textRotation="0" wrapText="false" shrinkToFit="false"/>
    </xf>
    <xf xfId="0" fontId="0" numFmtId="4" fillId="2" borderId="28" applyFont="0" applyNumberFormat="1" applyFill="0" applyBorder="1" applyAlignment="0">
      <alignment horizontal="general" vertical="bottom" textRotation="0" wrapText="false" shrinkToFit="false"/>
    </xf>
    <xf xfId="0" fontId="0" numFmtId="2" fillId="2" borderId="28" applyFont="0" applyNumberFormat="1" applyFill="0" applyBorder="1" applyAlignment="0">
      <alignment horizontal="general" vertical="bottom" textRotation="0" wrapText="false" shrinkToFit="false"/>
    </xf>
    <xf xfId="0" fontId="10" numFmtId="4" fillId="2" borderId="31" applyFont="1" applyNumberFormat="1" applyFill="0" applyBorder="1" applyAlignment="0">
      <alignment horizontal="general" vertical="bottom" textRotation="0" wrapText="false" shrinkToFit="false"/>
    </xf>
    <xf xfId="0" fontId="10" numFmtId="4" fillId="2" borderId="31" applyFont="1" applyNumberFormat="1" applyFill="0" applyBorder="1" applyAlignment="0">
      <alignment horizontal="general" vertical="bottom" textRotation="0" wrapText="false" shrinkToFit="false"/>
    </xf>
    <xf xfId="0" fontId="10" numFmtId="4" fillId="2" borderId="32" applyFont="1" applyNumberFormat="1" applyFill="0" applyBorder="1" applyAlignment="0">
      <alignment horizontal="general" vertical="bottom" textRotation="0" wrapText="false" shrinkToFit="false"/>
    </xf>
    <xf xfId="0" fontId="0" numFmtId="4" fillId="2" borderId="28" applyFont="0" applyNumberFormat="1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0" numFmtId="165" fillId="2" borderId="28" applyFont="0" applyNumberFormat="1" applyFill="0" applyBorder="1" applyAlignment="0">
      <alignment horizontal="general" vertical="bottom" textRotation="0" wrapText="false" shrinkToFit="false"/>
    </xf>
    <xf xfId="0" fontId="0" numFmtId="2" fillId="2" borderId="30" applyFont="0" applyNumberFormat="1" applyFill="0" applyBorder="1" applyAlignment="0">
      <alignment horizontal="general" vertical="bottom" textRotation="0" wrapText="false" shrinkToFit="false"/>
    </xf>
    <xf xfId="0" fontId="0" numFmtId="165" fillId="2" borderId="30" applyFont="0" applyNumberFormat="1" applyFill="0" applyBorder="1" applyAlignment="0">
      <alignment horizontal="general" vertical="bottom" textRotation="0" wrapText="false" shrinkToFit="false"/>
    </xf>
    <xf xfId="0" fontId="10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4" fillId="2" borderId="30" applyFont="0" applyNumberFormat="1" applyFill="0" applyBorder="1" applyAlignment="1">
      <alignment horizontal="right" vertical="bottom" textRotation="0" wrapText="false" shrinkToFit="false"/>
    </xf>
    <xf xfId="0" fontId="0" numFmtId="4" fillId="2" borderId="16" applyFont="0" applyNumberFormat="1" applyFill="0" applyBorder="1" applyAlignment="1">
      <alignment horizontal="right" vertical="bottom" textRotation="0" wrapText="false" shrinkToFit="false"/>
    </xf>
    <xf xfId="0" fontId="0" numFmtId="4" fillId="2" borderId="28" applyFont="0" applyNumberFormat="1" applyFill="0" applyBorder="1" applyAlignment="1">
      <alignment horizontal="right" vertical="bottom" textRotation="0" wrapText="false" shrinkToFit="false"/>
    </xf>
    <xf xfId="0" fontId="0" numFmtId="4" fillId="2" borderId="23" applyFont="0" applyNumberFormat="1" applyFill="0" applyBorder="1" applyAlignment="0">
      <alignment horizontal="general" vertical="bottom" textRotation="0" wrapText="false" shrinkToFit="false"/>
    </xf>
    <xf xfId="0" fontId="0" numFmtId="4" fillId="2" borderId="23" applyFont="0" applyNumberFormat="1" applyFill="0" applyBorder="1" applyAlignment="0">
      <alignment horizontal="general" vertical="bottom" textRotation="0" wrapText="false" shrinkToFit="false"/>
    </xf>
    <xf xfId="0" fontId="10" numFmtId="0" fillId="2" borderId="38" applyFont="1" applyNumberFormat="0" applyFill="0" applyBorder="1" applyAlignment="1">
      <alignment horizontal="center" vertical="bottom" textRotation="0" wrapText="false" shrinkToFit="false"/>
    </xf>
    <xf xfId="0" fontId="10" numFmtId="0" fillId="2" borderId="40" applyFont="1" applyNumberFormat="0" applyFill="0" applyBorder="1" applyAlignment="0">
      <alignment horizontal="general" vertical="bottom" textRotation="0" wrapText="false" shrinkToFit="false"/>
    </xf>
    <xf xfId="0" fontId="10" numFmtId="4" fillId="2" borderId="41" applyFont="1" applyNumberFormat="1" applyFill="0" applyBorder="1" applyAlignment="0">
      <alignment horizontal="general" vertical="bottom" textRotation="0" wrapText="false" shrinkToFit="false"/>
    </xf>
    <xf xfId="0" fontId="10" numFmtId="4" fillId="2" borderId="41" applyFont="1" applyNumberFormat="1" applyFill="0" applyBorder="1" applyAlignment="0">
      <alignment horizontal="general" vertical="bottom" textRotation="0" wrapText="false" shrinkToFit="false"/>
    </xf>
    <xf xfId="0" fontId="10" numFmtId="4" fillId="2" borderId="42" applyFont="1" applyNumberFormat="1" applyFill="0" applyBorder="1" applyAlignment="0">
      <alignment horizontal="general" vertical="bottom" textRotation="0" wrapText="false" shrinkToFit="false"/>
    </xf>
    <xf xfId="0" fontId="10" numFmtId="0" fillId="2" borderId="54" applyFont="1" applyNumberFormat="0" applyFill="0" applyBorder="1" applyAlignment="1">
      <alignment horizontal="center" vertical="bottom" textRotation="0" wrapText="false" shrinkToFit="false"/>
    </xf>
    <xf xfId="0" fontId="0" numFmtId="4" fillId="2" borderId="20" applyFont="0" applyNumberFormat="1" applyFill="0" applyBorder="1" applyAlignment="0">
      <alignment horizontal="general" vertical="bottom" textRotation="0" wrapText="false" shrinkToFit="false"/>
    </xf>
    <xf xfId="0" fontId="20" numFmtId="0" fillId="2" borderId="10" applyFont="1" applyNumberFormat="0" applyFill="0" applyBorder="1" applyAlignment="1">
      <alignment horizontal="center" vertical="bottom" textRotation="0" wrapText="false" shrinkToFit="false"/>
    </xf>
    <xf xfId="0" fontId="10" numFmtId="4" fillId="2" borderId="33" applyFont="1" applyNumberFormat="1" applyFill="0" applyBorder="1" applyAlignment="0">
      <alignment horizontal="general" vertical="bottom" textRotation="0" wrapText="false" shrinkToFit="false"/>
    </xf>
    <xf xfId="0" fontId="10" numFmtId="4" fillId="2" borderId="33" applyFont="1" applyNumberFormat="1" applyFill="0" applyBorder="1" applyAlignment="0">
      <alignment horizontal="general" vertical="bottom" textRotation="0" wrapText="false" shrinkToFit="false"/>
    </xf>
    <xf xfId="0" fontId="10" numFmtId="4" fillId="2" borderId="34" applyFont="1" applyNumberFormat="1" applyFill="0" applyBorder="1" applyAlignment="0">
      <alignment horizontal="general" vertical="bottom" textRotation="0" wrapText="false" shrinkToFit="false"/>
    </xf>
    <xf xfId="0" fontId="18" numFmtId="0" fillId="2" borderId="21" applyFont="1" applyNumberFormat="0" applyFill="0" applyBorder="1" applyAlignment="1">
      <alignment horizontal="center" vertical="bottom" textRotation="0" wrapText="false" shrinkToFit="false"/>
    </xf>
    <xf xfId="0" fontId="16" numFmtId="0" fillId="2" borderId="1" applyFont="1" applyNumberFormat="0" applyFill="0" applyBorder="1" applyAlignment="1">
      <alignment horizontal="center" vertical="bottom" textRotation="0" wrapText="false" shrinkToFit="false"/>
    </xf>
    <xf xfId="0" fontId="13" numFmtId="0" fillId="2" borderId="6" applyFont="1" applyNumberFormat="0" applyFill="0" applyBorder="1" applyAlignment="1">
      <alignment horizontal="center" vertical="bottom" textRotation="0" wrapText="false" shrinkToFit="false"/>
    </xf>
    <xf xfId="0" fontId="13" numFmtId="0" fillId="2" borderId="75" applyFont="1" applyNumberFormat="0" applyFill="0" applyBorder="1" applyAlignment="1">
      <alignment horizontal="center" vertical="bottom" textRotation="0" wrapText="false" shrinkToFit="false"/>
    </xf>
    <xf xfId="0" fontId="16" numFmtId="0" fillId="2" borderId="64" applyFont="1" applyNumberFormat="0" applyFill="0" applyBorder="1" applyAlignment="1">
      <alignment horizontal="center" vertical="bottom" textRotation="0" wrapText="false" shrinkToFit="false"/>
    </xf>
    <xf xfId="0" fontId="16" numFmtId="0" fillId="2" borderId="76" applyFont="1" applyNumberFormat="0" applyFill="0" applyBorder="1" applyAlignment="1">
      <alignment horizontal="center" vertical="bottom" textRotation="0" wrapText="false" shrinkToFit="false"/>
    </xf>
    <xf xfId="0" fontId="16" numFmtId="0" fillId="2" borderId="17" applyFont="1" applyNumberFormat="0" applyFill="0" applyBorder="1" applyAlignment="1">
      <alignment horizontal="center" vertical="bottom" textRotation="0" wrapText="false" shrinkToFit="false"/>
    </xf>
    <xf xfId="0" fontId="16" numFmtId="9" fillId="2" borderId="18" applyFont="1" applyNumberFormat="1" applyFill="0" applyBorder="1" applyAlignment="1">
      <alignment horizontal="center" vertical="bottom" textRotation="0" wrapText="false" shrinkToFit="false"/>
    </xf>
    <xf xfId="0" fontId="16" numFmtId="0" fillId="2" borderId="54" applyFont="1" applyNumberFormat="0" applyFill="0" applyBorder="1" applyAlignment="1">
      <alignment horizontal="center" vertical="bottom" textRotation="0" wrapText="false" shrinkToFit="false"/>
    </xf>
    <xf xfId="0" fontId="15" numFmtId="0" fillId="2" borderId="10" applyFont="1" applyNumberFormat="0" applyFill="0" applyBorder="1" applyAlignment="1">
      <alignment horizontal="left" vertical="bottom" textRotation="0" wrapText="false" shrinkToFit="false"/>
    </xf>
    <xf xfId="0" fontId="15" numFmtId="4" fillId="2" borderId="11" applyFont="1" applyNumberFormat="1" applyFill="0" applyBorder="1" applyAlignment="0">
      <alignment horizontal="general" vertical="bottom" textRotation="0" wrapText="false" shrinkToFit="false"/>
    </xf>
    <xf xfId="0" fontId="15" numFmtId="4" fillId="2" borderId="16" applyFont="1" applyNumberFormat="1" applyFill="0" applyBorder="1" applyAlignment="0">
      <alignment horizontal="general" vertical="bottom" textRotation="0" wrapText="false" shrinkToFit="false"/>
    </xf>
    <xf xfId="0" fontId="15" numFmtId="4" fillId="2" borderId="11" applyFont="1" applyNumberFormat="1" applyFill="0" applyBorder="1" applyAlignment="1">
      <alignment horizontal="right" vertical="bottom" textRotation="0" wrapText="false" shrinkToFit="false"/>
    </xf>
    <xf xfId="0" fontId="16" numFmtId="0" fillId="2" borderId="10" applyFont="1" applyNumberFormat="0" applyFill="0" applyBorder="1" applyAlignment="0">
      <alignment horizontal="general" vertical="bottom" textRotation="0" wrapText="false" shrinkToFit="false"/>
    </xf>
    <xf xfId="0" fontId="16" numFmtId="4" fillId="2" borderId="77" applyFont="1" applyNumberFormat="1" applyFill="0" applyBorder="1" applyAlignment="0">
      <alignment horizontal="general" vertical="bottom" textRotation="0" wrapText="false" shrinkToFit="false"/>
    </xf>
    <xf xfId="0" fontId="16" numFmtId="4" fillId="2" borderId="56" applyFont="1" applyNumberFormat="1" applyFill="0" applyBorder="1" applyAlignment="0">
      <alignment horizontal="general" vertical="bottom" textRotation="0" wrapText="false" shrinkToFit="false"/>
    </xf>
    <xf xfId="0" fontId="16" numFmtId="4" fillId="2" borderId="57" applyFont="1" applyNumberFormat="1" applyFill="0" applyBorder="1" applyAlignment="0">
      <alignment horizontal="general" vertical="bottom" textRotation="0" wrapText="false" shrinkToFit="false"/>
    </xf>
    <xf xfId="0" fontId="15" numFmtId="0" fillId="2" borderId="10" applyFont="1" applyNumberFormat="0" applyFill="0" applyBorder="1" applyAlignment="0">
      <alignment horizontal="general" vertical="bottom" textRotation="0" wrapText="false" shrinkToFit="false"/>
    </xf>
    <xf xfId="0" fontId="15" numFmtId="4" fillId="2" borderId="18" applyFont="1" applyNumberFormat="1" applyFill="0" applyBorder="1" applyAlignment="0">
      <alignment horizontal="general" vertical="bottom" textRotation="0" wrapText="false" shrinkToFit="false"/>
    </xf>
    <xf xfId="0" fontId="16" numFmtId="0" fillId="2" borderId="17" applyFont="1" applyNumberFormat="0" applyFill="0" applyBorder="1" applyAlignment="0">
      <alignment horizontal="general" vertical="bottom" textRotation="0" wrapText="false" shrinkToFit="false"/>
    </xf>
    <xf xfId="0" fontId="16" numFmtId="0" fillId="2" borderId="10" applyFont="1" applyNumberFormat="0" applyFill="0" applyBorder="1" applyAlignment="1">
      <alignment horizontal="left" vertical="bottom" textRotation="0" wrapText="false" shrinkToFit="false"/>
    </xf>
    <xf xfId="0" fontId="16" numFmtId="0" fillId="2" borderId="10" applyFont="1" applyNumberFormat="0" applyFill="0" applyBorder="1" applyAlignment="0">
      <alignment horizontal="general" vertical="bottom" textRotation="0" wrapText="false" shrinkToFit="false"/>
    </xf>
    <xf xfId="0" fontId="16" numFmtId="4" fillId="2" borderId="19" applyFont="1" applyNumberFormat="1" applyFill="0" applyBorder="1" applyAlignment="0">
      <alignment horizontal="general" vertical="bottom" textRotation="0" wrapText="false" shrinkToFit="false"/>
    </xf>
    <xf xfId="0" fontId="15" numFmtId="4" fillId="2" borderId="19" applyFont="1" applyNumberFormat="1" applyFill="0" applyBorder="1" applyAlignment="0">
      <alignment horizontal="general" vertical="bottom" textRotation="0" wrapText="false" shrinkToFit="false"/>
    </xf>
    <xf xfId="0" fontId="15" numFmtId="4" fillId="2" borderId="22" applyFont="1" applyNumberFormat="1" applyFill="0" applyBorder="1" applyAlignment="0">
      <alignment horizontal="general" vertical="bottom" textRotation="0" wrapText="false" shrinkToFit="false"/>
    </xf>
    <xf xfId="0" fontId="16" numFmtId="4" fillId="2" borderId="18" applyFont="1" applyNumberFormat="1" applyFill="0" applyBorder="1" applyAlignment="0">
      <alignment horizontal="general" vertical="bottom" textRotation="0" wrapText="false" shrinkToFit="false"/>
    </xf>
    <xf xfId="0" fontId="16" numFmtId="4" fillId="2" borderId="32" applyFont="1" applyNumberFormat="1" applyFill="0" applyBorder="1" applyAlignment="0">
      <alignment horizontal="general" vertical="bottom" textRotation="0" wrapText="false" shrinkToFit="false"/>
    </xf>
    <xf xfId="0" fontId="16" numFmtId="0" fillId="2" borderId="8" applyFont="1" applyNumberFormat="0" applyFill="0" applyBorder="1" applyAlignment="0">
      <alignment horizontal="general" vertical="bottom" textRotation="0" wrapText="false" shrinkToFit="false"/>
    </xf>
    <xf xfId="0" fontId="16" numFmtId="4" fillId="2" borderId="0" applyFont="1" applyNumberFormat="1" applyFill="0" applyBorder="0" applyAlignment="0">
      <alignment horizontal="general" vertical="bottom" textRotation="0" wrapText="false" shrinkToFit="false"/>
    </xf>
    <xf xfId="0" fontId="16" numFmtId="0" fillId="2" borderId="0" applyFont="1" applyNumberFormat="0" applyFill="0" applyBorder="0" applyAlignment="0">
      <alignment horizontal="general" vertical="bottom" textRotation="0" wrapText="false" shrinkToFit="false"/>
    </xf>
    <xf xfId="0" fontId="13" numFmtId="0" fillId="2" borderId="27" applyFont="1" applyNumberFormat="0" applyFill="0" applyBorder="1" applyAlignment="1">
      <alignment horizontal="center" vertical="bottom" textRotation="0" wrapText="false" shrinkToFit="false"/>
    </xf>
    <xf xfId="0" fontId="13" numFmtId="0" fillId="2" borderId="26" applyFont="1" applyNumberFormat="0" applyFill="0" applyBorder="1" applyAlignment="1">
      <alignment horizontal="center" vertical="bottom" textRotation="0" wrapText="false" shrinkToFit="false"/>
    </xf>
    <xf xfId="0" fontId="16" numFmtId="0" fillId="2" borderId="11" applyFont="1" applyNumberFormat="0" applyFill="0" applyBorder="1" applyAlignment="0">
      <alignment horizontal="general" vertical="bottom" textRotation="0" wrapText="false" shrinkToFit="false"/>
    </xf>
    <xf xfId="0" fontId="15" numFmtId="0" fillId="2" borderId="11" applyFont="1" applyNumberFormat="0" applyFill="0" applyBorder="1" applyAlignment="0">
      <alignment horizontal="general" vertical="bottom" textRotation="0" wrapText="false" shrinkToFit="false"/>
    </xf>
    <xf xfId="0" fontId="16" numFmtId="4" fillId="2" borderId="78" applyFont="1" applyNumberFormat="1" applyFill="0" applyBorder="1" applyAlignment="0">
      <alignment horizontal="general" vertical="bottom" textRotation="0" wrapText="false" shrinkToFit="false"/>
    </xf>
    <xf xfId="0" fontId="13" numFmtId="0" fillId="2" borderId="67" applyFont="1" applyNumberFormat="0" applyFill="0" applyBorder="1" applyAlignment="1">
      <alignment horizontal="center" vertical="bottom" textRotation="0" wrapText="false" shrinkToFit="false"/>
    </xf>
    <xf xfId="0" fontId="16" numFmtId="0" fillId="2" borderId="65" applyFont="1" applyNumberFormat="0" applyFill="0" applyBorder="1" applyAlignment="1">
      <alignment horizontal="center" vertical="bottom" textRotation="0" wrapText="false" shrinkToFit="false"/>
    </xf>
    <xf xfId="0" fontId="16" numFmtId="4" fillId="2" borderId="31" applyFont="1" applyNumberFormat="1" applyFill="0" applyBorder="1" applyAlignment="0">
      <alignment horizontal="general" vertical="bottom" textRotation="0" wrapText="false" shrinkToFit="false"/>
    </xf>
    <xf xfId="0" fontId="16" numFmtId="0" fillId="2" borderId="39" applyFont="1" applyNumberFormat="0" applyFill="0" applyBorder="1" applyAlignment="0">
      <alignment horizontal="general" vertical="bottom" textRotation="0" wrapText="false" shrinkToFit="false"/>
    </xf>
    <xf xfId="0" fontId="16" numFmtId="4" fillId="2" borderId="39" applyFont="1" applyNumberFormat="1" applyFill="0" applyBorder="1" applyAlignment="0">
      <alignment horizontal="general" vertical="bottom" textRotation="0" wrapText="false" shrinkToFit="false"/>
    </xf>
    <xf xfId="0" fontId="19" numFmtId="0" fillId="2" borderId="0" applyFont="1" applyNumberFormat="0" applyFill="0" applyBorder="0" applyAlignment="1">
      <alignment horizontal="center" vertical="bottom" textRotation="0" wrapText="false" shrinkToFit="false"/>
    </xf>
    <xf xfId="0" fontId="16" numFmtId="0" fillId="2" borderId="60" applyFont="1" applyNumberFormat="0" applyFill="0" applyBorder="1" applyAlignment="1">
      <alignment horizontal="center" vertical="bottom" textRotation="0" wrapText="false" shrinkToFit="false"/>
    </xf>
    <xf xfId="0" fontId="16" numFmtId="0" fillId="2" borderId="51" applyFont="1" applyNumberFormat="0" applyFill="0" applyBorder="1" applyAlignment="1">
      <alignment horizontal="center" vertical="bottom" textRotation="0" wrapText="false" shrinkToFit="false"/>
    </xf>
    <xf xfId="0" fontId="16" numFmtId="0" fillId="2" borderId="52" applyFont="1" applyNumberFormat="0" applyFill="0" applyBorder="1" applyAlignment="1">
      <alignment horizontal="center" vertical="bottom" textRotation="0" wrapText="false" shrinkToFit="false"/>
    </xf>
    <xf xfId="0" fontId="16" numFmtId="0" fillId="2" borderId="1" applyFont="1" applyNumberFormat="0" applyFill="0" applyBorder="1" applyAlignment="0">
      <alignment horizontal="general" vertical="bottom" textRotation="0" wrapText="false" shrinkToFit="false"/>
    </xf>
    <xf xfId="0" fontId="15" numFmtId="0" fillId="2" borderId="53" applyFont="1" applyNumberFormat="0" applyFill="0" applyBorder="1" applyAlignment="0">
      <alignment horizontal="general" vertical="bottom" textRotation="0" wrapText="false" shrinkToFit="false"/>
    </xf>
    <xf xfId="0" fontId="16" numFmtId="0" fillId="2" borderId="77" applyFont="1" applyNumberFormat="0" applyFill="0" applyBorder="1" applyAlignment="0">
      <alignment horizontal="general" vertical="bottom" textRotation="0" wrapText="false" shrinkToFit="false"/>
    </xf>
    <xf xfId="0" fontId="16" numFmtId="0" fillId="2" borderId="56" applyFont="1" applyNumberFormat="0" applyFill="0" applyBorder="1" applyAlignment="0">
      <alignment horizontal="general" vertical="bottom" textRotation="0" wrapText="false" shrinkToFit="false"/>
    </xf>
    <xf xfId="0" fontId="15" numFmtId="0" fillId="2" borderId="19" applyFont="1" applyNumberFormat="0" applyFill="0" applyBorder="1" applyAlignment="0">
      <alignment horizontal="general" vertical="bottom" textRotation="0" wrapText="false" shrinkToFit="false"/>
    </xf>
    <xf xfId="0" fontId="16" numFmtId="0" fillId="2" borderId="18" applyFont="1" applyNumberFormat="0" applyFill="0" applyBorder="1" applyAlignment="0">
      <alignment horizontal="general" vertical="bottom" textRotation="0" wrapText="false" shrinkToFit="false"/>
    </xf>
    <xf xfId="0" fontId="16" numFmtId="4" fillId="2" borderId="54" applyFont="1" applyNumberFormat="1" applyFill="0" applyBorder="1" applyAlignment="0">
      <alignment horizontal="general" vertical="bottom" textRotation="0" wrapText="false" shrinkToFit="false"/>
    </xf>
    <xf xfId="0" fontId="16" numFmtId="0" fillId="2" borderId="17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6"/>
  <sheetViews>
    <sheetView tabSelected="1" workbookViewId="0" showGridLines="true" showRowColHeaders="1">
      <selection activeCell="N17" sqref="N17"/>
    </sheetView>
  </sheetViews>
  <sheetFormatPr defaultRowHeight="14.4" outlineLevelRow="0" outlineLevelCol="0"/>
  <cols>
    <col min="1" max="1" width="56.85546875" customWidth="true" style="2"/>
    <col min="2" max="2" width="13.7109375" customWidth="true" style="2"/>
    <col min="3" max="3" width="8.5703125" customWidth="true" style="2"/>
    <col min="4" max="4" width="2.28515625" customWidth="true" style="2"/>
    <col min="5" max="5" width="13.140625" customWidth="true" style="2"/>
    <col min="6" max="6" width="1.85546875" customWidth="true" style="2"/>
    <col min="7" max="7" width="12.7109375" customWidth="true" style="2"/>
    <col min="8" max="8" width="2" customWidth="true" style="2"/>
    <col min="9" max="9" width="13" customWidth="true" style="2"/>
    <col min="10" max="10" width="2" customWidth="true" style="2"/>
    <col min="11" max="11" width="13" customWidth="true" style="2"/>
    <col min="12" max="12" width="2" customWidth="true" style="2"/>
    <col min="13" max="13" width="13.140625" customWidth="true" style="2"/>
  </cols>
  <sheetData>
    <row r="1" spans="1:13">
      <c r="A1" s="1" t="s">
        <v>0</v>
      </c>
    </row>
    <row r="2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customHeight="1" ht="15.7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4" t="s">
        <v>4</v>
      </c>
      <c r="B5" s="5"/>
      <c r="C5" s="6" t="s">
        <v>5</v>
      </c>
      <c r="D5" s="7" t="s">
        <v>6</v>
      </c>
      <c r="E5" s="8"/>
      <c r="F5" s="9" t="s">
        <v>7</v>
      </c>
      <c r="G5" s="10"/>
      <c r="H5" s="10"/>
      <c r="I5" s="10"/>
      <c r="J5" s="10"/>
      <c r="K5" s="11"/>
      <c r="L5" s="12" t="s">
        <v>8</v>
      </c>
      <c r="M5" s="13"/>
    </row>
    <row r="6" spans="1:13">
      <c r="A6" s="14"/>
      <c r="B6" s="15" t="s">
        <v>9</v>
      </c>
      <c r="C6" s="16" t="s">
        <v>10</v>
      </c>
      <c r="D6" s="17">
        <v>2023</v>
      </c>
      <c r="E6" s="18"/>
      <c r="F6" s="19" t="s">
        <v>11</v>
      </c>
      <c r="G6" s="20"/>
      <c r="H6" s="21" t="s">
        <v>12</v>
      </c>
      <c r="I6" s="22"/>
      <c r="J6" s="23" t="s">
        <v>13</v>
      </c>
      <c r="K6" s="24"/>
      <c r="L6" s="25">
        <v>2025</v>
      </c>
      <c r="M6" s="26"/>
    </row>
    <row r="7" spans="1:13" customHeight="1" ht="15.75">
      <c r="A7" s="27"/>
      <c r="B7" s="28" t="s">
        <v>14</v>
      </c>
      <c r="C7" s="29" t="s">
        <v>15</v>
      </c>
      <c r="D7" s="30" t="s">
        <v>16</v>
      </c>
      <c r="E7" s="31"/>
      <c r="F7" s="32" t="s">
        <v>17</v>
      </c>
      <c r="G7" s="33"/>
      <c r="H7" s="32" t="s">
        <v>18</v>
      </c>
      <c r="I7" s="33"/>
      <c r="J7" s="34"/>
      <c r="K7" s="35"/>
      <c r="L7" s="36" t="s">
        <v>19</v>
      </c>
      <c r="M7" s="37"/>
    </row>
    <row r="8" spans="1:13">
      <c r="A8" s="38" t="s">
        <v>20</v>
      </c>
      <c r="B8" s="39"/>
      <c r="C8" s="40"/>
      <c r="D8" s="41"/>
      <c r="E8" s="39"/>
      <c r="F8" s="41"/>
      <c r="G8" s="39"/>
      <c r="H8" s="41"/>
      <c r="I8" s="39"/>
      <c r="K8" s="39"/>
      <c r="M8" s="42"/>
    </row>
    <row r="9" spans="1:13">
      <c r="A9" s="43" t="s">
        <v>21</v>
      </c>
      <c r="B9" s="44">
        <v>481</v>
      </c>
      <c r="C9" s="45" t="s">
        <v>22</v>
      </c>
      <c r="D9" s="46" t="s">
        <v>23</v>
      </c>
      <c r="E9" s="47">
        <v>595271.72</v>
      </c>
      <c r="F9" s="48" t="s">
        <v>23</v>
      </c>
      <c r="G9" s="47">
        <f>7366723.35-16000</f>
        <v>7350723.35</v>
      </c>
      <c r="H9" s="48" t="s">
        <v>23</v>
      </c>
      <c r="I9" s="47">
        <v>0</v>
      </c>
      <c r="J9" s="49" t="s">
        <v>23</v>
      </c>
      <c r="K9" s="47">
        <f>7366723.35-16000</f>
        <v>7350723.35</v>
      </c>
      <c r="L9" s="49" t="s">
        <v>23</v>
      </c>
      <c r="M9" s="50">
        <v>0</v>
      </c>
    </row>
    <row r="10" spans="1:13" customHeight="1" ht="15.75">
      <c r="A10" s="51" t="s">
        <v>24</v>
      </c>
      <c r="B10" s="39"/>
      <c r="C10" s="52"/>
      <c r="D10" s="53" t="s">
        <v>23</v>
      </c>
      <c r="E10" s="54">
        <f>SUM(E9)</f>
        <v>595271.72</v>
      </c>
      <c r="F10" s="55" t="s">
        <v>23</v>
      </c>
      <c r="G10" s="54">
        <f>SUM(G9)</f>
        <v>7350723.35</v>
      </c>
      <c r="H10" s="55" t="s">
        <v>23</v>
      </c>
      <c r="I10" s="54">
        <f>SUM(I9)</f>
        <v>0</v>
      </c>
      <c r="J10" s="53" t="s">
        <v>23</v>
      </c>
      <c r="K10" s="54">
        <f>SUM(K9)</f>
        <v>7350723.35</v>
      </c>
      <c r="L10" s="53" t="s">
        <v>23</v>
      </c>
      <c r="M10" s="56">
        <f>SUM(M9)</f>
        <v>0</v>
      </c>
    </row>
    <row r="11" spans="1:13">
      <c r="A11" s="51" t="s">
        <v>25</v>
      </c>
      <c r="B11" s="39"/>
      <c r="C11" s="52"/>
      <c r="D11" s="49"/>
      <c r="E11" s="47"/>
      <c r="F11" s="48"/>
      <c r="G11" s="47"/>
      <c r="H11" s="48"/>
      <c r="I11" s="47"/>
      <c r="J11" s="57"/>
      <c r="K11" s="58"/>
      <c r="L11" s="57"/>
      <c r="M11" s="59"/>
    </row>
    <row r="12" spans="1:13">
      <c r="A12" s="51" t="s">
        <v>26</v>
      </c>
      <c r="B12" s="39"/>
      <c r="C12" s="52"/>
      <c r="D12" s="49"/>
      <c r="E12" s="47"/>
      <c r="F12" s="48"/>
      <c r="G12" s="47"/>
      <c r="H12" s="48"/>
      <c r="I12" s="47"/>
      <c r="J12" s="57"/>
      <c r="K12" s="60"/>
      <c r="L12" s="57"/>
      <c r="M12" s="59"/>
    </row>
    <row r="13" spans="1:13">
      <c r="A13" s="51" t="s">
        <v>27</v>
      </c>
      <c r="B13" s="39"/>
      <c r="C13" s="52"/>
      <c r="D13" s="49"/>
      <c r="E13" s="47"/>
      <c r="F13" s="48"/>
      <c r="G13" s="47"/>
      <c r="H13" s="48"/>
      <c r="I13" s="47"/>
      <c r="J13" s="57"/>
      <c r="K13" s="60"/>
      <c r="L13" s="57"/>
      <c r="M13" s="59"/>
    </row>
    <row r="14" spans="1:13">
      <c r="A14" s="51" t="s">
        <v>28</v>
      </c>
      <c r="B14" s="39"/>
      <c r="C14" s="52"/>
      <c r="D14" s="49"/>
      <c r="E14" s="47"/>
      <c r="F14" s="48"/>
      <c r="G14" s="61"/>
      <c r="H14" s="48"/>
      <c r="I14" s="47"/>
      <c r="J14" s="57"/>
      <c r="K14" s="60"/>
      <c r="L14" s="57"/>
      <c r="M14" s="59"/>
    </row>
    <row r="15" spans="1:13">
      <c r="A15" s="62" t="s">
        <v>29</v>
      </c>
      <c r="B15" s="44" t="s">
        <v>30</v>
      </c>
      <c r="C15" s="45" t="s">
        <v>22</v>
      </c>
      <c r="D15" s="49" t="s">
        <v>23</v>
      </c>
      <c r="E15" s="47">
        <v>2593727.85</v>
      </c>
      <c r="F15" s="48" t="s">
        <v>23</v>
      </c>
      <c r="G15" s="61">
        <v>1822532.66</v>
      </c>
      <c r="H15" s="48" t="s">
        <v>23</v>
      </c>
      <c r="I15" s="63">
        <f>K15-G15</f>
        <v>477467.34</v>
      </c>
      <c r="J15" s="57" t="s">
        <v>23</v>
      </c>
      <c r="K15" s="50">
        <v>2300000</v>
      </c>
      <c r="L15" s="57" t="s">
        <v>23</v>
      </c>
      <c r="M15" s="50">
        <v>2300000</v>
      </c>
    </row>
    <row r="16" spans="1:13">
      <c r="A16" s="38" t="s">
        <v>31</v>
      </c>
      <c r="B16" s="44" t="s">
        <v>32</v>
      </c>
      <c r="C16" s="45" t="s">
        <v>22</v>
      </c>
      <c r="D16" s="49"/>
      <c r="E16" s="64">
        <v>2731059.16</v>
      </c>
      <c r="F16" s="48"/>
      <c r="G16" s="65">
        <v>2827390.56</v>
      </c>
      <c r="H16" s="48"/>
      <c r="I16" s="63">
        <f>K16-G16</f>
        <v>-327390.56</v>
      </c>
      <c r="J16" s="49"/>
      <c r="K16" s="66">
        <v>2500000</v>
      </c>
      <c r="L16" s="57"/>
      <c r="M16" s="66">
        <v>4000000</v>
      </c>
    </row>
    <row r="17" spans="1:13">
      <c r="A17" s="38" t="s">
        <v>33</v>
      </c>
      <c r="B17" s="39"/>
      <c r="C17" s="52"/>
      <c r="D17" s="49"/>
      <c r="E17" s="47"/>
      <c r="F17" s="48"/>
      <c r="G17" s="61"/>
      <c r="H17" s="48"/>
      <c r="I17" s="47"/>
      <c r="J17" s="49"/>
      <c r="K17" s="50"/>
      <c r="L17" s="57"/>
      <c r="M17" s="50"/>
    </row>
    <row r="18" spans="1:13">
      <c r="A18" s="43" t="s">
        <v>34</v>
      </c>
      <c r="B18" s="44" t="s">
        <v>35</v>
      </c>
      <c r="C18" s="45" t="s">
        <v>22</v>
      </c>
      <c r="D18" s="49"/>
      <c r="E18" s="63">
        <v>647037.51</v>
      </c>
      <c r="F18" s="48"/>
      <c r="G18" s="67">
        <v>681746.08</v>
      </c>
      <c r="H18" s="48"/>
      <c r="I18" s="63">
        <f>K18-G18</f>
        <v>-181746.08</v>
      </c>
      <c r="J18" s="49"/>
      <c r="K18" s="68">
        <v>500000</v>
      </c>
      <c r="L18" s="57"/>
      <c r="M18" s="68">
        <v>800000</v>
      </c>
    </row>
    <row r="19" spans="1:13" customHeight="1" ht="15.75">
      <c r="A19" s="43" t="s">
        <v>36</v>
      </c>
      <c r="B19" s="44" t="s">
        <v>37</v>
      </c>
      <c r="C19" s="45" t="s">
        <v>22</v>
      </c>
      <c r="D19" s="46"/>
      <c r="E19" s="69">
        <v>96040.45</v>
      </c>
      <c r="F19" s="48"/>
      <c r="G19" s="69">
        <v>100191.32</v>
      </c>
      <c r="H19" s="48"/>
      <c r="I19" s="63">
        <f>K19-G19</f>
        <v>-80191.32</v>
      </c>
      <c r="J19" s="49"/>
      <c r="K19" s="56">
        <v>20000</v>
      </c>
      <c r="L19" s="57"/>
      <c r="M19" s="56">
        <v>0</v>
      </c>
    </row>
    <row r="20" spans="1:13" customHeight="1" ht="15.75">
      <c r="A20" s="51" t="s">
        <v>38</v>
      </c>
      <c r="B20" s="44"/>
      <c r="C20" s="15"/>
      <c r="D20" s="70" t="s">
        <v>23</v>
      </c>
      <c r="E20" s="71">
        <f>SUM(E15:E19)</f>
        <v>6067864.97</v>
      </c>
      <c r="F20" s="55" t="s">
        <v>23</v>
      </c>
      <c r="G20" s="71">
        <f>SUM(G15:G19)</f>
        <v>5431860.62</v>
      </c>
      <c r="H20" s="55" t="s">
        <v>23</v>
      </c>
      <c r="I20" s="71">
        <f>SUM(I15:I19)</f>
        <v>-111860.62</v>
      </c>
      <c r="J20" s="53" t="s">
        <v>23</v>
      </c>
      <c r="K20" s="71">
        <f>SUM(K15:K19)</f>
        <v>5320000</v>
      </c>
      <c r="L20" s="72" t="s">
        <v>23</v>
      </c>
      <c r="M20" s="73">
        <f>SUM(M15:M19)</f>
        <v>7100000</v>
      </c>
    </row>
    <row r="21" spans="1:13">
      <c r="A21" s="51" t="s">
        <v>39</v>
      </c>
      <c r="B21" s="44"/>
      <c r="C21" s="45"/>
      <c r="D21" s="70"/>
      <c r="E21" s="74"/>
      <c r="F21" s="55"/>
      <c r="G21" s="74"/>
      <c r="H21" s="55"/>
      <c r="I21" s="74"/>
      <c r="J21" s="57"/>
      <c r="K21" s="47"/>
      <c r="L21" s="57"/>
      <c r="M21" s="50"/>
    </row>
    <row r="22" spans="1:13">
      <c r="A22" s="51" t="s">
        <v>40</v>
      </c>
      <c r="B22" s="44"/>
      <c r="C22" s="45"/>
      <c r="D22" s="46"/>
      <c r="E22" s="47"/>
      <c r="F22" s="48"/>
      <c r="G22" s="47"/>
      <c r="H22" s="48"/>
      <c r="I22" s="47"/>
      <c r="J22" s="57"/>
      <c r="K22" s="47"/>
      <c r="L22" s="57"/>
      <c r="M22" s="50"/>
    </row>
    <row r="23" spans="1:13">
      <c r="A23" s="43" t="s">
        <v>41</v>
      </c>
      <c r="B23" s="44" t="s">
        <v>42</v>
      </c>
      <c r="C23" s="45" t="s">
        <v>22</v>
      </c>
      <c r="D23" s="46" t="s">
        <v>23</v>
      </c>
      <c r="E23" s="47">
        <v>3232840.68</v>
      </c>
      <c r="F23" s="48" t="s">
        <v>23</v>
      </c>
      <c r="G23" s="47">
        <v>2645872.38</v>
      </c>
      <c r="H23" s="61"/>
      <c r="I23" s="63">
        <f>K23-G23</f>
        <v>354127.62</v>
      </c>
      <c r="J23" s="57" t="s">
        <v>23</v>
      </c>
      <c r="K23" s="50">
        <v>3000000</v>
      </c>
      <c r="L23" s="57" t="s">
        <v>23</v>
      </c>
      <c r="M23" s="50">
        <v>3000000</v>
      </c>
    </row>
    <row r="24" spans="1:13">
      <c r="A24" s="43" t="s">
        <v>43</v>
      </c>
      <c r="B24" s="44" t="s">
        <v>44</v>
      </c>
      <c r="C24" s="45" t="s">
        <v>22</v>
      </c>
      <c r="D24" s="46"/>
      <c r="E24" s="64">
        <v>210425</v>
      </c>
      <c r="F24" s="48"/>
      <c r="G24" s="64">
        <v>234025</v>
      </c>
      <c r="H24" s="48"/>
      <c r="I24" s="63">
        <f>K24-G24</f>
        <v>-94025</v>
      </c>
      <c r="J24" s="49"/>
      <c r="K24" s="66">
        <v>140000</v>
      </c>
      <c r="L24" s="57"/>
      <c r="M24" s="66">
        <v>300000</v>
      </c>
    </row>
    <row r="25" spans="1:13">
      <c r="A25" s="43" t="s">
        <v>45</v>
      </c>
      <c r="B25" s="44" t="s">
        <v>46</v>
      </c>
      <c r="C25" s="45" t="s">
        <v>22</v>
      </c>
      <c r="D25" s="46"/>
      <c r="E25" s="64">
        <v>217916.5</v>
      </c>
      <c r="F25" s="48"/>
      <c r="G25" s="64">
        <v>146491</v>
      </c>
      <c r="H25" s="48"/>
      <c r="I25" s="63">
        <f>K25-G25</f>
        <v>3509</v>
      </c>
      <c r="J25" s="49"/>
      <c r="K25" s="66">
        <v>150000</v>
      </c>
      <c r="L25" s="57"/>
      <c r="M25" s="66">
        <v>340000</v>
      </c>
    </row>
    <row r="26" spans="1:13">
      <c r="A26" s="43" t="s">
        <v>47</v>
      </c>
      <c r="B26" s="75" t="s">
        <v>48</v>
      </c>
      <c r="C26" s="45" t="s">
        <v>22</v>
      </c>
      <c r="D26" s="46"/>
      <c r="E26" s="64">
        <v>82159.75</v>
      </c>
      <c r="F26" s="48"/>
      <c r="G26" s="64">
        <v>69395</v>
      </c>
      <c r="H26" s="48"/>
      <c r="I26" s="63">
        <f>K26-G26</f>
        <v>10605</v>
      </c>
      <c r="J26" s="49"/>
      <c r="K26" s="66">
        <v>80000</v>
      </c>
      <c r="L26" s="57"/>
      <c r="M26" s="66">
        <v>100000</v>
      </c>
    </row>
    <row r="27" spans="1:13" customHeight="1" ht="15.75">
      <c r="A27" s="43" t="s">
        <v>49</v>
      </c>
      <c r="B27" s="44" t="s">
        <v>50</v>
      </c>
      <c r="C27" s="45" t="s">
        <v>22</v>
      </c>
      <c r="D27" s="46"/>
      <c r="E27" s="69">
        <v>15850</v>
      </c>
      <c r="F27" s="48"/>
      <c r="G27" s="69">
        <v>16550</v>
      </c>
      <c r="H27" s="48"/>
      <c r="I27" s="63">
        <f>K27-G27</f>
        <v>-1550</v>
      </c>
      <c r="J27" s="49"/>
      <c r="K27" s="56">
        <v>15000</v>
      </c>
      <c r="L27" s="57"/>
      <c r="M27" s="56">
        <v>20000</v>
      </c>
    </row>
    <row r="28" spans="1:13" customHeight="1" ht="15.75">
      <c r="A28" s="51" t="s">
        <v>51</v>
      </c>
      <c r="B28" s="75"/>
      <c r="C28" s="45"/>
      <c r="D28" s="70" t="s">
        <v>23</v>
      </c>
      <c r="E28" s="71">
        <f>SUM(E23:E27)</f>
        <v>3759191.93</v>
      </c>
      <c r="F28" s="55" t="s">
        <v>23</v>
      </c>
      <c r="G28" s="71">
        <f>SUM(G23:G27)</f>
        <v>3112333.38</v>
      </c>
      <c r="H28" s="55" t="s">
        <v>23</v>
      </c>
      <c r="I28" s="71">
        <f>SUM(I23:I27)</f>
        <v>272666.62</v>
      </c>
      <c r="J28" s="53" t="s">
        <v>23</v>
      </c>
      <c r="K28" s="71">
        <f>SUM(K23:K27)</f>
        <v>3385000</v>
      </c>
      <c r="L28" s="72" t="s">
        <v>23</v>
      </c>
      <c r="M28" s="73">
        <f>SUM(M23:M27)</f>
        <v>3760000</v>
      </c>
    </row>
    <row r="29" spans="1:13">
      <c r="A29" s="43" t="s">
        <v>52</v>
      </c>
      <c r="B29" s="75"/>
      <c r="C29" s="45"/>
      <c r="D29" s="75"/>
      <c r="E29" s="47"/>
      <c r="F29" s="61"/>
      <c r="G29" s="47"/>
      <c r="H29" s="61"/>
      <c r="I29" s="47"/>
      <c r="J29" s="57"/>
      <c r="K29" s="47"/>
      <c r="L29" s="57"/>
      <c r="M29" s="50"/>
    </row>
    <row r="30" spans="1:13">
      <c r="A30" s="43" t="s">
        <v>53</v>
      </c>
      <c r="B30" s="75" t="s">
        <v>54</v>
      </c>
      <c r="C30" s="45" t="s">
        <v>22</v>
      </c>
      <c r="D30" s="46" t="s">
        <v>23</v>
      </c>
      <c r="E30" s="63">
        <v>310220.5</v>
      </c>
      <c r="F30" s="48" t="s">
        <v>23</v>
      </c>
      <c r="G30" s="63">
        <v>670400</v>
      </c>
      <c r="H30" s="48"/>
      <c r="I30" s="63">
        <f>K30-G30</f>
        <v>-460400</v>
      </c>
      <c r="J30" s="49" t="s">
        <v>23</v>
      </c>
      <c r="K30" s="68">
        <v>210000</v>
      </c>
      <c r="L30" s="57" t="s">
        <v>23</v>
      </c>
      <c r="M30" s="68">
        <v>1100000</v>
      </c>
    </row>
    <row r="31" spans="1:13" customHeight="1" ht="15.75">
      <c r="A31" s="43" t="s">
        <v>55</v>
      </c>
      <c r="B31" s="75" t="s">
        <v>56</v>
      </c>
      <c r="C31" s="45" t="s">
        <v>22</v>
      </c>
      <c r="D31" s="46"/>
      <c r="E31" s="47">
        <v>55545</v>
      </c>
      <c r="F31" s="48"/>
      <c r="G31" s="47">
        <v>17304</v>
      </c>
      <c r="H31" s="48"/>
      <c r="I31" s="63">
        <f>K31-G31</f>
        <v>-6304</v>
      </c>
      <c r="J31" s="49"/>
      <c r="K31" s="50">
        <v>11000</v>
      </c>
      <c r="L31" s="57"/>
      <c r="M31" s="50">
        <v>811000</v>
      </c>
    </row>
    <row r="32" spans="1:13" customHeight="1" ht="15.75">
      <c r="A32" s="38" t="s">
        <v>57</v>
      </c>
      <c r="B32" s="76"/>
      <c r="C32" s="15"/>
      <c r="D32" s="70" t="s">
        <v>23</v>
      </c>
      <c r="E32" s="77">
        <f>SUM(E30:E31)</f>
        <v>365765.5</v>
      </c>
      <c r="F32" s="55" t="s">
        <v>23</v>
      </c>
      <c r="G32" s="77">
        <f>SUM(G30:G31)</f>
        <v>687704</v>
      </c>
      <c r="H32" s="55" t="s">
        <v>23</v>
      </c>
      <c r="I32" s="77">
        <f>SUM(I30:I31)</f>
        <v>-466704</v>
      </c>
      <c r="J32" s="53" t="s">
        <v>23</v>
      </c>
      <c r="K32" s="77">
        <f>SUM(K30:K31)</f>
        <v>221000</v>
      </c>
      <c r="L32" s="72" t="s">
        <v>23</v>
      </c>
      <c r="M32" s="78">
        <f>SUM(M30:M31)</f>
        <v>1911000</v>
      </c>
    </row>
    <row r="33" spans="1:13">
      <c r="A33" s="51" t="s">
        <v>58</v>
      </c>
      <c r="B33" s="75"/>
      <c r="C33" s="45"/>
      <c r="D33" s="46"/>
      <c r="E33" s="47"/>
      <c r="F33" s="48"/>
      <c r="G33" s="47"/>
      <c r="H33" s="61"/>
      <c r="I33" s="47"/>
      <c r="J33" s="49"/>
      <c r="K33" s="60"/>
      <c r="L33" s="57"/>
      <c r="M33" s="59"/>
    </row>
    <row r="34" spans="1:13">
      <c r="A34" s="43" t="s">
        <v>59</v>
      </c>
      <c r="B34" s="75" t="s">
        <v>60</v>
      </c>
      <c r="C34" s="45" t="s">
        <v>22</v>
      </c>
      <c r="D34" s="46" t="s">
        <v>23</v>
      </c>
      <c r="E34" s="63">
        <v>20904.51</v>
      </c>
      <c r="F34" s="48" t="s">
        <v>23</v>
      </c>
      <c r="G34" s="63">
        <v>4324.17</v>
      </c>
      <c r="H34" s="61"/>
      <c r="I34" s="63">
        <f>K34-G34</f>
        <v>15675.83</v>
      </c>
      <c r="J34" s="49" t="s">
        <v>23</v>
      </c>
      <c r="K34" s="68">
        <v>20000</v>
      </c>
      <c r="L34" s="57" t="s">
        <v>23</v>
      </c>
      <c r="M34" s="68">
        <v>20000</v>
      </c>
    </row>
    <row r="35" spans="1:13">
      <c r="A35" s="43" t="s">
        <v>61</v>
      </c>
      <c r="B35" s="75" t="s">
        <v>62</v>
      </c>
      <c r="C35" s="45" t="s">
        <v>22</v>
      </c>
      <c r="D35" s="46"/>
      <c r="E35" s="63">
        <v>593885.71</v>
      </c>
      <c r="F35" s="48"/>
      <c r="G35" s="63">
        <v>352809.8</v>
      </c>
      <c r="H35" s="61"/>
      <c r="I35" s="63">
        <f>K35-G35</f>
        <v>172190.2</v>
      </c>
      <c r="J35" s="49"/>
      <c r="K35" s="66">
        <v>525000</v>
      </c>
      <c r="L35" s="57"/>
      <c r="M35" s="66">
        <v>675000</v>
      </c>
    </row>
    <row r="36" spans="1:13" customHeight="1" ht="15.75">
      <c r="A36" s="43" t="s">
        <v>63</v>
      </c>
      <c r="B36" s="75"/>
      <c r="C36" s="45" t="s">
        <v>22</v>
      </c>
      <c r="D36" s="46"/>
      <c r="E36" s="69">
        <v>3900</v>
      </c>
      <c r="F36" s="48"/>
      <c r="G36" s="69">
        <v>28700</v>
      </c>
      <c r="H36" s="61"/>
      <c r="I36" s="63">
        <f>K36-G36</f>
        <v>-8700</v>
      </c>
      <c r="J36" s="49"/>
      <c r="K36" s="56">
        <v>20000</v>
      </c>
      <c r="L36" s="57"/>
      <c r="M36" s="56">
        <v>25000</v>
      </c>
    </row>
    <row r="37" spans="1:13" customHeight="1" ht="15.75">
      <c r="A37" s="51" t="s">
        <v>64</v>
      </c>
      <c r="B37" s="75"/>
      <c r="C37" s="45"/>
      <c r="D37" s="70" t="s">
        <v>23</v>
      </c>
      <c r="E37" s="71">
        <f>SUM(E34:E36)</f>
        <v>618690.22</v>
      </c>
      <c r="F37" s="55" t="s">
        <v>23</v>
      </c>
      <c r="G37" s="71">
        <f>SUM(G34:G36)</f>
        <v>385833.97</v>
      </c>
      <c r="H37" s="55" t="s">
        <v>23</v>
      </c>
      <c r="I37" s="71">
        <f>SUM(I34:I36)</f>
        <v>179166.03</v>
      </c>
      <c r="J37" s="53" t="s">
        <v>23</v>
      </c>
      <c r="K37" s="71">
        <f>SUM(K34:K36)</f>
        <v>565000</v>
      </c>
      <c r="L37" s="72" t="s">
        <v>23</v>
      </c>
      <c r="M37" s="73">
        <f>SUM(M34:M36)</f>
        <v>720000</v>
      </c>
    </row>
    <row r="38" spans="1:13" customHeight="1" ht="15.75">
      <c r="A38" s="79" t="s">
        <v>65</v>
      </c>
      <c r="B38" s="80"/>
      <c r="C38" s="81"/>
      <c r="D38" s="82" t="s">
        <v>23</v>
      </c>
      <c r="E38" s="77">
        <f>E28+E32+E37</f>
        <v>4743647.65</v>
      </c>
      <c r="F38" s="83" t="s">
        <v>23</v>
      </c>
      <c r="G38" s="77">
        <f>G28+G32+G37</f>
        <v>4185871.35</v>
      </c>
      <c r="H38" s="83" t="s">
        <v>23</v>
      </c>
      <c r="I38" s="77">
        <f>I28+I32+I37</f>
        <v>-14871.35</v>
      </c>
      <c r="J38" s="84" t="s">
        <v>23</v>
      </c>
      <c r="K38" s="77">
        <f>K28+K32+K37</f>
        <v>4171000</v>
      </c>
      <c r="L38" s="85" t="s">
        <v>23</v>
      </c>
      <c r="M38" s="78">
        <f>M28+M32+M37</f>
        <v>6391000</v>
      </c>
    </row>
    <row r="39" spans="1:13" customHeight="1" ht="15.75">
      <c r="A39" s="76"/>
      <c r="B39" s="76"/>
      <c r="C39" s="76"/>
      <c r="D39" s="86"/>
      <c r="E39" s="87"/>
      <c r="F39" s="87"/>
      <c r="G39" s="87"/>
      <c r="H39" s="87"/>
      <c r="I39" s="87"/>
    </row>
    <row r="40" spans="1:13">
      <c r="A40" s="4" t="s">
        <v>4</v>
      </c>
      <c r="B40" s="5"/>
      <c r="C40" s="6" t="s">
        <v>5</v>
      </c>
      <c r="D40" s="88" t="s">
        <v>6</v>
      </c>
      <c r="E40" s="89"/>
      <c r="F40" s="90" t="s">
        <v>7</v>
      </c>
      <c r="G40" s="91"/>
      <c r="H40" s="91"/>
      <c r="I40" s="91"/>
      <c r="J40" s="91"/>
      <c r="K40" s="92"/>
      <c r="L40" s="93" t="s">
        <v>8</v>
      </c>
      <c r="M40" s="94"/>
    </row>
    <row r="41" spans="1:13">
      <c r="A41" s="14"/>
      <c r="B41" s="15" t="s">
        <v>9</v>
      </c>
      <c r="C41" s="16" t="s">
        <v>10</v>
      </c>
      <c r="D41" s="95">
        <v>2023</v>
      </c>
      <c r="E41" s="96"/>
      <c r="F41" s="19" t="s">
        <v>11</v>
      </c>
      <c r="G41" s="20"/>
      <c r="H41" s="21" t="s">
        <v>12</v>
      </c>
      <c r="I41" s="22"/>
      <c r="J41" s="23" t="s">
        <v>13</v>
      </c>
      <c r="K41" s="24"/>
      <c r="L41" s="97">
        <v>2025</v>
      </c>
      <c r="M41" s="98"/>
    </row>
    <row r="42" spans="1:13" customHeight="1" ht="15.75">
      <c r="A42" s="27"/>
      <c r="B42" s="28" t="s">
        <v>14</v>
      </c>
      <c r="C42" s="29" t="s">
        <v>15</v>
      </c>
      <c r="D42" s="32" t="s">
        <v>16</v>
      </c>
      <c r="E42" s="33"/>
      <c r="F42" s="32" t="s">
        <v>17</v>
      </c>
      <c r="G42" s="33"/>
      <c r="H42" s="32" t="s">
        <v>18</v>
      </c>
      <c r="I42" s="33"/>
      <c r="J42" s="34"/>
      <c r="K42" s="35"/>
      <c r="L42" s="99" t="s">
        <v>19</v>
      </c>
      <c r="M42" s="100"/>
    </row>
    <row r="43" spans="1:13">
      <c r="A43" s="51" t="s">
        <v>66</v>
      </c>
      <c r="B43" s="75"/>
      <c r="C43" s="45"/>
      <c r="D43" s="46"/>
      <c r="E43" s="47"/>
      <c r="F43" s="48"/>
      <c r="G43" s="47"/>
      <c r="H43" s="61"/>
      <c r="I43" s="47"/>
      <c r="J43" s="49"/>
      <c r="K43" s="47"/>
      <c r="L43" s="57"/>
      <c r="M43" s="50"/>
    </row>
    <row r="44" spans="1:13">
      <c r="A44" s="43" t="s">
        <v>67</v>
      </c>
      <c r="B44" s="75"/>
      <c r="C44" s="45"/>
      <c r="D44" s="46"/>
      <c r="E44" s="47"/>
      <c r="F44" s="48"/>
      <c r="G44" s="47"/>
      <c r="H44" s="61"/>
      <c r="I44" s="47"/>
      <c r="J44" s="49"/>
      <c r="K44" s="47"/>
      <c r="L44" s="57"/>
      <c r="M44" s="50"/>
    </row>
    <row r="45" spans="1:13">
      <c r="A45" s="101" t="s">
        <v>68</v>
      </c>
      <c r="B45" s="75" t="s">
        <v>69</v>
      </c>
      <c r="C45" s="45" t="s">
        <v>22</v>
      </c>
      <c r="D45" s="46" t="s">
        <v>23</v>
      </c>
      <c r="E45" s="63">
        <v>136225782</v>
      </c>
      <c r="F45" s="48" t="s">
        <v>23</v>
      </c>
      <c r="G45" s="63">
        <v>72388494</v>
      </c>
      <c r="H45" s="61"/>
      <c r="I45" s="63">
        <f>K45-G45</f>
        <v>72349169</v>
      </c>
      <c r="J45" s="49" t="s">
        <v>23</v>
      </c>
      <c r="K45" s="68">
        <v>144737663</v>
      </c>
      <c r="L45" s="57" t="s">
        <v>23</v>
      </c>
      <c r="M45" s="68">
        <v>171997074</v>
      </c>
    </row>
    <row r="46" spans="1:13" customHeight="1" ht="15.75">
      <c r="A46" s="101" t="s">
        <v>70</v>
      </c>
      <c r="B46" s="75" t="s">
        <v>71</v>
      </c>
      <c r="C46" s="45"/>
      <c r="D46" s="46"/>
      <c r="E46" s="69">
        <v>150756.5</v>
      </c>
      <c r="F46" s="48"/>
      <c r="G46" s="69">
        <v>0</v>
      </c>
      <c r="H46" s="61"/>
      <c r="I46" s="69">
        <v>0</v>
      </c>
      <c r="J46" s="49"/>
      <c r="K46" s="69">
        <v>0</v>
      </c>
      <c r="L46" s="57"/>
      <c r="M46" s="56">
        <v>0</v>
      </c>
    </row>
    <row r="47" spans="1:13" customHeight="1" ht="15.75">
      <c r="A47" s="38" t="s">
        <v>72</v>
      </c>
      <c r="B47" s="76"/>
      <c r="C47" s="15"/>
      <c r="D47" s="70" t="s">
        <v>23</v>
      </c>
      <c r="E47" s="71">
        <f>SUM(E45:E46)</f>
        <v>136376538.5</v>
      </c>
      <c r="F47" s="55" t="s">
        <v>23</v>
      </c>
      <c r="G47" s="71">
        <f>SUM(G45:G45)</f>
        <v>72388494</v>
      </c>
      <c r="H47" s="55" t="s">
        <v>23</v>
      </c>
      <c r="I47" s="71">
        <f>SUM(I45:I45)</f>
        <v>72349169</v>
      </c>
      <c r="J47" s="49"/>
      <c r="K47" s="71">
        <f>SUM(K45)</f>
        <v>144737663</v>
      </c>
      <c r="L47" s="72" t="s">
        <v>23</v>
      </c>
      <c r="M47" s="73">
        <f>SUM(M45:M46)</f>
        <v>171997074</v>
      </c>
    </row>
    <row r="48" spans="1:13">
      <c r="A48" s="38" t="s">
        <v>73</v>
      </c>
      <c r="B48" s="76"/>
      <c r="C48" s="15"/>
      <c r="D48" s="70"/>
      <c r="E48" s="74"/>
      <c r="F48" s="55"/>
      <c r="G48" s="74"/>
      <c r="H48" s="55"/>
      <c r="I48" s="74"/>
      <c r="J48" s="49"/>
      <c r="K48" s="74"/>
      <c r="L48" s="57"/>
      <c r="M48" s="102"/>
    </row>
    <row r="49" spans="1:13">
      <c r="A49" s="62" t="s">
        <v>74</v>
      </c>
      <c r="B49" s="76"/>
      <c r="C49" s="15"/>
      <c r="D49" s="70"/>
      <c r="E49" s="74"/>
      <c r="F49" s="55"/>
      <c r="G49" s="74"/>
      <c r="H49" s="55"/>
      <c r="I49" s="74"/>
      <c r="J49" s="49"/>
      <c r="K49" s="74"/>
      <c r="L49" s="57"/>
      <c r="M49" s="102"/>
    </row>
    <row r="50" spans="1:13" customHeight="1" ht="15.75">
      <c r="A50" s="62" t="s">
        <v>75</v>
      </c>
      <c r="B50" s="76"/>
      <c r="C50" s="15"/>
      <c r="D50" s="46" t="s">
        <v>23</v>
      </c>
      <c r="E50" s="103">
        <v>0</v>
      </c>
      <c r="F50" s="48" t="s">
        <v>23</v>
      </c>
      <c r="G50" s="103">
        <v>0</v>
      </c>
      <c r="H50" s="48" t="s">
        <v>23</v>
      </c>
      <c r="I50" s="103">
        <v>0</v>
      </c>
      <c r="J50" s="49" t="s">
        <v>23</v>
      </c>
      <c r="K50" s="103">
        <v>0</v>
      </c>
      <c r="L50" s="57" t="s">
        <v>23</v>
      </c>
      <c r="M50" s="104">
        <v>0</v>
      </c>
    </row>
    <row r="51" spans="1:13" customHeight="1" ht="15.75">
      <c r="A51" s="38" t="s">
        <v>76</v>
      </c>
      <c r="B51" s="76"/>
      <c r="C51" s="15"/>
      <c r="D51" s="70" t="s">
        <v>23</v>
      </c>
      <c r="E51" s="71">
        <f>SUM(E50)</f>
        <v>0</v>
      </c>
      <c r="F51" s="55" t="s">
        <v>23</v>
      </c>
      <c r="G51" s="71">
        <f>SUM(G50)</f>
        <v>0</v>
      </c>
      <c r="H51" s="55" t="s">
        <v>23</v>
      </c>
      <c r="I51" s="71">
        <f>SUM(I50)</f>
        <v>0</v>
      </c>
      <c r="J51" s="53" t="s">
        <v>23</v>
      </c>
      <c r="K51" s="77">
        <f>SUM(K50)</f>
        <v>0</v>
      </c>
      <c r="L51" s="72" t="s">
        <v>23</v>
      </c>
      <c r="M51" s="78">
        <f>SUM(M50)</f>
        <v>0</v>
      </c>
    </row>
    <row r="52" spans="1:13" customHeight="1" ht="15.75">
      <c r="A52" s="51" t="s">
        <v>77</v>
      </c>
      <c r="B52" s="75"/>
      <c r="C52" s="45"/>
      <c r="D52" s="70" t="s">
        <v>23</v>
      </c>
      <c r="E52" s="77">
        <f>E20+E38+E47+E51</f>
        <v>147188051.12</v>
      </c>
      <c r="F52" s="55" t="s">
        <v>23</v>
      </c>
      <c r="G52" s="77">
        <f>G20+G38+G47+G51</f>
        <v>82006225.97</v>
      </c>
      <c r="H52" s="55" t="s">
        <v>23</v>
      </c>
      <c r="I52" s="77">
        <f>I10+I20+I38+I47+I51</f>
        <v>72222437.03</v>
      </c>
      <c r="J52" s="53" t="s">
        <v>23</v>
      </c>
      <c r="K52" s="77">
        <f>K20+K38+K47+K51</f>
        <v>154228663</v>
      </c>
      <c r="L52" s="72" t="s">
        <v>23</v>
      </c>
      <c r="M52" s="77">
        <f>M20+M38+M47+M51</f>
        <v>185488074</v>
      </c>
    </row>
    <row r="53" spans="1:13" customHeight="1" ht="15.75">
      <c r="A53" s="51" t="s">
        <v>78</v>
      </c>
      <c r="B53" s="15"/>
      <c r="C53" s="45"/>
      <c r="D53" s="70" t="s">
        <v>23</v>
      </c>
      <c r="E53" s="105">
        <f>E10+E52</f>
        <v>147783322.84</v>
      </c>
      <c r="F53" s="55" t="s">
        <v>23</v>
      </c>
      <c r="G53" s="105">
        <f>G10+G52</f>
        <v>89356949.32</v>
      </c>
      <c r="H53" s="55" t="s">
        <v>23</v>
      </c>
      <c r="I53" s="105">
        <f>I10+I52</f>
        <v>72222437.03</v>
      </c>
      <c r="J53" s="53" t="s">
        <v>23</v>
      </c>
      <c r="K53" s="105">
        <f>K10+K52</f>
        <v>161579386.35</v>
      </c>
      <c r="L53" s="72" t="s">
        <v>23</v>
      </c>
      <c r="M53" s="106">
        <f>M10+M52</f>
        <v>185488074</v>
      </c>
    </row>
    <row r="54" spans="1:13" customHeight="1" ht="15.75">
      <c r="A54" s="38" t="s">
        <v>79</v>
      </c>
      <c r="B54" s="107"/>
      <c r="C54" s="107"/>
      <c r="D54" s="108"/>
      <c r="E54" s="109"/>
      <c r="F54" s="75"/>
      <c r="G54" s="110"/>
      <c r="H54" s="75"/>
      <c r="I54" s="111"/>
      <c r="K54" s="112"/>
      <c r="M54" s="113"/>
    </row>
    <row r="55" spans="1:13">
      <c r="A55" s="38" t="s">
        <v>80</v>
      </c>
      <c r="B55" s="45"/>
      <c r="C55" s="45"/>
      <c r="D55" s="75"/>
      <c r="E55" s="44"/>
      <c r="F55" s="75"/>
      <c r="G55" s="44"/>
      <c r="H55" s="75"/>
      <c r="I55" s="114"/>
      <c r="J55" s="57"/>
      <c r="K55" s="47" t="s">
        <v>81</v>
      </c>
      <c r="L55" s="57"/>
      <c r="M55" s="50"/>
    </row>
    <row r="56" spans="1:13">
      <c r="A56" s="43" t="s">
        <v>82</v>
      </c>
      <c r="B56" s="45" t="s">
        <v>83</v>
      </c>
      <c r="C56" s="52"/>
      <c r="D56" s="57" t="s">
        <v>23</v>
      </c>
      <c r="E56" s="63">
        <v>32786828.43</v>
      </c>
      <c r="F56" s="57" t="s">
        <v>23</v>
      </c>
      <c r="G56" s="63">
        <v>17134932.21</v>
      </c>
      <c r="H56" s="57" t="s">
        <v>23</v>
      </c>
      <c r="I56" s="63">
        <f>K56-G56</f>
        <v>20214360.79</v>
      </c>
      <c r="J56" s="57" t="s">
        <v>23</v>
      </c>
      <c r="K56" s="68">
        <v>37349293</v>
      </c>
      <c r="L56" s="57" t="s">
        <v>23</v>
      </c>
      <c r="M56" s="68">
        <v>40376028</v>
      </c>
    </row>
    <row r="57" spans="1:13">
      <c r="A57" s="43" t="s">
        <v>84</v>
      </c>
      <c r="B57" s="45" t="s">
        <v>85</v>
      </c>
      <c r="C57" s="52"/>
      <c r="D57" s="57"/>
      <c r="E57" s="63">
        <v>1752483.87</v>
      </c>
      <c r="F57" s="57"/>
      <c r="G57" s="47">
        <v>938000</v>
      </c>
      <c r="H57" s="57"/>
      <c r="I57" s="63">
        <f>K57-G57</f>
        <v>1158000</v>
      </c>
      <c r="J57" s="57"/>
      <c r="K57" s="50">
        <v>2096000</v>
      </c>
      <c r="L57" s="57"/>
      <c r="M57" s="50">
        <v>2136000</v>
      </c>
    </row>
    <row r="58" spans="1:13">
      <c r="A58" s="43" t="s">
        <v>86</v>
      </c>
      <c r="B58" s="45" t="s">
        <v>87</v>
      </c>
      <c r="C58" s="52"/>
      <c r="D58" s="57"/>
      <c r="E58" s="64">
        <v>1744354.84</v>
      </c>
      <c r="F58" s="57"/>
      <c r="G58" s="64">
        <v>991200</v>
      </c>
      <c r="H58" s="57"/>
      <c r="I58" s="63">
        <f>K58-G58</f>
        <v>981600</v>
      </c>
      <c r="J58" s="57"/>
      <c r="K58" s="66">
        <v>1972800</v>
      </c>
      <c r="L58" s="57"/>
      <c r="M58" s="66">
        <v>1982400</v>
      </c>
    </row>
    <row r="59" spans="1:13">
      <c r="A59" s="43" t="s">
        <v>88</v>
      </c>
      <c r="B59" s="45" t="s">
        <v>89</v>
      </c>
      <c r="C59" s="52"/>
      <c r="D59" s="57"/>
      <c r="E59" s="64">
        <v>1744354.84</v>
      </c>
      <c r="F59" s="57"/>
      <c r="G59" s="64">
        <v>991200</v>
      </c>
      <c r="H59" s="57"/>
      <c r="I59" s="63">
        <f>K59-G59</f>
        <v>981600</v>
      </c>
      <c r="J59" s="57"/>
      <c r="K59" s="66">
        <v>1972800</v>
      </c>
      <c r="L59" s="57"/>
      <c r="M59" s="66">
        <v>1982400</v>
      </c>
    </row>
    <row r="60" spans="1:13">
      <c r="A60" s="43" t="s">
        <v>90</v>
      </c>
      <c r="B60" s="45" t="s">
        <v>91</v>
      </c>
      <c r="C60" s="52"/>
      <c r="D60" s="57"/>
      <c r="E60" s="64">
        <v>438000</v>
      </c>
      <c r="F60" s="57"/>
      <c r="G60" s="64">
        <v>510000</v>
      </c>
      <c r="H60" s="57"/>
      <c r="I60" s="63">
        <f>K60-G60</f>
        <v>108790</v>
      </c>
      <c r="J60" s="57"/>
      <c r="K60" s="66">
        <v>618790</v>
      </c>
      <c r="L60" s="57"/>
      <c r="M60" s="66">
        <v>623000</v>
      </c>
    </row>
    <row r="61" spans="1:13">
      <c r="A61" s="43" t="s">
        <v>92</v>
      </c>
      <c r="B61" s="45" t="s">
        <v>93</v>
      </c>
      <c r="C61" s="52"/>
      <c r="D61" s="57"/>
      <c r="E61" s="64">
        <v>245758.06</v>
      </c>
      <c r="F61" s="57"/>
      <c r="G61" s="64">
        <v>130500</v>
      </c>
      <c r="H61" s="57"/>
      <c r="I61" s="63">
        <f>K61-G61</f>
        <v>139500</v>
      </c>
      <c r="J61" s="57"/>
      <c r="K61" s="66">
        <v>270000</v>
      </c>
      <c r="L61" s="57"/>
      <c r="M61" s="66">
        <v>133200</v>
      </c>
    </row>
    <row r="62" spans="1:13">
      <c r="A62" s="43" t="s">
        <v>94</v>
      </c>
      <c r="B62" s="45" t="s">
        <v>95</v>
      </c>
      <c r="C62" s="52"/>
      <c r="D62" s="57"/>
      <c r="E62" s="64">
        <v>23400</v>
      </c>
      <c r="F62" s="57"/>
      <c r="G62" s="64">
        <v>12450</v>
      </c>
      <c r="H62" s="57"/>
      <c r="I62" s="63">
        <f>K62-G62</f>
        <v>13750</v>
      </c>
      <c r="J62" s="57"/>
      <c r="K62" s="66">
        <v>26200</v>
      </c>
      <c r="L62" s="57"/>
      <c r="M62" s="66">
        <v>168000</v>
      </c>
    </row>
    <row r="63" spans="1:13">
      <c r="A63" s="43" t="s">
        <v>96</v>
      </c>
      <c r="B63" s="45" t="s">
        <v>97</v>
      </c>
      <c r="C63" s="52"/>
      <c r="D63" s="57"/>
      <c r="E63" s="64">
        <v>356000</v>
      </c>
      <c r="F63" s="57"/>
      <c r="G63" s="64">
        <v>0</v>
      </c>
      <c r="H63" s="57"/>
      <c r="I63" s="63">
        <f>K63-G63</f>
        <v>445000</v>
      </c>
      <c r="J63" s="57"/>
      <c r="K63" s="66">
        <v>445000</v>
      </c>
      <c r="L63" s="57"/>
      <c r="M63" s="66">
        <v>445000</v>
      </c>
    </row>
    <row r="64" spans="1:13">
      <c r="A64" s="43" t="s">
        <v>98</v>
      </c>
      <c r="B64" s="45" t="s">
        <v>99</v>
      </c>
      <c r="C64" s="52"/>
      <c r="D64" s="57"/>
      <c r="E64" s="64">
        <v>1066500</v>
      </c>
      <c r="F64" s="57"/>
      <c r="G64" s="64">
        <v>0</v>
      </c>
      <c r="H64" s="57"/>
      <c r="I64" s="63">
        <f>K64-G64</f>
        <v>890000</v>
      </c>
      <c r="J64" s="57"/>
      <c r="K64" s="66">
        <v>890000</v>
      </c>
      <c r="L64" s="57"/>
      <c r="M64" s="66">
        <v>1780000</v>
      </c>
    </row>
    <row r="65" spans="1:13">
      <c r="A65" s="43" t="s">
        <v>100</v>
      </c>
      <c r="B65" s="45" t="s">
        <v>101</v>
      </c>
      <c r="C65" s="52"/>
      <c r="D65" s="57"/>
      <c r="E65" s="64">
        <v>284825.85</v>
      </c>
      <c r="F65" s="57"/>
      <c r="G65" s="64">
        <v>152305.79</v>
      </c>
      <c r="H65" s="57"/>
      <c r="I65" s="63">
        <f>K65-G65</f>
        <v>311337.59</v>
      </c>
      <c r="J65" s="57"/>
      <c r="K65" s="66">
        <v>463643.38</v>
      </c>
      <c r="L65" s="57"/>
      <c r="M65" s="66">
        <v>971938</v>
      </c>
    </row>
    <row r="66" spans="1:13">
      <c r="A66" s="43" t="s">
        <v>102</v>
      </c>
      <c r="B66" s="45" t="s">
        <v>103</v>
      </c>
      <c r="C66" s="52"/>
      <c r="D66" s="57"/>
      <c r="E66" s="64">
        <v>2752662.5</v>
      </c>
      <c r="F66" s="57"/>
      <c r="G66" s="64">
        <v>0</v>
      </c>
      <c r="H66" s="57"/>
      <c r="I66" s="63">
        <f>K66-G66</f>
        <v>3143498</v>
      </c>
      <c r="J66" s="57"/>
      <c r="K66" s="66">
        <v>3143498</v>
      </c>
      <c r="L66" s="57"/>
      <c r="M66" s="66">
        <v>4080046</v>
      </c>
    </row>
    <row r="67" spans="1:13">
      <c r="A67" s="43" t="s">
        <v>104</v>
      </c>
      <c r="B67" s="45" t="s">
        <v>105</v>
      </c>
      <c r="C67" s="52"/>
      <c r="D67" s="57"/>
      <c r="E67" s="64">
        <v>367500</v>
      </c>
      <c r="F67" s="57"/>
      <c r="G67" s="64">
        <v>0</v>
      </c>
      <c r="H67" s="57"/>
      <c r="I67" s="63">
        <f>K67-G67</f>
        <v>445000</v>
      </c>
      <c r="J67" s="57"/>
      <c r="K67" s="66">
        <v>445000</v>
      </c>
      <c r="L67" s="57"/>
      <c r="M67" s="66">
        <v>445000</v>
      </c>
    </row>
    <row r="68" spans="1:13">
      <c r="A68" s="43" t="s">
        <v>106</v>
      </c>
      <c r="B68" s="45" t="s">
        <v>107</v>
      </c>
      <c r="C68" s="52"/>
      <c r="D68" s="57"/>
      <c r="E68" s="64">
        <v>2737230</v>
      </c>
      <c r="F68" s="57"/>
      <c r="G68" s="64">
        <v>2788410</v>
      </c>
      <c r="H68" s="57"/>
      <c r="I68" s="63">
        <f>K68-G68</f>
        <v>164456</v>
      </c>
      <c r="J68" s="57"/>
      <c r="K68" s="66">
        <v>2952866</v>
      </c>
      <c r="L68" s="57"/>
      <c r="M68" s="66">
        <v>3307430</v>
      </c>
    </row>
    <row r="69" spans="1:13">
      <c r="A69" s="43" t="s">
        <v>108</v>
      </c>
      <c r="B69" s="45" t="s">
        <v>109</v>
      </c>
      <c r="C69" s="52"/>
      <c r="D69" s="57"/>
      <c r="E69" s="47">
        <v>3948256.59</v>
      </c>
      <c r="F69" s="57"/>
      <c r="G69" s="47">
        <v>2058423.47</v>
      </c>
      <c r="H69" s="57"/>
      <c r="I69" s="63">
        <f>K69-G69</f>
        <v>2423491.67</v>
      </c>
      <c r="J69" s="57"/>
      <c r="K69" s="50">
        <v>4481915.14</v>
      </c>
      <c r="L69" s="57"/>
      <c r="M69" s="50">
        <v>4845132</v>
      </c>
    </row>
    <row r="70" spans="1:13">
      <c r="A70" s="43" t="s">
        <v>110</v>
      </c>
      <c r="B70" s="45" t="s">
        <v>111</v>
      </c>
      <c r="C70" s="52"/>
      <c r="D70" s="57"/>
      <c r="E70" s="64">
        <v>87700</v>
      </c>
      <c r="F70" s="57"/>
      <c r="G70" s="64">
        <v>86100</v>
      </c>
      <c r="H70" s="57"/>
      <c r="I70" s="63">
        <f>K70-G70</f>
        <v>125900</v>
      </c>
      <c r="J70" s="57"/>
      <c r="K70" s="66">
        <v>212000</v>
      </c>
      <c r="L70" s="57"/>
      <c r="M70" s="66">
        <v>213600</v>
      </c>
    </row>
    <row r="71" spans="1:13">
      <c r="A71" s="43" t="s">
        <v>112</v>
      </c>
      <c r="B71" s="45" t="s">
        <v>113</v>
      </c>
      <c r="C71" s="52"/>
      <c r="D71" s="57"/>
      <c r="E71" s="64">
        <v>648713</v>
      </c>
      <c r="F71" s="57"/>
      <c r="G71" s="64">
        <v>428104.05</v>
      </c>
      <c r="H71" s="57"/>
      <c r="I71" s="63">
        <f>K71-G71</f>
        <v>505628.3</v>
      </c>
      <c r="J71" s="57"/>
      <c r="K71" s="66">
        <v>933732.35</v>
      </c>
      <c r="L71" s="57"/>
      <c r="M71" s="66">
        <v>1009418</v>
      </c>
    </row>
    <row r="72" spans="1:13">
      <c r="A72" s="43" t="s">
        <v>114</v>
      </c>
      <c r="B72" s="45" t="s">
        <v>115</v>
      </c>
      <c r="C72" s="52"/>
      <c r="D72" s="57"/>
      <c r="E72" s="64">
        <v>87200</v>
      </c>
      <c r="F72" s="57"/>
      <c r="G72" s="64">
        <v>46900</v>
      </c>
      <c r="H72" s="57"/>
      <c r="I72" s="63">
        <f>K72-G72</f>
        <v>58300</v>
      </c>
      <c r="J72" s="57"/>
      <c r="K72" s="66">
        <v>105200</v>
      </c>
      <c r="L72" s="57"/>
      <c r="M72" s="66">
        <v>106800</v>
      </c>
    </row>
    <row r="73" spans="1:13">
      <c r="A73" s="43" t="s">
        <v>116</v>
      </c>
      <c r="B73" s="45" t="s">
        <v>117</v>
      </c>
      <c r="C73" s="52"/>
      <c r="D73" s="57"/>
      <c r="E73" s="63">
        <v>654468.29</v>
      </c>
      <c r="F73" s="57"/>
      <c r="G73" s="63">
        <v>410089.47</v>
      </c>
      <c r="H73" s="57"/>
      <c r="I73" s="63">
        <f>K73-G73</f>
        <v>1225312.74</v>
      </c>
      <c r="J73" s="57"/>
      <c r="K73" s="68">
        <v>1635402.21</v>
      </c>
      <c r="L73" s="57"/>
      <c r="M73" s="68">
        <v>5294805</v>
      </c>
    </row>
    <row r="74" spans="1:13" customHeight="1" ht="15.75">
      <c r="A74" s="43" t="s">
        <v>118</v>
      </c>
      <c r="B74" s="45" t="s">
        <v>119</v>
      </c>
      <c r="C74" s="52"/>
      <c r="D74" s="57"/>
      <c r="E74" s="69">
        <v>0</v>
      </c>
      <c r="F74" s="57"/>
      <c r="G74" s="69">
        <v>0</v>
      </c>
      <c r="H74" s="57"/>
      <c r="I74" s="63">
        <f>K74-G74</f>
        <v>50000</v>
      </c>
      <c r="J74" s="57"/>
      <c r="K74" s="56">
        <v>50000</v>
      </c>
      <c r="L74" s="57"/>
      <c r="M74" s="56">
        <v>658000</v>
      </c>
    </row>
    <row r="75" spans="1:13" customHeight="1" ht="15.75">
      <c r="A75" s="79" t="s">
        <v>120</v>
      </c>
      <c r="B75" s="115"/>
      <c r="C75" s="115"/>
      <c r="D75" s="84" t="s">
        <v>23</v>
      </c>
      <c r="E75" s="71">
        <f>SUM(E56:E74)</f>
        <v>51726236.27</v>
      </c>
      <c r="F75" s="85" t="s">
        <v>23</v>
      </c>
      <c r="G75" s="71">
        <f>SUM(G56:G74)</f>
        <v>26678614.99</v>
      </c>
      <c r="H75" s="85" t="s">
        <v>23</v>
      </c>
      <c r="I75" s="71">
        <f>SUM(I56:I74)</f>
        <v>33385525.09</v>
      </c>
      <c r="J75" s="85" t="s">
        <v>23</v>
      </c>
      <c r="K75" s="71">
        <f>SUM(K56:K74)</f>
        <v>60064140.08</v>
      </c>
      <c r="L75" s="85" t="s">
        <v>23</v>
      </c>
      <c r="M75" s="73">
        <f>SUM(M56:M74)</f>
        <v>70558197</v>
      </c>
    </row>
    <row r="76" spans="1:13" customHeight="1" ht="15.75">
      <c r="K76" s="25"/>
      <c r="L76" s="25"/>
      <c r="M76" s="25"/>
    </row>
    <row r="77" spans="1:13">
      <c r="A77" s="4" t="s">
        <v>4</v>
      </c>
      <c r="B77" s="5"/>
      <c r="C77" s="6" t="s">
        <v>5</v>
      </c>
      <c r="D77" s="88" t="s">
        <v>6</v>
      </c>
      <c r="E77" s="89"/>
      <c r="F77" s="90" t="s">
        <v>7</v>
      </c>
      <c r="G77" s="91"/>
      <c r="H77" s="91"/>
      <c r="I77" s="91"/>
      <c r="J77" s="91"/>
      <c r="K77" s="92"/>
      <c r="L77" s="93" t="s">
        <v>8</v>
      </c>
      <c r="M77" s="94"/>
    </row>
    <row r="78" spans="1:13">
      <c r="A78" s="14"/>
      <c r="B78" s="15" t="s">
        <v>9</v>
      </c>
      <c r="C78" s="16" t="s">
        <v>10</v>
      </c>
      <c r="D78" s="95">
        <v>2023</v>
      </c>
      <c r="E78" s="96"/>
      <c r="F78" s="19" t="s">
        <v>11</v>
      </c>
      <c r="G78" s="20"/>
      <c r="H78" s="21" t="s">
        <v>12</v>
      </c>
      <c r="I78" s="22"/>
      <c r="J78" s="23" t="s">
        <v>13</v>
      </c>
      <c r="K78" s="24"/>
      <c r="L78" s="97">
        <v>2025</v>
      </c>
      <c r="M78" s="98"/>
    </row>
    <row r="79" spans="1:13" customHeight="1" ht="15.75">
      <c r="A79" s="27"/>
      <c r="B79" s="28" t="s">
        <v>14</v>
      </c>
      <c r="C79" s="29" t="s">
        <v>15</v>
      </c>
      <c r="D79" s="32" t="s">
        <v>16</v>
      </c>
      <c r="E79" s="33"/>
      <c r="F79" s="32" t="s">
        <v>17</v>
      </c>
      <c r="G79" s="33"/>
      <c r="H79" s="32" t="s">
        <v>18</v>
      </c>
      <c r="I79" s="33"/>
      <c r="J79" s="34"/>
      <c r="K79" s="35"/>
      <c r="L79" s="99" t="s">
        <v>19</v>
      </c>
      <c r="M79" s="100"/>
    </row>
    <row r="80" spans="1:13">
      <c r="A80" s="51" t="s">
        <v>121</v>
      </c>
      <c r="B80" s="52"/>
      <c r="C80" s="52"/>
      <c r="D80" s="57"/>
      <c r="E80" s="60"/>
      <c r="F80" s="57"/>
      <c r="G80" s="60"/>
      <c r="H80" s="57"/>
      <c r="I80" s="60"/>
      <c r="J80" s="57"/>
      <c r="K80" s="60"/>
      <c r="L80" s="57"/>
      <c r="M80" s="59"/>
    </row>
    <row r="81" spans="1:13">
      <c r="A81" s="43" t="s">
        <v>122</v>
      </c>
      <c r="B81" s="45" t="s">
        <v>123</v>
      </c>
      <c r="C81" s="52"/>
      <c r="D81" s="57" t="s">
        <v>23</v>
      </c>
      <c r="E81" s="47">
        <v>3438658.09</v>
      </c>
      <c r="F81" s="57" t="s">
        <v>23</v>
      </c>
      <c r="G81" s="47">
        <v>2500344.87</v>
      </c>
      <c r="H81" s="57" t="s">
        <v>23</v>
      </c>
      <c r="I81" s="63">
        <f>K81-G81</f>
        <v>1185695.13</v>
      </c>
      <c r="J81" s="57" t="s">
        <v>23</v>
      </c>
      <c r="K81" s="50">
        <v>3686040</v>
      </c>
      <c r="L81" s="57" t="s">
        <v>23</v>
      </c>
      <c r="M81" s="50">
        <v>3805040</v>
      </c>
    </row>
    <row r="82" spans="1:13">
      <c r="A82" s="43" t="s">
        <v>124</v>
      </c>
      <c r="B82" s="45" t="s">
        <v>125</v>
      </c>
      <c r="C82" s="52"/>
      <c r="D82" s="57"/>
      <c r="E82" s="64">
        <v>97992.9</v>
      </c>
      <c r="F82" s="57"/>
      <c r="G82" s="64">
        <v>50794.99</v>
      </c>
      <c r="H82" s="57"/>
      <c r="I82" s="63">
        <f>K82-G82</f>
        <v>241205.01</v>
      </c>
      <c r="J82" s="57"/>
      <c r="K82" s="66">
        <v>292000</v>
      </c>
      <c r="L82" s="57"/>
      <c r="M82" s="66">
        <v>430000</v>
      </c>
    </row>
    <row r="83" spans="1:13">
      <c r="A83" s="43" t="s">
        <v>126</v>
      </c>
      <c r="B83" s="45" t="s">
        <v>127</v>
      </c>
      <c r="C83" s="52"/>
      <c r="D83" s="57"/>
      <c r="E83" s="64">
        <v>1828516.99</v>
      </c>
      <c r="F83" s="57"/>
      <c r="G83" s="64">
        <v>1107158.76</v>
      </c>
      <c r="H83" s="57"/>
      <c r="I83" s="63">
        <f>K83-G83</f>
        <v>916943.74</v>
      </c>
      <c r="J83" s="57"/>
      <c r="K83" s="66">
        <v>2024102.5</v>
      </c>
      <c r="L83" s="57"/>
      <c r="M83" s="66">
        <v>3086672.5</v>
      </c>
    </row>
    <row r="84" spans="1:13">
      <c r="A84" s="43" t="s">
        <v>128</v>
      </c>
      <c r="B84" s="45" t="s">
        <v>129</v>
      </c>
      <c r="C84" s="52"/>
      <c r="D84" s="57"/>
      <c r="E84" s="116">
        <v>94120</v>
      </c>
      <c r="F84" s="57"/>
      <c r="G84" s="64">
        <v>59980</v>
      </c>
      <c r="H84" s="57"/>
      <c r="I84" s="63">
        <f>K84-G84</f>
        <v>50020</v>
      </c>
      <c r="J84" s="57"/>
      <c r="K84" s="66">
        <v>110000</v>
      </c>
      <c r="L84" s="57"/>
      <c r="M84" s="66">
        <v>110000</v>
      </c>
    </row>
    <row r="85" spans="1:13">
      <c r="A85" s="43" t="s">
        <v>130</v>
      </c>
      <c r="B85" s="45" t="s">
        <v>131</v>
      </c>
      <c r="C85" s="52"/>
      <c r="D85" s="57"/>
      <c r="E85" s="64">
        <v>1717720.75</v>
      </c>
      <c r="F85" s="57"/>
      <c r="G85" s="64">
        <v>848045.5</v>
      </c>
      <c r="H85" s="57"/>
      <c r="I85" s="63">
        <f>K85-G85</f>
        <v>1001954.5</v>
      </c>
      <c r="J85" s="57"/>
      <c r="K85" s="66">
        <v>1850000</v>
      </c>
      <c r="L85" s="57"/>
      <c r="M85" s="66">
        <v>2500000</v>
      </c>
    </row>
    <row r="86" spans="1:13">
      <c r="A86" s="43" t="s">
        <v>132</v>
      </c>
      <c r="B86" s="45" t="s">
        <v>133</v>
      </c>
      <c r="C86" s="52"/>
      <c r="D86" s="57"/>
      <c r="E86" s="64">
        <v>1717720.75</v>
      </c>
      <c r="F86" s="57"/>
      <c r="G86" s="64">
        <v>848045.5</v>
      </c>
      <c r="H86" s="57"/>
      <c r="I86" s="63">
        <f>K86-G86</f>
        <v>-748045.5</v>
      </c>
      <c r="J86" s="57"/>
      <c r="K86" s="66">
        <v>100000</v>
      </c>
      <c r="L86" s="57"/>
      <c r="M86" s="66">
        <v>150000</v>
      </c>
    </row>
    <row r="87" spans="1:13">
      <c r="A87" s="43" t="s">
        <v>134</v>
      </c>
      <c r="B87" s="45" t="s">
        <v>135</v>
      </c>
      <c r="C87" s="52"/>
      <c r="D87" s="57"/>
      <c r="E87" s="64">
        <v>2924174</v>
      </c>
      <c r="F87" s="57"/>
      <c r="G87" s="64">
        <v>1533200.02</v>
      </c>
      <c r="H87" s="57"/>
      <c r="I87" s="63">
        <f>K87-G87</f>
        <v>1416799.98</v>
      </c>
      <c r="J87" s="57"/>
      <c r="K87" s="66">
        <v>2950000</v>
      </c>
      <c r="L87" s="57"/>
      <c r="M87" s="66">
        <v>3450000</v>
      </c>
    </row>
    <row r="88" spans="1:13">
      <c r="A88" s="43" t="s">
        <v>136</v>
      </c>
      <c r="B88" s="45" t="s">
        <v>137</v>
      </c>
      <c r="C88" s="52"/>
      <c r="D88" s="57"/>
      <c r="E88" s="64">
        <v>319899</v>
      </c>
      <c r="F88" s="57"/>
      <c r="G88" s="64">
        <v>0</v>
      </c>
      <c r="H88" s="57"/>
      <c r="I88" s="63">
        <f>K88-G88</f>
        <v>250000</v>
      </c>
      <c r="J88" s="57"/>
      <c r="K88" s="66">
        <v>250000</v>
      </c>
      <c r="L88" s="57"/>
      <c r="M88" s="66">
        <v>300000</v>
      </c>
    </row>
    <row r="89" spans="1:13">
      <c r="A89" s="43" t="s">
        <v>138</v>
      </c>
      <c r="B89" s="45" t="s">
        <v>139</v>
      </c>
      <c r="C89" s="52"/>
      <c r="D89" s="57"/>
      <c r="E89" s="64">
        <v>1654057.65</v>
      </c>
      <c r="F89" s="57"/>
      <c r="G89" s="64">
        <v>757561.35</v>
      </c>
      <c r="H89" s="57"/>
      <c r="I89" s="63">
        <f>K89-G89</f>
        <v>242438.65</v>
      </c>
      <c r="J89" s="57"/>
      <c r="K89" s="66">
        <v>1000000</v>
      </c>
      <c r="L89" s="57"/>
      <c r="M89" s="66">
        <v>1400000</v>
      </c>
    </row>
    <row r="90" spans="1:13">
      <c r="A90" s="43" t="s">
        <v>140</v>
      </c>
      <c r="B90" s="45" t="s">
        <v>141</v>
      </c>
      <c r="C90" s="52"/>
      <c r="D90" s="57"/>
      <c r="E90" s="64">
        <v>4692363.21</v>
      </c>
      <c r="F90" s="57"/>
      <c r="G90" s="64">
        <v>2055156.59</v>
      </c>
      <c r="H90" s="57"/>
      <c r="I90" s="63">
        <f>K90-G90</f>
        <v>3444843.41</v>
      </c>
      <c r="J90" s="57"/>
      <c r="K90" s="66">
        <v>5500000</v>
      </c>
      <c r="L90" s="57"/>
      <c r="M90" s="66">
        <v>5500000</v>
      </c>
    </row>
    <row r="91" spans="1:13">
      <c r="A91" s="43" t="s">
        <v>142</v>
      </c>
      <c r="B91" s="45" t="s">
        <v>143</v>
      </c>
      <c r="C91" s="52"/>
      <c r="D91" s="57"/>
      <c r="E91" s="64">
        <v>1382</v>
      </c>
      <c r="F91" s="57"/>
      <c r="G91" s="64">
        <v>2000</v>
      </c>
      <c r="H91" s="57"/>
      <c r="I91" s="63">
        <f>K91-G91</f>
        <v>10500</v>
      </c>
      <c r="J91" s="57"/>
      <c r="K91" s="66">
        <v>12500</v>
      </c>
      <c r="L91" s="57"/>
      <c r="M91" s="66">
        <v>20500</v>
      </c>
    </row>
    <row r="92" spans="1:13">
      <c r="A92" s="43" t="s">
        <v>144</v>
      </c>
      <c r="B92" s="45" t="s">
        <v>145</v>
      </c>
      <c r="C92" s="52"/>
      <c r="D92" s="57"/>
      <c r="E92" s="64">
        <v>1547442.35</v>
      </c>
      <c r="F92" s="57"/>
      <c r="G92" s="64">
        <v>788000</v>
      </c>
      <c r="H92" s="57"/>
      <c r="I92" s="63">
        <f>K92-G92</f>
        <v>892000</v>
      </c>
      <c r="J92" s="57"/>
      <c r="K92" s="66">
        <v>1680000</v>
      </c>
      <c r="L92" s="57"/>
      <c r="M92" s="66">
        <v>690000</v>
      </c>
    </row>
    <row r="93" spans="1:13">
      <c r="A93" s="43" t="s">
        <v>146</v>
      </c>
      <c r="B93" s="45" t="s">
        <v>147</v>
      </c>
      <c r="C93" s="52"/>
      <c r="D93" s="57"/>
      <c r="E93" s="64">
        <v>345776.36</v>
      </c>
      <c r="F93" s="57"/>
      <c r="G93" s="64">
        <v>176366.04</v>
      </c>
      <c r="H93" s="57"/>
      <c r="I93" s="63">
        <f>K93-G93</f>
        <v>288633.96</v>
      </c>
      <c r="J93" s="57"/>
      <c r="K93" s="66">
        <v>465000</v>
      </c>
      <c r="L93" s="57"/>
      <c r="M93" s="66">
        <v>472000</v>
      </c>
    </row>
    <row r="94" spans="1:13">
      <c r="A94" s="101" t="s">
        <v>148</v>
      </c>
      <c r="B94" s="45" t="s">
        <v>149</v>
      </c>
      <c r="C94" s="52"/>
      <c r="D94" s="57"/>
      <c r="E94" s="64">
        <v>31508.97</v>
      </c>
      <c r="F94" s="57"/>
      <c r="G94" s="64">
        <v>0</v>
      </c>
      <c r="H94" s="57"/>
      <c r="I94" s="63">
        <f>K94-G94</f>
        <v>54171.1</v>
      </c>
      <c r="J94" s="57"/>
      <c r="K94" s="66">
        <v>54171.1</v>
      </c>
      <c r="L94" s="57"/>
      <c r="M94" s="66">
        <v>51874.56</v>
      </c>
    </row>
    <row r="95" spans="1:13">
      <c r="A95" s="43" t="s">
        <v>150</v>
      </c>
      <c r="B95" s="45" t="s">
        <v>151</v>
      </c>
      <c r="C95" s="52"/>
      <c r="D95" s="57"/>
      <c r="E95" s="64">
        <v>62943</v>
      </c>
      <c r="F95" s="57"/>
      <c r="G95" s="64">
        <v>0</v>
      </c>
      <c r="H95" s="57"/>
      <c r="I95" s="63">
        <f>K95-G95</f>
        <v>91500</v>
      </c>
      <c r="J95" s="57"/>
      <c r="K95" s="66">
        <v>91500</v>
      </c>
      <c r="L95" s="57"/>
      <c r="M95" s="66">
        <v>80000</v>
      </c>
    </row>
    <row r="96" spans="1:13">
      <c r="A96" s="43" t="s">
        <v>152</v>
      </c>
      <c r="B96" s="45" t="s">
        <v>153</v>
      </c>
      <c r="C96" s="52"/>
      <c r="D96" s="57"/>
      <c r="E96" s="64">
        <v>482000</v>
      </c>
      <c r="F96" s="57"/>
      <c r="G96" s="64">
        <v>172000</v>
      </c>
      <c r="H96" s="57"/>
      <c r="I96" s="63">
        <f>K96-G96</f>
        <v>374000</v>
      </c>
      <c r="J96" s="57"/>
      <c r="K96" s="66">
        <v>546000</v>
      </c>
      <c r="L96" s="57"/>
      <c r="M96" s="66">
        <v>450000</v>
      </c>
    </row>
    <row r="97" spans="1:13">
      <c r="A97" s="43" t="s">
        <v>154</v>
      </c>
      <c r="B97" s="45" t="s">
        <v>155</v>
      </c>
      <c r="C97" s="52"/>
      <c r="D97" s="57"/>
      <c r="E97" s="64">
        <v>8610302.75</v>
      </c>
      <c r="F97" s="57"/>
      <c r="G97" s="64">
        <v>4088135.5</v>
      </c>
      <c r="H97" s="57"/>
      <c r="I97" s="63">
        <f>K97-G97</f>
        <v>3322504.5</v>
      </c>
      <c r="J97" s="57"/>
      <c r="K97" s="66">
        <v>7410640</v>
      </c>
      <c r="L97" s="57"/>
      <c r="M97" s="66">
        <v>8200000</v>
      </c>
    </row>
    <row r="98" spans="1:13">
      <c r="A98" s="43" t="s">
        <v>156</v>
      </c>
      <c r="B98" s="45" t="s">
        <v>157</v>
      </c>
      <c r="C98" s="52"/>
      <c r="D98" s="57"/>
      <c r="E98" s="64">
        <v>114224</v>
      </c>
      <c r="F98" s="57"/>
      <c r="G98" s="64">
        <v>73710</v>
      </c>
      <c r="H98" s="57"/>
      <c r="I98" s="63">
        <f>K98-G98</f>
        <v>203740</v>
      </c>
      <c r="J98" s="57"/>
      <c r="K98" s="66">
        <v>277450</v>
      </c>
      <c r="L98" s="57"/>
      <c r="M98" s="66">
        <v>449500</v>
      </c>
    </row>
    <row r="99" spans="1:13">
      <c r="A99" s="43" t="s">
        <v>158</v>
      </c>
      <c r="B99" s="45" t="s">
        <v>159</v>
      </c>
      <c r="C99" s="52"/>
      <c r="D99" s="57"/>
      <c r="E99" s="64">
        <v>913496</v>
      </c>
      <c r="F99" s="57"/>
      <c r="G99" s="64">
        <v>533455</v>
      </c>
      <c r="H99" s="57"/>
      <c r="I99" s="63">
        <f>K99-G99</f>
        <v>286545</v>
      </c>
      <c r="J99" s="57"/>
      <c r="K99" s="66">
        <v>820000</v>
      </c>
      <c r="L99" s="57"/>
      <c r="M99" s="66">
        <v>900000</v>
      </c>
    </row>
    <row r="100" spans="1:13">
      <c r="A100" s="43" t="s">
        <v>160</v>
      </c>
      <c r="B100" s="45" t="s">
        <v>161</v>
      </c>
      <c r="C100" s="52"/>
      <c r="D100" s="57"/>
      <c r="E100" s="64">
        <v>0</v>
      </c>
      <c r="F100" s="57"/>
      <c r="G100" s="64">
        <v>0</v>
      </c>
      <c r="H100" s="57"/>
      <c r="I100" s="63">
        <f>K100-G100</f>
        <v>150000</v>
      </c>
      <c r="J100" s="57"/>
      <c r="K100" s="66">
        <v>150000</v>
      </c>
      <c r="L100" s="57"/>
      <c r="M100" s="66">
        <v>402600</v>
      </c>
    </row>
    <row r="101" spans="1:13">
      <c r="A101" s="43" t="s">
        <v>162</v>
      </c>
      <c r="B101" s="45" t="s">
        <v>163</v>
      </c>
      <c r="C101" s="52"/>
      <c r="D101" s="57"/>
      <c r="E101" s="64">
        <v>165682.5</v>
      </c>
      <c r="F101" s="57"/>
      <c r="G101" s="64">
        <v>164272.5</v>
      </c>
      <c r="H101" s="57"/>
      <c r="I101" s="63">
        <f>K101-G101</f>
        <v>26647.5</v>
      </c>
      <c r="J101" s="57"/>
      <c r="K101" s="66">
        <v>190920</v>
      </c>
      <c r="L101" s="57"/>
      <c r="M101" s="66">
        <v>180920</v>
      </c>
    </row>
    <row r="102" spans="1:13">
      <c r="A102" s="43" t="s">
        <v>164</v>
      </c>
      <c r="B102" s="45" t="s">
        <v>165</v>
      </c>
      <c r="C102" s="52"/>
      <c r="D102" s="57"/>
      <c r="E102" s="64">
        <v>150000</v>
      </c>
      <c r="F102" s="57"/>
      <c r="G102" s="64">
        <v>70389.33</v>
      </c>
      <c r="H102" s="57"/>
      <c r="I102" s="63">
        <f>K102-G102</f>
        <v>109610.67</v>
      </c>
      <c r="J102" s="57"/>
      <c r="K102" s="66">
        <v>180000</v>
      </c>
      <c r="L102" s="57"/>
      <c r="M102" s="66">
        <v>530000</v>
      </c>
    </row>
    <row r="103" spans="1:13">
      <c r="A103" s="43" t="s">
        <v>166</v>
      </c>
      <c r="B103" s="45" t="s">
        <v>167</v>
      </c>
      <c r="C103" s="52"/>
      <c r="D103" s="57"/>
      <c r="E103" s="64">
        <v>25000</v>
      </c>
      <c r="F103" s="57"/>
      <c r="G103" s="64">
        <v>30000</v>
      </c>
      <c r="H103" s="57"/>
      <c r="I103" s="63">
        <f>K103-G103</f>
        <v>0</v>
      </c>
      <c r="J103" s="57"/>
      <c r="K103" s="66">
        <v>30000</v>
      </c>
      <c r="L103" s="57"/>
      <c r="M103" s="66">
        <v>100000</v>
      </c>
    </row>
    <row r="104" spans="1:13">
      <c r="A104" s="43" t="s">
        <v>168</v>
      </c>
      <c r="B104" s="45"/>
      <c r="C104" s="52"/>
      <c r="D104" s="57"/>
      <c r="E104" s="64"/>
      <c r="F104" s="57"/>
      <c r="G104" s="64"/>
      <c r="H104" s="57"/>
      <c r="I104" s="63"/>
      <c r="J104" s="57"/>
      <c r="K104" s="66">
        <v>100000</v>
      </c>
      <c r="L104" s="57"/>
      <c r="M104" s="66">
        <v>200000</v>
      </c>
    </row>
    <row r="105" spans="1:13">
      <c r="A105" s="43" t="s">
        <v>169</v>
      </c>
      <c r="B105" s="45" t="s">
        <v>170</v>
      </c>
      <c r="C105" s="52"/>
      <c r="D105" s="49"/>
      <c r="E105" s="64">
        <v>4936756.79</v>
      </c>
      <c r="F105" s="57"/>
      <c r="G105" s="64">
        <v>2747201.56</v>
      </c>
      <c r="H105" s="49"/>
      <c r="I105" s="63">
        <f>K105-G105</f>
        <v>1122838.73</v>
      </c>
      <c r="J105" s="57"/>
      <c r="K105" s="66">
        <v>3870040.29</v>
      </c>
      <c r="L105" s="57"/>
      <c r="M105" s="66">
        <v>6144558.26</v>
      </c>
    </row>
    <row r="106" spans="1:13">
      <c r="A106" s="43" t="s">
        <v>171</v>
      </c>
      <c r="B106" s="45" t="s">
        <v>172</v>
      </c>
      <c r="C106" s="52"/>
      <c r="D106" s="49"/>
      <c r="E106" s="64">
        <v>887040</v>
      </c>
      <c r="F106" s="49"/>
      <c r="G106" s="64">
        <v>443520</v>
      </c>
      <c r="H106" s="49"/>
      <c r="I106" s="63">
        <f>K106-G106</f>
        <v>443520</v>
      </c>
      <c r="J106" s="49"/>
      <c r="K106" s="66">
        <v>887040</v>
      </c>
      <c r="L106" s="57"/>
      <c r="M106" s="66">
        <v>940000</v>
      </c>
    </row>
    <row r="107" spans="1:13">
      <c r="A107" s="43" t="s">
        <v>173</v>
      </c>
      <c r="B107" s="45" t="s">
        <v>174</v>
      </c>
      <c r="C107" s="52"/>
      <c r="D107" s="49"/>
      <c r="E107" s="117">
        <v>1254000</v>
      </c>
      <c r="F107" s="49"/>
      <c r="G107" s="117">
        <v>635500</v>
      </c>
      <c r="H107" s="49"/>
      <c r="I107" s="63">
        <f>K107-G107</f>
        <v>364500</v>
      </c>
      <c r="J107" s="49"/>
      <c r="K107" s="118">
        <v>1000000</v>
      </c>
      <c r="L107" s="57"/>
      <c r="M107" s="118">
        <v>1000000</v>
      </c>
    </row>
    <row r="108" spans="1:13">
      <c r="A108" s="43" t="s">
        <v>175</v>
      </c>
      <c r="B108" s="45" t="s">
        <v>176</v>
      </c>
      <c r="C108" s="52"/>
      <c r="D108" s="49"/>
      <c r="E108" s="64">
        <v>193207</v>
      </c>
      <c r="F108" s="49"/>
      <c r="G108" s="64">
        <v>0</v>
      </c>
      <c r="H108" s="49"/>
      <c r="I108" s="63">
        <f>K108-G108</f>
        <v>500000</v>
      </c>
      <c r="J108" s="49"/>
      <c r="K108" s="66">
        <v>500000</v>
      </c>
      <c r="L108" s="57"/>
      <c r="M108" s="66">
        <v>0</v>
      </c>
    </row>
    <row r="109" spans="1:13">
      <c r="A109" s="43" t="s">
        <v>177</v>
      </c>
      <c r="B109" s="45" t="s">
        <v>178</v>
      </c>
      <c r="C109" s="52"/>
      <c r="D109" s="49"/>
      <c r="E109" s="64">
        <v>100000</v>
      </c>
      <c r="F109" s="49"/>
      <c r="G109" s="64">
        <v>5400</v>
      </c>
      <c r="H109" s="49"/>
      <c r="I109" s="63">
        <f>K109-G109</f>
        <v>94600</v>
      </c>
      <c r="J109" s="49"/>
      <c r="K109" s="66">
        <v>100000</v>
      </c>
      <c r="L109" s="57"/>
      <c r="M109" s="66">
        <v>300000</v>
      </c>
    </row>
    <row r="110" spans="1:13">
      <c r="A110" s="43" t="s">
        <v>179</v>
      </c>
      <c r="B110" s="45" t="s">
        <v>180</v>
      </c>
      <c r="C110" s="52"/>
      <c r="D110" s="49"/>
      <c r="E110" s="64">
        <v>25794</v>
      </c>
      <c r="F110" s="49"/>
      <c r="G110" s="64">
        <v>0</v>
      </c>
      <c r="H110" s="49"/>
      <c r="I110" s="63">
        <f>K110-G110</f>
        <v>100000</v>
      </c>
      <c r="J110" s="49"/>
      <c r="K110" s="66">
        <v>100000</v>
      </c>
      <c r="L110" s="57"/>
      <c r="M110" s="66">
        <v>0</v>
      </c>
    </row>
    <row r="111" spans="1:13">
      <c r="A111" s="43" t="s">
        <v>181</v>
      </c>
      <c r="B111" s="45" t="s">
        <v>182</v>
      </c>
      <c r="C111" s="52"/>
      <c r="D111" s="49"/>
      <c r="E111" s="64">
        <v>0</v>
      </c>
      <c r="F111" s="49"/>
      <c r="G111" s="64">
        <v>0</v>
      </c>
      <c r="H111" s="49"/>
      <c r="I111" s="63">
        <f>K111-G111</f>
        <v>150000</v>
      </c>
      <c r="J111" s="49"/>
      <c r="K111" s="66">
        <v>150000</v>
      </c>
      <c r="L111" s="57"/>
      <c r="M111" s="66">
        <v>0</v>
      </c>
    </row>
    <row r="112" spans="1:13">
      <c r="A112" s="43" t="s">
        <v>183</v>
      </c>
      <c r="B112" s="45" t="s">
        <v>184</v>
      </c>
      <c r="C112" s="52"/>
      <c r="D112" s="49"/>
      <c r="E112" s="64">
        <v>0</v>
      </c>
      <c r="F112" s="49"/>
      <c r="G112" s="64">
        <v>0</v>
      </c>
      <c r="H112" s="49"/>
      <c r="I112" s="63">
        <f>K112-G112</f>
        <v>10000</v>
      </c>
      <c r="J112" s="49"/>
      <c r="K112" s="66">
        <v>10000</v>
      </c>
      <c r="L112" s="57"/>
      <c r="M112" s="66">
        <v>0</v>
      </c>
    </row>
    <row r="113" spans="1:13" customHeight="1" ht="15.75">
      <c r="A113" s="43" t="s">
        <v>185</v>
      </c>
      <c r="B113" s="45" t="s">
        <v>186</v>
      </c>
      <c r="C113" s="52"/>
      <c r="D113" s="49"/>
      <c r="E113" s="64">
        <v>0</v>
      </c>
      <c r="F113" s="49"/>
      <c r="G113" s="64">
        <v>72900</v>
      </c>
      <c r="H113" s="49"/>
      <c r="I113" s="63">
        <f>K113-G113</f>
        <v>27100</v>
      </c>
      <c r="J113" s="49"/>
      <c r="K113" s="66">
        <v>100000</v>
      </c>
      <c r="L113" s="57"/>
      <c r="M113" s="66">
        <v>100000</v>
      </c>
    </row>
    <row r="114" spans="1:13" customHeight="1" ht="15.75">
      <c r="A114" s="119" t="s">
        <v>187</v>
      </c>
      <c r="B114" s="115"/>
      <c r="C114" s="115"/>
      <c r="D114" s="84" t="s">
        <v>23</v>
      </c>
      <c r="E114" s="77">
        <f>SUM(E81:E113)</f>
        <v>38331779.06</v>
      </c>
      <c r="F114" s="85" t="s">
        <v>23</v>
      </c>
      <c r="G114" s="77">
        <f>SUM(G81:G113)</f>
        <v>19763137.51</v>
      </c>
      <c r="H114" s="85" t="s">
        <v>23</v>
      </c>
      <c r="I114" s="77">
        <f>SUM(I81:I113)</f>
        <v>16624266.38</v>
      </c>
      <c r="J114" s="85" t="s">
        <v>23</v>
      </c>
      <c r="K114" s="77">
        <f>SUM(K81:K113)</f>
        <v>36487403.89</v>
      </c>
      <c r="L114" s="85" t="s">
        <v>23</v>
      </c>
      <c r="M114" s="77">
        <f>SUM(M81:M113)</f>
        <v>41943665.32</v>
      </c>
    </row>
    <row r="115" spans="1:13" customHeight="1" ht="15.75">
      <c r="A115" s="120"/>
      <c r="B115" s="57"/>
      <c r="C115" s="57"/>
      <c r="D115" s="72"/>
      <c r="E115" s="121"/>
      <c r="F115" s="72"/>
      <c r="G115" s="121"/>
      <c r="H115" s="72"/>
      <c r="I115" s="121"/>
      <c r="J115" s="72"/>
      <c r="K115" s="121"/>
      <c r="L115" s="72"/>
      <c r="M115" s="121"/>
    </row>
    <row r="116" spans="1:13">
      <c r="A116" s="4" t="s">
        <v>4</v>
      </c>
      <c r="B116" s="5"/>
      <c r="C116" s="6" t="s">
        <v>5</v>
      </c>
      <c r="D116" s="88" t="s">
        <v>6</v>
      </c>
      <c r="E116" s="89"/>
      <c r="F116" s="90" t="s">
        <v>7</v>
      </c>
      <c r="G116" s="91"/>
      <c r="H116" s="91"/>
      <c r="I116" s="91"/>
      <c r="J116" s="91"/>
      <c r="K116" s="92"/>
      <c r="L116" s="93" t="s">
        <v>8</v>
      </c>
      <c r="M116" s="94"/>
    </row>
    <row r="117" spans="1:13">
      <c r="A117" s="14"/>
      <c r="B117" s="15" t="s">
        <v>9</v>
      </c>
      <c r="C117" s="16" t="s">
        <v>10</v>
      </c>
      <c r="D117" s="95">
        <v>2023</v>
      </c>
      <c r="E117" s="96"/>
      <c r="F117" s="19" t="s">
        <v>11</v>
      </c>
      <c r="G117" s="20"/>
      <c r="H117" s="21" t="s">
        <v>12</v>
      </c>
      <c r="I117" s="22"/>
      <c r="J117" s="23" t="s">
        <v>13</v>
      </c>
      <c r="K117" s="24"/>
      <c r="L117" s="97">
        <v>2025</v>
      </c>
      <c r="M117" s="98"/>
    </row>
    <row r="118" spans="1:13" customHeight="1" ht="15.75">
      <c r="A118" s="27"/>
      <c r="B118" s="28" t="s">
        <v>14</v>
      </c>
      <c r="C118" s="29" t="s">
        <v>15</v>
      </c>
      <c r="D118" s="32" t="s">
        <v>16</v>
      </c>
      <c r="E118" s="33"/>
      <c r="F118" s="32" t="s">
        <v>17</v>
      </c>
      <c r="G118" s="33"/>
      <c r="H118" s="32" t="s">
        <v>18</v>
      </c>
      <c r="I118" s="33"/>
      <c r="J118" s="34"/>
      <c r="K118" s="35"/>
      <c r="L118" s="99" t="s">
        <v>19</v>
      </c>
      <c r="M118" s="100"/>
    </row>
    <row r="119" spans="1:13">
      <c r="A119" s="43" t="s">
        <v>188</v>
      </c>
      <c r="B119" s="45" t="s">
        <v>189</v>
      </c>
      <c r="C119" s="52"/>
      <c r="D119" s="49"/>
      <c r="E119" s="64">
        <v>50360</v>
      </c>
      <c r="F119" s="49"/>
      <c r="G119" s="64">
        <v>0</v>
      </c>
      <c r="H119" s="49"/>
      <c r="I119" s="63">
        <f>K119-G119</f>
        <v>20000</v>
      </c>
      <c r="J119" s="49"/>
      <c r="K119" s="66">
        <v>20000</v>
      </c>
      <c r="L119" s="57"/>
      <c r="M119" s="66">
        <v>30000</v>
      </c>
    </row>
    <row r="120" spans="1:13">
      <c r="A120" s="43" t="s">
        <v>190</v>
      </c>
      <c r="B120" s="45" t="s">
        <v>191</v>
      </c>
      <c r="C120" s="52"/>
      <c r="D120" s="49"/>
      <c r="E120" s="117">
        <v>89775</v>
      </c>
      <c r="F120" s="49"/>
      <c r="G120" s="117">
        <v>0</v>
      </c>
      <c r="H120" s="49"/>
      <c r="I120" s="63">
        <f>K120-G120</f>
        <v>90000</v>
      </c>
      <c r="J120" s="49"/>
      <c r="K120" s="118">
        <v>90000</v>
      </c>
      <c r="L120" s="57"/>
      <c r="M120" s="118">
        <v>120000</v>
      </c>
    </row>
    <row r="121" spans="1:13">
      <c r="A121" s="43" t="s">
        <v>192</v>
      </c>
      <c r="B121" s="45" t="s">
        <v>193</v>
      </c>
      <c r="C121" s="52"/>
      <c r="D121" s="49"/>
      <c r="E121" s="64">
        <v>999635</v>
      </c>
      <c r="F121" s="49"/>
      <c r="G121" s="64">
        <v>0</v>
      </c>
      <c r="H121" s="49"/>
      <c r="I121" s="63">
        <f>K121-G121</f>
        <v>700000</v>
      </c>
      <c r="J121" s="49"/>
      <c r="K121" s="66">
        <v>700000</v>
      </c>
      <c r="L121" s="57"/>
      <c r="M121" s="66">
        <v>900000</v>
      </c>
    </row>
    <row r="122" spans="1:13">
      <c r="A122" s="43" t="s">
        <v>194</v>
      </c>
      <c r="B122" s="45" t="s">
        <v>195</v>
      </c>
      <c r="C122" s="52"/>
      <c r="D122" s="49"/>
      <c r="E122" s="64">
        <v>494568.76</v>
      </c>
      <c r="F122" s="49"/>
      <c r="G122" s="64">
        <v>0</v>
      </c>
      <c r="H122" s="49"/>
      <c r="I122" s="63">
        <f>K122-G122</f>
        <v>269700</v>
      </c>
      <c r="J122" s="49"/>
      <c r="K122" s="66">
        <v>269700</v>
      </c>
      <c r="L122" s="57"/>
      <c r="M122" s="66">
        <v>500000</v>
      </c>
    </row>
    <row r="123" spans="1:13">
      <c r="A123" s="43" t="s">
        <v>196</v>
      </c>
      <c r="B123" s="45" t="s">
        <v>197</v>
      </c>
      <c r="C123" s="52"/>
      <c r="D123" s="49"/>
      <c r="E123" s="64">
        <v>2099464</v>
      </c>
      <c r="F123" s="49"/>
      <c r="G123" s="64">
        <v>0</v>
      </c>
      <c r="H123" s="49"/>
      <c r="I123" s="63">
        <f>K123-G123</f>
        <v>1100000</v>
      </c>
      <c r="J123" s="49"/>
      <c r="K123" s="66">
        <v>1100000</v>
      </c>
      <c r="L123" s="57"/>
      <c r="M123" s="66">
        <v>1200000</v>
      </c>
    </row>
    <row r="124" spans="1:13" customHeight="1" ht="15.75">
      <c r="A124" s="43" t="s">
        <v>198</v>
      </c>
      <c r="B124" s="45" t="s">
        <v>199</v>
      </c>
      <c r="C124" s="52"/>
      <c r="D124" s="49"/>
      <c r="E124" s="117">
        <v>237000</v>
      </c>
      <c r="F124" s="49"/>
      <c r="G124" s="117">
        <v>0</v>
      </c>
      <c r="H124" s="49"/>
      <c r="I124" s="63">
        <f>K124-G124</f>
        <v>0</v>
      </c>
      <c r="J124" s="49"/>
      <c r="K124" s="118">
        <v>0</v>
      </c>
      <c r="L124" s="57"/>
      <c r="M124" s="118">
        <v>0</v>
      </c>
    </row>
    <row r="125" spans="1:13" customHeight="1" ht="15.75">
      <c r="A125" s="122" t="s">
        <v>187</v>
      </c>
      <c r="B125" s="45"/>
      <c r="C125" s="52"/>
      <c r="D125" s="84" t="s">
        <v>23</v>
      </c>
      <c r="E125" s="77">
        <f>SUM(E119:E124)</f>
        <v>3970802.76</v>
      </c>
      <c r="F125" s="84" t="s">
        <v>23</v>
      </c>
      <c r="G125" s="77">
        <f>SUM(G119:G124)</f>
        <v>0</v>
      </c>
      <c r="H125" s="84" t="s">
        <v>23</v>
      </c>
      <c r="I125" s="77">
        <f>SUM(I119:I124)</f>
        <v>2179700</v>
      </c>
      <c r="J125" s="84" t="s">
        <v>23</v>
      </c>
      <c r="K125" s="77">
        <f>SUM(K119:K124)</f>
        <v>2179700</v>
      </c>
      <c r="L125" s="84" t="s">
        <v>23</v>
      </c>
      <c r="M125" s="78">
        <f>SUM(M119:M124)</f>
        <v>2750000</v>
      </c>
    </row>
    <row r="126" spans="1:13" customHeight="1" ht="15.75">
      <c r="A126" s="79" t="s">
        <v>200</v>
      </c>
      <c r="B126" s="115"/>
      <c r="C126" s="115"/>
      <c r="D126" s="84" t="s">
        <v>23</v>
      </c>
      <c r="E126" s="71">
        <f>E114+E125</f>
        <v>42302581.82</v>
      </c>
      <c r="F126" s="84" t="s">
        <v>23</v>
      </c>
      <c r="G126" s="71">
        <f>G114+G125</f>
        <v>19763137.51</v>
      </c>
      <c r="H126" s="84" t="s">
        <v>23</v>
      </c>
      <c r="I126" s="71">
        <f>I114+I125</f>
        <v>18803966.38</v>
      </c>
      <c r="J126" s="84" t="s">
        <v>23</v>
      </c>
      <c r="K126" s="71">
        <f>K114+K125</f>
        <v>38667103.89</v>
      </c>
      <c r="L126" s="84" t="s">
        <v>23</v>
      </c>
      <c r="M126" s="73">
        <f>M114+M125</f>
        <v>44693665.32</v>
      </c>
    </row>
    <row r="127" spans="1:13">
      <c r="A127" s="51" t="s">
        <v>201</v>
      </c>
      <c r="B127" s="52"/>
      <c r="C127" s="52" t="s">
        <v>81</v>
      </c>
      <c r="D127" s="49"/>
      <c r="E127" s="47"/>
      <c r="F127" s="49"/>
      <c r="G127" s="47"/>
      <c r="H127" s="49"/>
      <c r="I127" s="47"/>
      <c r="J127" s="49"/>
      <c r="K127" s="47"/>
      <c r="L127" s="49"/>
      <c r="M127" s="50"/>
    </row>
    <row r="128" spans="1:13">
      <c r="A128" s="43" t="s">
        <v>202</v>
      </c>
      <c r="B128" s="45" t="s">
        <v>203</v>
      </c>
      <c r="C128" s="52"/>
      <c r="D128" s="49" t="s">
        <v>23</v>
      </c>
      <c r="E128" s="63">
        <v>0</v>
      </c>
      <c r="F128" s="49" t="s">
        <v>23</v>
      </c>
      <c r="G128" s="63">
        <v>0</v>
      </c>
      <c r="H128" s="49" t="s">
        <v>23</v>
      </c>
      <c r="I128" s="63">
        <f>K128-G128</f>
        <v>0</v>
      </c>
      <c r="J128" s="49" t="s">
        <v>23</v>
      </c>
      <c r="K128" s="68">
        <v>0</v>
      </c>
      <c r="L128" s="57" t="s">
        <v>23</v>
      </c>
      <c r="M128" s="68">
        <v>400000</v>
      </c>
    </row>
    <row r="129" spans="1:13" customHeight="1" ht="24.75">
      <c r="A129" s="123" t="s">
        <v>204</v>
      </c>
      <c r="B129" s="45" t="s">
        <v>205</v>
      </c>
      <c r="C129" s="52"/>
      <c r="D129" s="49"/>
      <c r="E129" s="63">
        <v>0</v>
      </c>
      <c r="F129" s="49"/>
      <c r="G129" s="63">
        <v>0</v>
      </c>
      <c r="H129" s="49"/>
      <c r="I129" s="63">
        <f>K129-G129</f>
        <v>0</v>
      </c>
      <c r="J129" s="49"/>
      <c r="K129" s="68">
        <v>0</v>
      </c>
      <c r="L129" s="57"/>
      <c r="M129" s="68">
        <v>1800000</v>
      </c>
    </row>
    <row r="130" spans="1:13">
      <c r="A130" s="43" t="s">
        <v>206</v>
      </c>
      <c r="B130" s="45" t="s">
        <v>207</v>
      </c>
      <c r="C130" s="52"/>
      <c r="D130" s="49"/>
      <c r="E130" s="63"/>
      <c r="F130" s="49"/>
      <c r="G130" s="63"/>
      <c r="H130" s="49"/>
      <c r="I130" s="63"/>
      <c r="J130" s="49"/>
      <c r="K130" s="68">
        <v>400000</v>
      </c>
      <c r="L130" s="57"/>
      <c r="M130" s="68"/>
    </row>
    <row r="131" spans="1:13">
      <c r="A131" s="43" t="s">
        <v>208</v>
      </c>
      <c r="B131" s="45" t="s">
        <v>209</v>
      </c>
      <c r="C131" s="52"/>
      <c r="D131" s="49"/>
      <c r="E131" s="63">
        <v>2461439</v>
      </c>
      <c r="F131" s="49"/>
      <c r="G131" s="63">
        <v>596253.4</v>
      </c>
      <c r="H131" s="49"/>
      <c r="I131" s="63">
        <f>K131-G131</f>
        <v>818746.6</v>
      </c>
      <c r="J131" s="49"/>
      <c r="K131" s="68">
        <v>1415000</v>
      </c>
      <c r="L131" s="57"/>
      <c r="M131" s="68">
        <f>2451250+100000</f>
        <v>2551250</v>
      </c>
    </row>
    <row r="132" spans="1:13">
      <c r="A132" s="43" t="s">
        <v>210</v>
      </c>
      <c r="B132" s="45" t="s">
        <v>211</v>
      </c>
      <c r="C132" s="52"/>
      <c r="D132" s="49"/>
      <c r="E132" s="64">
        <v>416720</v>
      </c>
      <c r="F132" s="49"/>
      <c r="G132" s="64">
        <v>0</v>
      </c>
      <c r="H132" s="49"/>
      <c r="I132" s="63">
        <f>K132-G132</f>
        <v>0</v>
      </c>
      <c r="J132" s="49"/>
      <c r="K132" s="66">
        <v>0</v>
      </c>
      <c r="L132" s="57"/>
      <c r="M132" s="66">
        <v>0</v>
      </c>
    </row>
    <row r="133" spans="1:13" customHeight="1" ht="15.75">
      <c r="A133" s="43" t="s">
        <v>212</v>
      </c>
      <c r="B133" s="45" t="s">
        <v>213</v>
      </c>
      <c r="C133" s="52"/>
      <c r="D133" s="49"/>
      <c r="E133" s="103">
        <v>0</v>
      </c>
      <c r="F133" s="49"/>
      <c r="G133" s="103">
        <v>0</v>
      </c>
      <c r="H133" s="49"/>
      <c r="I133" s="63">
        <f>K133-G133</f>
        <v>1400000</v>
      </c>
      <c r="J133" s="49"/>
      <c r="K133" s="104">
        <v>1400000</v>
      </c>
      <c r="L133" s="57"/>
      <c r="M133" s="104">
        <v>0</v>
      </c>
    </row>
    <row r="134" spans="1:13" customHeight="1" ht="15.75">
      <c r="A134" s="51" t="s">
        <v>214</v>
      </c>
      <c r="B134" s="45"/>
      <c r="C134" s="52"/>
      <c r="D134" s="53" t="s">
        <v>23</v>
      </c>
      <c r="E134" s="77">
        <f>SUM(E128:E133)</f>
        <v>2878159</v>
      </c>
      <c r="F134" s="53" t="s">
        <v>23</v>
      </c>
      <c r="G134" s="77">
        <f>SUM(G128:G133)</f>
        <v>596253.4</v>
      </c>
      <c r="H134" s="53" t="s">
        <v>23</v>
      </c>
      <c r="I134" s="77">
        <f>SUM(I128:I133)</f>
        <v>2218746.6</v>
      </c>
      <c r="J134" s="53" t="s">
        <v>23</v>
      </c>
      <c r="K134" s="77">
        <f>SUM(K128:K133)</f>
        <v>3215000</v>
      </c>
      <c r="L134" s="53" t="s">
        <v>23</v>
      </c>
      <c r="M134" s="78">
        <f>SUM(M128:M133)</f>
        <v>4751250</v>
      </c>
    </row>
    <row r="135" spans="1:13">
      <c r="A135" s="51" t="s">
        <v>215</v>
      </c>
      <c r="B135" s="45"/>
      <c r="C135" s="52"/>
      <c r="D135" s="57"/>
      <c r="E135" s="47"/>
      <c r="F135" s="57"/>
      <c r="G135" s="47"/>
      <c r="H135" s="57"/>
      <c r="I135" s="47"/>
      <c r="J135" s="57"/>
      <c r="K135" s="47"/>
      <c r="L135" s="57"/>
      <c r="M135" s="50"/>
    </row>
    <row r="136" spans="1:13">
      <c r="A136" s="43" t="s">
        <v>216</v>
      </c>
      <c r="B136" s="45">
        <v>8919</v>
      </c>
      <c r="C136" s="52"/>
      <c r="D136" s="57" t="s">
        <v>23</v>
      </c>
      <c r="E136" s="47">
        <v>26543516.63</v>
      </c>
      <c r="F136" s="57" t="s">
        <v>23</v>
      </c>
      <c r="G136" s="47">
        <v>10832482.91</v>
      </c>
      <c r="H136" s="57" t="s">
        <v>23</v>
      </c>
      <c r="I136" s="63">
        <f>K136-G136</f>
        <v>18115049.69</v>
      </c>
      <c r="J136" s="57" t="s">
        <v>23</v>
      </c>
      <c r="K136" s="50">
        <v>28947532.6</v>
      </c>
      <c r="L136" s="57" t="s">
        <v>23</v>
      </c>
      <c r="M136" s="50">
        <v>34458787.24</v>
      </c>
    </row>
    <row r="137" spans="1:13">
      <c r="A137" s="43" t="s">
        <v>217</v>
      </c>
      <c r="B137" s="45">
        <v>9998</v>
      </c>
      <c r="C137" s="52"/>
      <c r="D137" s="57"/>
      <c r="E137" s="64">
        <v>5055122.27</v>
      </c>
      <c r="F137" s="57"/>
      <c r="G137" s="64">
        <v>550907.5</v>
      </c>
      <c r="H137" s="57"/>
      <c r="I137" s="63">
        <f>K137-G137</f>
        <v>7160525.65</v>
      </c>
      <c r="J137" s="57"/>
      <c r="K137" s="66">
        <v>7711433.15</v>
      </c>
      <c r="L137" s="57"/>
      <c r="M137" s="66">
        <f>M53*0.05</f>
        <v>9274403.7</v>
      </c>
    </row>
    <row r="138" spans="1:13">
      <c r="A138" s="101" t="s">
        <v>218</v>
      </c>
      <c r="B138" s="45" t="s">
        <v>219</v>
      </c>
      <c r="C138" s="52"/>
      <c r="D138" s="57"/>
      <c r="E138" s="64">
        <v>1273086.45</v>
      </c>
      <c r="F138" s="57"/>
      <c r="G138" s="64">
        <v>250300</v>
      </c>
      <c r="H138" s="57"/>
      <c r="I138" s="63">
        <f>K138-G138</f>
        <v>1197076.63</v>
      </c>
      <c r="J138" s="57"/>
      <c r="K138" s="118">
        <v>1447376.63</v>
      </c>
      <c r="L138" s="57"/>
      <c r="M138" s="118">
        <f>M45*0.01</f>
        <v>1719970.74</v>
      </c>
    </row>
    <row r="139" spans="1:13" customHeight="1" ht="15.75">
      <c r="A139" s="43" t="s">
        <v>220</v>
      </c>
      <c r="B139" s="45" t="s">
        <v>221</v>
      </c>
      <c r="C139" s="52"/>
      <c r="D139" s="57"/>
      <c r="E139" s="69">
        <v>450000</v>
      </c>
      <c r="F139" s="57"/>
      <c r="G139" s="69">
        <v>0</v>
      </c>
      <c r="H139" s="57"/>
      <c r="I139" s="63">
        <f>K139-G139</f>
        <v>450000</v>
      </c>
      <c r="J139" s="57"/>
      <c r="K139" s="56">
        <v>450000</v>
      </c>
      <c r="L139" s="57"/>
      <c r="M139" s="56">
        <v>450000</v>
      </c>
    </row>
    <row r="140" spans="1:13" customHeight="1" ht="15.75">
      <c r="A140" s="79" t="s">
        <v>222</v>
      </c>
      <c r="B140" s="115"/>
      <c r="C140" s="115"/>
      <c r="D140" s="85" t="s">
        <v>23</v>
      </c>
      <c r="E140" s="77">
        <f>SUM(E136:E139)</f>
        <v>33321725.35</v>
      </c>
      <c r="F140" s="85" t="s">
        <v>23</v>
      </c>
      <c r="G140" s="77">
        <f>SUM(G136:G139)</f>
        <v>11633690.41</v>
      </c>
      <c r="H140" s="85" t="s">
        <v>23</v>
      </c>
      <c r="I140" s="77">
        <f>SUM(I136:I139)</f>
        <v>26922651.97</v>
      </c>
      <c r="J140" s="85" t="s">
        <v>23</v>
      </c>
      <c r="K140" s="77">
        <f>SUM(K136:K139)</f>
        <v>38556342.38</v>
      </c>
      <c r="L140" s="85" t="s">
        <v>23</v>
      </c>
      <c r="M140" s="78">
        <f>SUM(M136:M139)</f>
        <v>45903161.68</v>
      </c>
    </row>
    <row r="141" spans="1:13">
      <c r="A141" s="72"/>
      <c r="B141" s="57"/>
      <c r="C141" s="57"/>
      <c r="D141" s="72"/>
      <c r="E141" s="121"/>
      <c r="F141" s="72"/>
      <c r="G141" s="121"/>
      <c r="H141" s="72"/>
      <c r="I141" s="121"/>
      <c r="J141" s="72"/>
      <c r="K141" s="121"/>
      <c r="L141" s="72"/>
      <c r="M141" s="121"/>
    </row>
    <row r="142" spans="1:13">
      <c r="A142" s="72"/>
      <c r="B142" s="57"/>
      <c r="C142" s="57"/>
      <c r="D142" s="72"/>
      <c r="E142" s="121"/>
      <c r="F142" s="72"/>
      <c r="G142" s="121"/>
      <c r="H142" s="72"/>
      <c r="I142" s="121"/>
      <c r="J142" s="72"/>
      <c r="K142" s="121"/>
      <c r="L142" s="72"/>
      <c r="M142" s="121"/>
    </row>
    <row r="143" spans="1:13">
      <c r="A143" s="72"/>
      <c r="B143" s="57"/>
      <c r="C143" s="57"/>
      <c r="D143" s="72"/>
      <c r="E143" s="121"/>
      <c r="F143" s="72"/>
      <c r="G143" s="121"/>
      <c r="H143" s="72"/>
      <c r="I143" s="121"/>
      <c r="J143" s="72"/>
      <c r="K143" s="121"/>
      <c r="L143" s="72"/>
      <c r="M143" s="121"/>
    </row>
    <row r="144" spans="1:13">
      <c r="A144" s="72"/>
      <c r="B144" s="57"/>
      <c r="C144" s="57"/>
      <c r="D144" s="72"/>
      <c r="E144" s="121"/>
      <c r="F144" s="72"/>
      <c r="G144" s="121"/>
      <c r="H144" s="72"/>
      <c r="I144" s="121"/>
      <c r="J144" s="72"/>
      <c r="K144" s="121"/>
      <c r="L144" s="72"/>
      <c r="M144" s="121"/>
    </row>
    <row r="145" spans="1:13">
      <c r="A145" s="72"/>
      <c r="B145" s="57"/>
      <c r="C145" s="57"/>
      <c r="D145" s="72"/>
      <c r="E145" s="121"/>
      <c r="F145" s="72"/>
      <c r="G145" s="121"/>
      <c r="H145" s="72"/>
      <c r="I145" s="121"/>
      <c r="J145" s="72"/>
      <c r="K145" s="121"/>
      <c r="L145" s="72"/>
      <c r="M145" s="121"/>
    </row>
    <row r="146" spans="1:13">
      <c r="A146" s="72"/>
      <c r="B146" s="57"/>
      <c r="C146" s="57"/>
      <c r="D146" s="72"/>
      <c r="E146" s="121"/>
      <c r="F146" s="72"/>
      <c r="G146" s="121"/>
      <c r="H146" s="72"/>
      <c r="I146" s="121"/>
      <c r="J146" s="72"/>
      <c r="K146" s="121"/>
      <c r="L146" s="72"/>
      <c r="M146" s="121"/>
    </row>
    <row r="147" spans="1:13">
      <c r="A147" s="72"/>
      <c r="B147" s="57"/>
      <c r="C147" s="57"/>
      <c r="D147" s="72"/>
      <c r="E147" s="121"/>
      <c r="F147" s="72"/>
      <c r="G147" s="121"/>
      <c r="H147" s="72"/>
      <c r="I147" s="121"/>
      <c r="J147" s="72"/>
      <c r="K147" s="121"/>
      <c r="L147" s="72"/>
      <c r="M147" s="121"/>
    </row>
    <row r="148" spans="1:13">
      <c r="A148" s="72"/>
      <c r="B148" s="57"/>
      <c r="C148" s="57"/>
      <c r="D148" s="72"/>
      <c r="E148" s="121"/>
      <c r="F148" s="72"/>
      <c r="G148" s="121"/>
      <c r="H148" s="72"/>
      <c r="I148" s="121"/>
      <c r="J148" s="72"/>
      <c r="K148" s="121"/>
      <c r="L148" s="72"/>
      <c r="M148" s="121"/>
    </row>
    <row r="149" spans="1:13">
      <c r="A149" s="72"/>
      <c r="B149" s="57"/>
      <c r="C149" s="57"/>
      <c r="D149" s="72"/>
      <c r="E149" s="121"/>
      <c r="F149" s="72"/>
      <c r="G149" s="121"/>
      <c r="H149" s="72"/>
      <c r="I149" s="121"/>
      <c r="J149" s="72"/>
      <c r="K149" s="121"/>
      <c r="L149" s="72"/>
      <c r="M149" s="121"/>
    </row>
    <row r="150" spans="1:13">
      <c r="A150" s="72"/>
      <c r="B150" s="57"/>
      <c r="C150" s="57"/>
      <c r="D150" s="72"/>
      <c r="E150" s="121"/>
      <c r="F150" s="72"/>
      <c r="G150" s="121"/>
      <c r="H150" s="72"/>
      <c r="I150" s="121"/>
      <c r="J150" s="72"/>
      <c r="K150" s="121"/>
      <c r="L150" s="72"/>
      <c r="M150" s="121"/>
    </row>
    <row r="151" spans="1:13">
      <c r="A151" s="72"/>
      <c r="B151" s="57"/>
      <c r="C151" s="57"/>
      <c r="D151" s="72"/>
      <c r="E151" s="121"/>
      <c r="F151" s="72"/>
      <c r="G151" s="121"/>
      <c r="H151" s="72"/>
      <c r="I151" s="121"/>
      <c r="J151" s="72"/>
      <c r="K151" s="121"/>
      <c r="L151" s="72"/>
      <c r="M151" s="121"/>
    </row>
    <row r="152" spans="1:13">
      <c r="A152" s="72"/>
      <c r="B152" s="57"/>
      <c r="C152" s="57"/>
      <c r="D152" s="72"/>
      <c r="E152" s="121"/>
      <c r="F152" s="72"/>
      <c r="G152" s="121"/>
      <c r="H152" s="72"/>
      <c r="I152" s="121"/>
      <c r="J152" s="72"/>
      <c r="K152" s="121"/>
      <c r="L152" s="72"/>
      <c r="M152" s="121"/>
    </row>
    <row r="153" spans="1:13" customHeight="1" ht="15.75">
      <c r="A153" s="72"/>
      <c r="B153" s="57"/>
      <c r="C153" s="57"/>
      <c r="D153" s="72"/>
      <c r="E153" s="121"/>
      <c r="F153" s="72"/>
      <c r="G153" s="121"/>
      <c r="H153" s="72"/>
      <c r="I153" s="121"/>
      <c r="J153" s="72"/>
      <c r="K153" s="121"/>
      <c r="L153" s="72"/>
      <c r="M153" s="121"/>
    </row>
    <row r="154" spans="1:13">
      <c r="A154" s="4" t="s">
        <v>4</v>
      </c>
      <c r="B154" s="5"/>
      <c r="C154" s="124" t="s">
        <v>5</v>
      </c>
      <c r="D154" s="88" t="s">
        <v>6</v>
      </c>
      <c r="E154" s="89"/>
      <c r="F154" s="90" t="s">
        <v>7</v>
      </c>
      <c r="G154" s="91"/>
      <c r="H154" s="91"/>
      <c r="I154" s="91"/>
      <c r="J154" s="91"/>
      <c r="K154" s="92"/>
      <c r="L154" s="93" t="s">
        <v>8</v>
      </c>
      <c r="M154" s="94"/>
    </row>
    <row r="155" spans="1:13">
      <c r="A155" s="14"/>
      <c r="B155" s="15" t="s">
        <v>9</v>
      </c>
      <c r="C155" s="15" t="s">
        <v>10</v>
      </c>
      <c r="D155" s="95">
        <v>2023</v>
      </c>
      <c r="E155" s="96"/>
      <c r="F155" s="19" t="s">
        <v>11</v>
      </c>
      <c r="G155" s="20"/>
      <c r="H155" s="21" t="s">
        <v>12</v>
      </c>
      <c r="I155" s="22"/>
      <c r="J155" s="23" t="s">
        <v>13</v>
      </c>
      <c r="K155" s="24"/>
      <c r="L155" s="97">
        <v>2025</v>
      </c>
      <c r="M155" s="98"/>
    </row>
    <row r="156" spans="1:13" customHeight="1" ht="15.75">
      <c r="A156" s="27"/>
      <c r="B156" s="28" t="s">
        <v>14</v>
      </c>
      <c r="C156" s="28" t="s">
        <v>15</v>
      </c>
      <c r="D156" s="32" t="s">
        <v>16</v>
      </c>
      <c r="E156" s="33"/>
      <c r="F156" s="32" t="s">
        <v>17</v>
      </c>
      <c r="G156" s="33"/>
      <c r="H156" s="32" t="s">
        <v>18</v>
      </c>
      <c r="I156" s="33"/>
      <c r="J156" s="34"/>
      <c r="K156" s="35"/>
      <c r="L156" s="99" t="s">
        <v>19</v>
      </c>
      <c r="M156" s="100"/>
    </row>
    <row r="157" spans="1:13">
      <c r="A157" s="51" t="s">
        <v>223</v>
      </c>
      <c r="B157" s="52"/>
      <c r="C157" s="52"/>
      <c r="D157" s="72"/>
      <c r="E157" s="74"/>
      <c r="F157" s="72"/>
      <c r="G157" s="74"/>
      <c r="H157" s="72"/>
      <c r="I157" s="74"/>
      <c r="J157" s="72"/>
      <c r="K157" s="74"/>
      <c r="L157" s="72"/>
      <c r="M157" s="102"/>
    </row>
    <row r="158" spans="1:13">
      <c r="A158" s="38" t="s">
        <v>80</v>
      </c>
      <c r="B158" s="52"/>
      <c r="C158" s="52"/>
      <c r="D158" s="57"/>
      <c r="E158" s="60"/>
      <c r="F158" s="57"/>
      <c r="G158" s="60"/>
      <c r="H158" s="57"/>
      <c r="I158" s="60"/>
      <c r="J158" s="57"/>
      <c r="K158" s="60"/>
      <c r="L158" s="57"/>
      <c r="M158" s="59"/>
    </row>
    <row r="159" spans="1:13">
      <c r="A159" s="43" t="s">
        <v>224</v>
      </c>
      <c r="B159" s="45" t="s">
        <v>225</v>
      </c>
      <c r="C159" s="52"/>
      <c r="D159" s="57"/>
      <c r="E159" s="125">
        <v>0</v>
      </c>
      <c r="F159" s="57"/>
      <c r="G159" s="125">
        <v>0</v>
      </c>
      <c r="H159" s="57"/>
      <c r="I159" s="63">
        <f>K159-G159</f>
        <v>4820000</v>
      </c>
      <c r="J159" s="57"/>
      <c r="K159" s="68">
        <f>'[1]2024'!$L$1158</f>
        <v>4820000</v>
      </c>
      <c r="L159" s="57"/>
      <c r="M159" s="68">
        <v>0</v>
      </c>
    </row>
    <row r="160" spans="1:13" customHeight="1" ht="15.75">
      <c r="A160" s="38" t="s">
        <v>226</v>
      </c>
      <c r="B160" s="52"/>
      <c r="C160" s="52"/>
      <c r="D160" s="84" t="s">
        <v>23</v>
      </c>
      <c r="E160" s="71">
        <f>SUM(E159:E159)</f>
        <v>0</v>
      </c>
      <c r="F160" s="84" t="s">
        <v>23</v>
      </c>
      <c r="G160" s="71"/>
      <c r="H160" s="84" t="s">
        <v>23</v>
      </c>
      <c r="I160" s="54">
        <f>K160-G160</f>
        <v>4820000</v>
      </c>
      <c r="J160" s="84" t="s">
        <v>23</v>
      </c>
      <c r="K160" s="71">
        <f>SUM(K159:K159)</f>
        <v>4820000</v>
      </c>
      <c r="L160" s="84" t="s">
        <v>23</v>
      </c>
      <c r="M160" s="126">
        <f>SUM(M159:M159)</f>
        <v>0</v>
      </c>
    </row>
    <row r="161" spans="1:13">
      <c r="A161" s="51" t="s">
        <v>227</v>
      </c>
      <c r="B161" s="52"/>
      <c r="C161" s="52"/>
      <c r="D161" s="72"/>
      <c r="E161" s="74"/>
      <c r="F161" s="72"/>
      <c r="G161" s="74"/>
      <c r="H161" s="72"/>
      <c r="I161" s="74"/>
      <c r="J161" s="72"/>
      <c r="K161" s="74"/>
      <c r="L161" s="72"/>
      <c r="M161" s="102"/>
    </row>
    <row r="162" spans="1:13">
      <c r="A162" s="43" t="s">
        <v>228</v>
      </c>
      <c r="B162" s="45" t="s">
        <v>229</v>
      </c>
      <c r="C162" s="52"/>
      <c r="D162" s="57" t="s">
        <v>23</v>
      </c>
      <c r="E162" s="63">
        <v>1719898.59</v>
      </c>
      <c r="F162" s="57" t="s">
        <v>23</v>
      </c>
      <c r="G162" s="63">
        <v>639559.21</v>
      </c>
      <c r="H162" s="57" t="s">
        <v>23</v>
      </c>
      <c r="I162" s="63">
        <f>K162-G162</f>
        <v>360440.79</v>
      </c>
      <c r="J162" s="57" t="s">
        <v>23</v>
      </c>
      <c r="K162" s="68">
        <v>1000000</v>
      </c>
      <c r="L162" s="57" t="s">
        <v>23</v>
      </c>
      <c r="M162" s="68">
        <v>1000000</v>
      </c>
    </row>
    <row r="163" spans="1:13">
      <c r="A163" s="43" t="s">
        <v>230</v>
      </c>
      <c r="B163" s="45" t="s">
        <v>231</v>
      </c>
      <c r="C163" s="52"/>
      <c r="D163" s="57"/>
      <c r="E163" s="63">
        <v>0</v>
      </c>
      <c r="F163" s="57"/>
      <c r="G163" s="64">
        <v>0</v>
      </c>
      <c r="H163" s="57"/>
      <c r="I163" s="63">
        <f>K163-G163</f>
        <v>100000</v>
      </c>
      <c r="J163" s="57"/>
      <c r="K163" s="66">
        <v>100000</v>
      </c>
      <c r="L163" s="57"/>
      <c r="M163" s="66">
        <v>100000</v>
      </c>
    </row>
    <row r="164" spans="1:13">
      <c r="A164" s="43" t="s">
        <v>232</v>
      </c>
      <c r="B164" s="45" t="s">
        <v>233</v>
      </c>
      <c r="C164" s="52"/>
      <c r="D164" s="57"/>
      <c r="E164" s="63">
        <v>0</v>
      </c>
      <c r="F164" s="57"/>
      <c r="G164" s="47">
        <v>80000.5</v>
      </c>
      <c r="H164" s="57"/>
      <c r="I164" s="63">
        <f>K164-G164</f>
        <v>119999.5</v>
      </c>
      <c r="J164" s="57"/>
      <c r="K164" s="50">
        <v>200000</v>
      </c>
      <c r="L164" s="57"/>
      <c r="M164" s="50">
        <v>200000</v>
      </c>
    </row>
    <row r="165" spans="1:13">
      <c r="A165" s="43" t="s">
        <v>234</v>
      </c>
      <c r="B165" s="45" t="s">
        <v>235</v>
      </c>
      <c r="C165" s="52"/>
      <c r="D165" s="57"/>
      <c r="E165" s="64">
        <v>148192</v>
      </c>
      <c r="F165" s="57"/>
      <c r="G165" s="64">
        <v>136177.72</v>
      </c>
      <c r="H165" s="57"/>
      <c r="I165" s="63">
        <f>K165-G165</f>
        <v>63822.28</v>
      </c>
      <c r="J165" s="57"/>
      <c r="K165" s="66">
        <v>200000</v>
      </c>
      <c r="L165" s="57"/>
      <c r="M165" s="66">
        <v>200000</v>
      </c>
    </row>
    <row r="166" spans="1:13">
      <c r="A166" s="43" t="s">
        <v>236</v>
      </c>
      <c r="B166" s="45" t="s">
        <v>237</v>
      </c>
      <c r="C166" s="52"/>
      <c r="D166" s="57"/>
      <c r="E166" s="64">
        <v>649998</v>
      </c>
      <c r="F166" s="57"/>
      <c r="G166" s="64">
        <v>217530</v>
      </c>
      <c r="H166" s="57"/>
      <c r="I166" s="63">
        <f>K166-G166</f>
        <v>82470</v>
      </c>
      <c r="J166" s="57"/>
      <c r="K166" s="66">
        <v>300000</v>
      </c>
      <c r="L166" s="57"/>
      <c r="M166" s="66">
        <v>300000</v>
      </c>
    </row>
    <row r="167" spans="1:13">
      <c r="A167" s="43" t="s">
        <v>238</v>
      </c>
      <c r="B167" s="45" t="s">
        <v>239</v>
      </c>
      <c r="C167" s="52"/>
      <c r="D167" s="57"/>
      <c r="E167" s="64">
        <v>809998.3</v>
      </c>
      <c r="F167" s="57"/>
      <c r="G167" s="64">
        <v>419477.15</v>
      </c>
      <c r="H167" s="57"/>
      <c r="I167" s="63">
        <f>K167-G167</f>
        <v>280522.85</v>
      </c>
      <c r="J167" s="57"/>
      <c r="K167" s="66">
        <v>700000</v>
      </c>
      <c r="L167" s="57"/>
      <c r="M167" s="66">
        <v>800000</v>
      </c>
    </row>
    <row r="168" spans="1:13">
      <c r="A168" s="43" t="s">
        <v>240</v>
      </c>
      <c r="B168" s="45" t="s">
        <v>241</v>
      </c>
      <c r="C168" s="52"/>
      <c r="D168" s="57"/>
      <c r="E168" s="64">
        <v>0</v>
      </c>
      <c r="F168" s="57"/>
      <c r="G168" s="64">
        <v>0</v>
      </c>
      <c r="H168" s="57"/>
      <c r="I168" s="63">
        <f>K168-G168</f>
        <v>50000</v>
      </c>
      <c r="J168" s="57"/>
      <c r="K168" s="66">
        <v>50000</v>
      </c>
      <c r="L168" s="57"/>
      <c r="M168" s="66">
        <v>50000</v>
      </c>
    </row>
    <row r="169" spans="1:13">
      <c r="A169" s="43" t="s">
        <v>242</v>
      </c>
      <c r="B169" s="45" t="s">
        <v>243</v>
      </c>
      <c r="C169" s="52"/>
      <c r="D169" s="57"/>
      <c r="E169" s="64">
        <v>2757000</v>
      </c>
      <c r="F169" s="57"/>
      <c r="G169" s="64">
        <v>888000</v>
      </c>
      <c r="H169" s="57"/>
      <c r="I169" s="63">
        <f>K169-G169</f>
        <v>1112000</v>
      </c>
      <c r="J169" s="57"/>
      <c r="K169" s="66">
        <v>2000000</v>
      </c>
      <c r="L169" s="57"/>
      <c r="M169" s="66">
        <v>2000000</v>
      </c>
    </row>
    <row r="170" spans="1:13">
      <c r="A170" s="43" t="s">
        <v>244</v>
      </c>
      <c r="B170" s="45" t="s">
        <v>245</v>
      </c>
      <c r="C170" s="52"/>
      <c r="D170" s="57"/>
      <c r="E170" s="64">
        <v>625339.5</v>
      </c>
      <c r="F170" s="57"/>
      <c r="G170" s="64">
        <v>439864</v>
      </c>
      <c r="H170" s="57"/>
      <c r="I170" s="63">
        <f>K170-G170</f>
        <v>510136</v>
      </c>
      <c r="J170" s="57"/>
      <c r="K170" s="66">
        <v>950000</v>
      </c>
      <c r="L170" s="57"/>
      <c r="M170" s="66">
        <v>1200000</v>
      </c>
    </row>
    <row r="171" spans="1:13">
      <c r="A171" s="43" t="s">
        <v>246</v>
      </c>
      <c r="B171" s="45" t="s">
        <v>247</v>
      </c>
      <c r="C171" s="52"/>
      <c r="D171" s="57"/>
      <c r="E171" s="64">
        <v>184269.25</v>
      </c>
      <c r="F171" s="57"/>
      <c r="G171" s="64">
        <v>80230</v>
      </c>
      <c r="H171" s="57"/>
      <c r="I171" s="63">
        <f>K171-G171</f>
        <v>119770</v>
      </c>
      <c r="J171" s="57"/>
      <c r="K171" s="66">
        <v>200000</v>
      </c>
      <c r="L171" s="57"/>
      <c r="M171" s="66">
        <v>200000</v>
      </c>
    </row>
    <row r="172" spans="1:13">
      <c r="A172" s="43" t="s">
        <v>248</v>
      </c>
      <c r="B172" s="45" t="s">
        <v>249</v>
      </c>
      <c r="C172" s="52"/>
      <c r="D172" s="57"/>
      <c r="E172" s="64">
        <v>300000</v>
      </c>
      <c r="F172" s="49"/>
      <c r="G172" s="64">
        <v>191741.61</v>
      </c>
      <c r="H172" s="57"/>
      <c r="I172" s="63">
        <f>K172-G172</f>
        <v>8258.39</v>
      </c>
      <c r="J172" s="57"/>
      <c r="K172" s="66">
        <v>200000</v>
      </c>
      <c r="L172" s="57"/>
      <c r="M172" s="66">
        <v>200000</v>
      </c>
    </row>
    <row r="173" spans="1:13">
      <c r="A173" s="43" t="s">
        <v>250</v>
      </c>
      <c r="B173" s="45" t="s">
        <v>251</v>
      </c>
      <c r="C173" s="52"/>
      <c r="D173" s="57"/>
      <c r="E173" s="64">
        <v>11500</v>
      </c>
      <c r="F173" s="57"/>
      <c r="G173" s="47">
        <v>27600</v>
      </c>
      <c r="H173" s="57"/>
      <c r="I173" s="63">
        <f>K173-G173</f>
        <v>72400</v>
      </c>
      <c r="J173" s="57"/>
      <c r="K173" s="66">
        <v>100000</v>
      </c>
      <c r="L173" s="57"/>
      <c r="M173" s="66">
        <v>100000</v>
      </c>
    </row>
    <row r="174" spans="1:13">
      <c r="A174" s="43" t="s">
        <v>252</v>
      </c>
      <c r="B174" s="45" t="s">
        <v>253</v>
      </c>
      <c r="C174" s="52"/>
      <c r="D174" s="57"/>
      <c r="E174" s="47">
        <v>175000</v>
      </c>
      <c r="F174" s="57"/>
      <c r="G174" s="64">
        <v>98355.72</v>
      </c>
      <c r="H174" s="57"/>
      <c r="I174" s="63">
        <f>K174-G174</f>
        <v>76644.28</v>
      </c>
      <c r="J174" s="57"/>
      <c r="K174" s="50">
        <v>175000</v>
      </c>
      <c r="L174" s="57"/>
      <c r="M174" s="50">
        <v>200000</v>
      </c>
    </row>
    <row r="175" spans="1:13">
      <c r="A175" s="43" t="s">
        <v>254</v>
      </c>
      <c r="B175" s="45" t="s">
        <v>255</v>
      </c>
      <c r="C175" s="52"/>
      <c r="D175" s="57"/>
      <c r="E175" s="64">
        <v>36000</v>
      </c>
      <c r="F175" s="57"/>
      <c r="G175" s="64">
        <v>18000</v>
      </c>
      <c r="H175" s="57"/>
      <c r="I175" s="63">
        <f>K175-G175</f>
        <v>18000</v>
      </c>
      <c r="J175" s="57"/>
      <c r="K175" s="66">
        <v>36000</v>
      </c>
      <c r="L175" s="57"/>
      <c r="M175" s="66">
        <v>36000</v>
      </c>
    </row>
    <row r="176" spans="1:13">
      <c r="A176" s="43" t="s">
        <v>256</v>
      </c>
      <c r="B176" s="45" t="s">
        <v>257</v>
      </c>
      <c r="C176" s="52"/>
      <c r="D176" s="57"/>
      <c r="E176" s="64">
        <v>55200</v>
      </c>
      <c r="F176" s="57"/>
      <c r="G176" s="64">
        <v>24800</v>
      </c>
      <c r="H176" s="57"/>
      <c r="I176" s="63">
        <f>K176-G176</f>
        <v>35200</v>
      </c>
      <c r="J176" s="57"/>
      <c r="K176" s="66">
        <v>60000</v>
      </c>
      <c r="L176" s="57"/>
      <c r="M176" s="66">
        <v>60000</v>
      </c>
    </row>
    <row r="177" spans="1:13">
      <c r="A177" s="43" t="s">
        <v>258</v>
      </c>
      <c r="B177" s="45" t="s">
        <v>259</v>
      </c>
      <c r="C177" s="52"/>
      <c r="D177" s="57"/>
      <c r="E177" s="64">
        <v>96092.43</v>
      </c>
      <c r="F177" s="57"/>
      <c r="G177" s="64">
        <v>0</v>
      </c>
      <c r="H177" s="57"/>
      <c r="I177" s="63">
        <f>K177-G177</f>
        <v>30000</v>
      </c>
      <c r="J177" s="57"/>
      <c r="K177" s="66">
        <v>30000</v>
      </c>
      <c r="L177" s="57"/>
      <c r="M177" s="66">
        <v>30000</v>
      </c>
    </row>
    <row r="178" spans="1:13">
      <c r="A178" s="43" t="s">
        <v>260</v>
      </c>
      <c r="B178" s="45" t="s">
        <v>261</v>
      </c>
      <c r="C178" s="52"/>
      <c r="D178" s="57"/>
      <c r="E178" s="64">
        <v>46290</v>
      </c>
      <c r="F178" s="57"/>
      <c r="G178" s="64">
        <v>0</v>
      </c>
      <c r="H178" s="57"/>
      <c r="I178" s="63">
        <f>K178-G178</f>
        <v>50000</v>
      </c>
      <c r="J178" s="57"/>
      <c r="K178" s="66">
        <v>50000</v>
      </c>
      <c r="L178" s="57"/>
      <c r="M178" s="66">
        <v>50000</v>
      </c>
    </row>
    <row r="179" spans="1:13">
      <c r="A179" s="43" t="s">
        <v>262</v>
      </c>
      <c r="B179" s="45" t="s">
        <v>263</v>
      </c>
      <c r="C179" s="52"/>
      <c r="D179" s="57"/>
      <c r="E179" s="64">
        <v>8190</v>
      </c>
      <c r="F179" s="57"/>
      <c r="G179" s="64">
        <v>0</v>
      </c>
      <c r="H179" s="57"/>
      <c r="I179" s="63">
        <f>K179-G179</f>
        <v>50000</v>
      </c>
      <c r="J179" s="57"/>
      <c r="K179" s="66">
        <v>50000</v>
      </c>
      <c r="L179" s="57"/>
      <c r="M179" s="66">
        <v>50000</v>
      </c>
    </row>
    <row r="180" spans="1:13">
      <c r="A180" s="43" t="s">
        <v>264</v>
      </c>
      <c r="B180" s="45" t="s">
        <v>265</v>
      </c>
      <c r="C180" s="52"/>
      <c r="D180" s="57"/>
      <c r="E180" s="64">
        <v>0</v>
      </c>
      <c r="F180" s="57"/>
      <c r="G180" s="64">
        <v>0</v>
      </c>
      <c r="H180" s="57"/>
      <c r="I180" s="63">
        <f>K180-G180</f>
        <v>30000</v>
      </c>
      <c r="J180" s="57"/>
      <c r="K180" s="66">
        <v>30000</v>
      </c>
      <c r="L180" s="57"/>
      <c r="M180" s="66">
        <v>30000</v>
      </c>
    </row>
    <row r="181" spans="1:13">
      <c r="A181" s="43" t="s">
        <v>266</v>
      </c>
      <c r="B181" s="45" t="s">
        <v>267</v>
      </c>
      <c r="C181" s="52"/>
      <c r="D181" s="57"/>
      <c r="E181" s="64">
        <v>0</v>
      </c>
      <c r="F181" s="57"/>
      <c r="G181" s="64">
        <v>0</v>
      </c>
      <c r="H181" s="57"/>
      <c r="I181" s="63">
        <v>0</v>
      </c>
      <c r="J181" s="57"/>
      <c r="K181" s="66">
        <v>0</v>
      </c>
      <c r="L181" s="57"/>
      <c r="M181" s="66">
        <v>30000</v>
      </c>
    </row>
    <row r="182" spans="1:13">
      <c r="A182" s="43" t="s">
        <v>268</v>
      </c>
      <c r="B182" s="45" t="s">
        <v>269</v>
      </c>
      <c r="C182" s="52"/>
      <c r="D182" s="57"/>
      <c r="E182" s="64">
        <v>214925.75</v>
      </c>
      <c r="F182" s="57"/>
      <c r="G182" s="64">
        <v>69118</v>
      </c>
      <c r="H182" s="57"/>
      <c r="I182" s="63">
        <f>K182-G182</f>
        <v>80882</v>
      </c>
      <c r="J182" s="57"/>
      <c r="K182" s="66">
        <v>150000</v>
      </c>
      <c r="L182" s="57"/>
      <c r="M182" s="66">
        <v>0</v>
      </c>
    </row>
    <row r="183" spans="1:13">
      <c r="A183" s="43" t="s">
        <v>270</v>
      </c>
      <c r="B183" s="45" t="s">
        <v>271</v>
      </c>
      <c r="C183" s="52"/>
      <c r="D183" s="57"/>
      <c r="E183" s="64">
        <v>0</v>
      </c>
      <c r="F183" s="57"/>
      <c r="G183" s="64">
        <v>0</v>
      </c>
      <c r="H183" s="57"/>
      <c r="I183" s="63">
        <f>K183-G183</f>
        <v>352000</v>
      </c>
      <c r="J183" s="57"/>
      <c r="K183" s="66">
        <v>352000</v>
      </c>
      <c r="L183" s="57"/>
      <c r="M183" s="66">
        <v>352000</v>
      </c>
    </row>
    <row r="184" spans="1:13">
      <c r="A184" s="43" t="s">
        <v>272</v>
      </c>
      <c r="B184" s="45" t="s">
        <v>273</v>
      </c>
      <c r="C184" s="52"/>
      <c r="D184" s="57"/>
      <c r="E184" s="63">
        <v>1346469.75</v>
      </c>
      <c r="F184" s="57"/>
      <c r="G184" s="63">
        <v>904840</v>
      </c>
      <c r="H184" s="57"/>
      <c r="I184" s="63">
        <f>K184-G184</f>
        <v>1095160</v>
      </c>
      <c r="J184" s="57"/>
      <c r="K184" s="68">
        <v>2000000</v>
      </c>
      <c r="L184" s="57"/>
      <c r="M184" s="68">
        <v>2000000</v>
      </c>
    </row>
    <row r="185" spans="1:13">
      <c r="A185" s="43" t="s">
        <v>274</v>
      </c>
      <c r="B185" s="45" t="s">
        <v>275</v>
      </c>
      <c r="C185" s="52"/>
      <c r="D185" s="57"/>
      <c r="E185" s="64">
        <v>0</v>
      </c>
      <c r="F185" s="57"/>
      <c r="G185" s="64">
        <v>0</v>
      </c>
      <c r="H185" s="57"/>
      <c r="I185" s="63">
        <f>K185-G185</f>
        <v>20000</v>
      </c>
      <c r="J185" s="57"/>
      <c r="K185" s="66">
        <v>20000</v>
      </c>
      <c r="L185" s="57"/>
      <c r="M185" s="66">
        <v>20000</v>
      </c>
    </row>
    <row r="186" spans="1:13">
      <c r="A186" s="43" t="s">
        <v>276</v>
      </c>
      <c r="B186" s="45" t="s">
        <v>277</v>
      </c>
      <c r="C186" s="52"/>
      <c r="D186" s="57"/>
      <c r="E186" s="64">
        <v>300000</v>
      </c>
      <c r="F186" s="57"/>
      <c r="G186" s="64">
        <v>300000</v>
      </c>
      <c r="H186" s="57"/>
      <c r="I186" s="63">
        <f>K186-G186</f>
        <v>0</v>
      </c>
      <c r="J186" s="57"/>
      <c r="K186" s="66">
        <v>300000</v>
      </c>
      <c r="L186" s="57"/>
      <c r="M186" s="66">
        <v>500000</v>
      </c>
    </row>
    <row r="187" spans="1:13">
      <c r="A187" s="43" t="s">
        <v>278</v>
      </c>
      <c r="B187" s="45" t="s">
        <v>279</v>
      </c>
      <c r="C187" s="52"/>
      <c r="D187" s="57"/>
      <c r="E187" s="64">
        <v>0</v>
      </c>
      <c r="F187" s="57"/>
      <c r="G187" s="64">
        <v>0</v>
      </c>
      <c r="H187" s="57"/>
      <c r="I187" s="63">
        <f>K187-G187</f>
        <v>52800</v>
      </c>
      <c r="J187" s="57"/>
      <c r="K187" s="66">
        <v>52800</v>
      </c>
      <c r="L187" s="57"/>
      <c r="M187" s="66">
        <v>52800</v>
      </c>
    </row>
    <row r="188" spans="1:13">
      <c r="A188" s="43" t="s">
        <v>280</v>
      </c>
      <c r="B188" s="45" t="s">
        <v>281</v>
      </c>
      <c r="C188" s="52"/>
      <c r="D188" s="57"/>
      <c r="E188" s="117">
        <v>104275</v>
      </c>
      <c r="F188" s="57"/>
      <c r="G188" s="117">
        <v>44150</v>
      </c>
      <c r="H188" s="57"/>
      <c r="I188" s="63">
        <f>K188-G188</f>
        <v>105850</v>
      </c>
      <c r="J188" s="57"/>
      <c r="K188" s="118">
        <v>150000</v>
      </c>
      <c r="L188" s="57"/>
      <c r="M188" s="118">
        <v>150000</v>
      </c>
    </row>
    <row r="189" spans="1:13" customHeight="1" ht="15.75">
      <c r="A189" s="127" t="s">
        <v>282</v>
      </c>
      <c r="B189" s="45" t="s">
        <v>283</v>
      </c>
      <c r="C189" s="15"/>
      <c r="D189" s="70"/>
      <c r="E189" s="128">
        <v>0</v>
      </c>
      <c r="F189" s="46"/>
      <c r="G189" s="128">
        <v>0</v>
      </c>
      <c r="H189" s="46"/>
      <c r="I189" s="63">
        <f>K189-G189</f>
        <v>0</v>
      </c>
      <c r="J189" s="129"/>
      <c r="K189" s="130">
        <v>0</v>
      </c>
      <c r="L189" s="75"/>
      <c r="M189" s="130">
        <v>300000</v>
      </c>
    </row>
    <row r="190" spans="1:13" customHeight="1" ht="15.75">
      <c r="A190" s="119" t="s">
        <v>284</v>
      </c>
      <c r="B190" s="81"/>
      <c r="C190" s="28"/>
      <c r="D190" s="82" t="s">
        <v>23</v>
      </c>
      <c r="E190" s="131">
        <f>SUM(E162:E189)</f>
        <v>9588638.57</v>
      </c>
      <c r="F190" s="132" t="s">
        <v>23</v>
      </c>
      <c r="G190" s="131">
        <f>SUM(G160:G189)</f>
        <v>4579443.91</v>
      </c>
      <c r="H190" s="80" t="s">
        <v>23</v>
      </c>
      <c r="I190" s="131">
        <f>SUM(I160:I189)</f>
        <v>9696356.09</v>
      </c>
      <c r="J190" s="133" t="s">
        <v>23</v>
      </c>
      <c r="K190" s="131">
        <f>SUM(K160:K189)</f>
        <v>14275800</v>
      </c>
      <c r="L190" s="80" t="s">
        <v>23</v>
      </c>
      <c r="M190" s="131">
        <f>SUM(M162:M189)</f>
        <v>10210800</v>
      </c>
    </row>
    <row r="191" spans="1:13">
      <c r="A191" s="134"/>
      <c r="B191" s="135"/>
      <c r="C191" s="136"/>
      <c r="D191" s="136"/>
      <c r="E191" s="137"/>
      <c r="F191" s="135"/>
      <c r="G191" s="137"/>
      <c r="H191" s="135"/>
      <c r="I191" s="137"/>
      <c r="J191" s="138"/>
      <c r="K191" s="137"/>
      <c r="L191" s="135"/>
      <c r="M191" s="137"/>
    </row>
    <row r="192" spans="1:13" customHeight="1" ht="15.75">
      <c r="A192" s="120"/>
      <c r="B192" s="75"/>
      <c r="C192" s="76"/>
      <c r="D192" s="76"/>
      <c r="E192" s="139"/>
      <c r="F192" s="75"/>
      <c r="G192" s="139"/>
      <c r="H192" s="75"/>
      <c r="I192" s="139"/>
      <c r="J192" s="140"/>
      <c r="K192" s="139"/>
      <c r="L192" s="75"/>
      <c r="M192" s="139"/>
    </row>
    <row r="193" spans="1:13">
      <c r="A193" s="4" t="s">
        <v>4</v>
      </c>
      <c r="B193" s="5"/>
      <c r="C193" s="124" t="s">
        <v>5</v>
      </c>
      <c r="D193" s="88" t="s">
        <v>6</v>
      </c>
      <c r="E193" s="89"/>
      <c r="F193" s="90" t="s">
        <v>7</v>
      </c>
      <c r="G193" s="91"/>
      <c r="H193" s="91"/>
      <c r="I193" s="91"/>
      <c r="J193" s="91"/>
      <c r="K193" s="92"/>
      <c r="L193" s="93" t="s">
        <v>8</v>
      </c>
      <c r="M193" s="94"/>
    </row>
    <row r="194" spans="1:13">
      <c r="A194" s="14"/>
      <c r="B194" s="15" t="s">
        <v>9</v>
      </c>
      <c r="C194" s="15" t="s">
        <v>10</v>
      </c>
      <c r="D194" s="95">
        <v>2023</v>
      </c>
      <c r="E194" s="96"/>
      <c r="F194" s="19" t="s">
        <v>11</v>
      </c>
      <c r="G194" s="20"/>
      <c r="H194" s="21" t="s">
        <v>12</v>
      </c>
      <c r="I194" s="22"/>
      <c r="J194" s="23" t="s">
        <v>13</v>
      </c>
      <c r="K194" s="24"/>
      <c r="L194" s="97">
        <v>2025</v>
      </c>
      <c r="M194" s="98"/>
    </row>
    <row r="195" spans="1:13" customHeight="1" ht="15.75">
      <c r="A195" s="27"/>
      <c r="B195" s="28" t="s">
        <v>14</v>
      </c>
      <c r="C195" s="28" t="s">
        <v>15</v>
      </c>
      <c r="D195" s="32" t="s">
        <v>16</v>
      </c>
      <c r="E195" s="33"/>
      <c r="F195" s="32" t="s">
        <v>17</v>
      </c>
      <c r="G195" s="33"/>
      <c r="H195" s="32" t="s">
        <v>18</v>
      </c>
      <c r="I195" s="33"/>
      <c r="J195" s="34"/>
      <c r="K195" s="35"/>
      <c r="L195" s="99" t="s">
        <v>19</v>
      </c>
      <c r="M195" s="100"/>
    </row>
    <row r="196" spans="1:13">
      <c r="A196" s="43" t="s">
        <v>285</v>
      </c>
      <c r="B196" s="45" t="s">
        <v>286</v>
      </c>
      <c r="C196" s="52"/>
      <c r="D196" s="57"/>
      <c r="E196" s="64">
        <v>199399</v>
      </c>
      <c r="F196" s="57"/>
      <c r="G196" s="64">
        <v>74900</v>
      </c>
      <c r="H196" s="57"/>
      <c r="I196" s="63">
        <f>K196-G196</f>
        <v>125100</v>
      </c>
      <c r="J196" s="57"/>
      <c r="K196" s="66">
        <v>200000</v>
      </c>
      <c r="L196" s="57"/>
      <c r="M196" s="66">
        <v>1000000</v>
      </c>
    </row>
    <row r="197" spans="1:13">
      <c r="A197" s="127" t="s">
        <v>287</v>
      </c>
      <c r="B197" s="45" t="s">
        <v>288</v>
      </c>
      <c r="C197" s="15"/>
      <c r="D197" s="70"/>
      <c r="E197" s="141">
        <v>217306</v>
      </c>
      <c r="F197" s="46"/>
      <c r="G197" s="141">
        <v>90000</v>
      </c>
      <c r="H197" s="46"/>
      <c r="I197" s="63">
        <f>K197-G197</f>
        <v>160000</v>
      </c>
      <c r="J197" s="129"/>
      <c r="K197" s="142">
        <v>250000</v>
      </c>
      <c r="L197" s="75"/>
      <c r="M197" s="142">
        <v>250000</v>
      </c>
    </row>
    <row r="198" spans="1:13">
      <c r="A198" s="43" t="s">
        <v>289</v>
      </c>
      <c r="B198" s="45" t="s">
        <v>290</v>
      </c>
      <c r="C198" s="52"/>
      <c r="D198" s="57" t="s">
        <v>23</v>
      </c>
      <c r="E198" s="64">
        <v>135500</v>
      </c>
      <c r="F198" s="57" t="s">
        <v>23</v>
      </c>
      <c r="G198" s="64">
        <v>100000</v>
      </c>
      <c r="H198" s="57" t="s">
        <v>23</v>
      </c>
      <c r="I198" s="63">
        <f>K198-G198</f>
        <v>0</v>
      </c>
      <c r="J198" s="57" t="s">
        <v>23</v>
      </c>
      <c r="K198" s="66">
        <v>100000</v>
      </c>
      <c r="L198" s="57" t="s">
        <v>23</v>
      </c>
      <c r="M198" s="66">
        <v>200000</v>
      </c>
    </row>
    <row r="199" spans="1:13">
      <c r="A199" s="43" t="s">
        <v>291</v>
      </c>
      <c r="B199" s="45" t="s">
        <v>292</v>
      </c>
      <c r="C199" s="52"/>
      <c r="D199" s="57"/>
      <c r="E199" s="64">
        <v>528000</v>
      </c>
      <c r="F199" s="57"/>
      <c r="G199" s="64">
        <v>600000</v>
      </c>
      <c r="H199" s="57"/>
      <c r="I199" s="63">
        <f>K199-G199</f>
        <v>0</v>
      </c>
      <c r="J199" s="57"/>
      <c r="K199" s="66">
        <v>600000</v>
      </c>
      <c r="L199" s="57"/>
      <c r="M199" s="66">
        <v>600000</v>
      </c>
    </row>
    <row r="200" spans="1:13">
      <c r="A200" s="43" t="s">
        <v>293</v>
      </c>
      <c r="B200" s="45" t="s">
        <v>294</v>
      </c>
      <c r="C200" s="52"/>
      <c r="D200" s="57"/>
      <c r="E200" s="63">
        <v>0</v>
      </c>
      <c r="F200" s="57"/>
      <c r="G200" s="63">
        <v>0</v>
      </c>
      <c r="H200" s="57"/>
      <c r="I200" s="63">
        <f>K200-G200</f>
        <v>0</v>
      </c>
      <c r="J200" s="57"/>
      <c r="K200" s="68">
        <v>0</v>
      </c>
      <c r="L200" s="57"/>
      <c r="M200" s="68">
        <v>150000</v>
      </c>
    </row>
    <row r="201" spans="1:13">
      <c r="A201" s="43" t="s">
        <v>295</v>
      </c>
      <c r="B201" s="45" t="s">
        <v>178</v>
      </c>
      <c r="C201" s="52"/>
      <c r="D201" s="57"/>
      <c r="E201" s="63">
        <v>0</v>
      </c>
      <c r="F201" s="57"/>
      <c r="G201" s="63">
        <v>0</v>
      </c>
      <c r="H201" s="57"/>
      <c r="I201" s="63">
        <v>0</v>
      </c>
      <c r="J201" s="57"/>
      <c r="K201" s="68">
        <v>0</v>
      </c>
      <c r="L201" s="57"/>
      <c r="M201" s="68">
        <v>150000</v>
      </c>
    </row>
    <row r="202" spans="1:13">
      <c r="A202" s="43" t="s">
        <v>296</v>
      </c>
      <c r="B202" s="45" t="s">
        <v>297</v>
      </c>
      <c r="C202" s="52"/>
      <c r="D202" s="57"/>
      <c r="E202" s="63">
        <v>1152591</v>
      </c>
      <c r="F202" s="57"/>
      <c r="G202" s="63">
        <v>395994</v>
      </c>
      <c r="H202" s="57"/>
      <c r="I202" s="63">
        <f>K202-G202</f>
        <v>804006</v>
      </c>
      <c r="J202" s="57"/>
      <c r="K202" s="68">
        <v>1200000</v>
      </c>
      <c r="L202" s="57"/>
      <c r="M202" s="68">
        <v>1200000</v>
      </c>
    </row>
    <row r="203" spans="1:13">
      <c r="A203" s="43" t="s">
        <v>298</v>
      </c>
      <c r="B203" s="45" t="s">
        <v>299</v>
      </c>
      <c r="C203" s="52"/>
      <c r="D203" s="57"/>
      <c r="E203" s="64">
        <v>0</v>
      </c>
      <c r="F203" s="57"/>
      <c r="G203" s="64">
        <v>0</v>
      </c>
      <c r="H203" s="57"/>
      <c r="I203" s="63">
        <f>K203-G203</f>
        <v>21000</v>
      </c>
      <c r="J203" s="57"/>
      <c r="K203" s="66">
        <v>21000</v>
      </c>
      <c r="L203" s="57"/>
      <c r="M203" s="66">
        <v>21000</v>
      </c>
    </row>
    <row r="204" spans="1:13">
      <c r="A204" s="43" t="s">
        <v>300</v>
      </c>
      <c r="B204" s="45" t="s">
        <v>301</v>
      </c>
      <c r="C204" s="52"/>
      <c r="D204" s="57"/>
      <c r="E204" s="64">
        <v>380000</v>
      </c>
      <c r="F204" s="57"/>
      <c r="G204" s="64">
        <v>0</v>
      </c>
      <c r="H204" s="57"/>
      <c r="I204" s="63">
        <f>K204-G204</f>
        <v>380000</v>
      </c>
      <c r="J204" s="57"/>
      <c r="K204" s="66">
        <v>380000</v>
      </c>
      <c r="L204" s="57"/>
      <c r="M204" s="66">
        <v>500000</v>
      </c>
    </row>
    <row r="205" spans="1:13">
      <c r="A205" s="43" t="s">
        <v>302</v>
      </c>
      <c r="B205" s="45" t="s">
        <v>303</v>
      </c>
      <c r="C205" s="52"/>
      <c r="D205" s="57"/>
      <c r="E205" s="64">
        <v>568445</v>
      </c>
      <c r="F205" s="57"/>
      <c r="G205" s="64">
        <v>225716</v>
      </c>
      <c r="H205" s="57"/>
      <c r="I205" s="63">
        <f>K205-G205</f>
        <v>974284</v>
      </c>
      <c r="J205" s="57"/>
      <c r="K205" s="66">
        <v>1200000</v>
      </c>
      <c r="L205" s="57"/>
      <c r="M205" s="66">
        <v>1000000</v>
      </c>
    </row>
    <row r="206" spans="1:13">
      <c r="A206" s="43" t="s">
        <v>304</v>
      </c>
      <c r="B206" s="45" t="s">
        <v>305</v>
      </c>
      <c r="C206" s="52"/>
      <c r="D206" s="57"/>
      <c r="E206" s="64">
        <v>1489644.19</v>
      </c>
      <c r="F206" s="57"/>
      <c r="G206" s="64">
        <v>950198</v>
      </c>
      <c r="H206" s="57"/>
      <c r="I206" s="63">
        <f>K206-G206</f>
        <v>149802</v>
      </c>
      <c r="J206" s="57"/>
      <c r="K206" s="66">
        <v>1100000</v>
      </c>
      <c r="L206" s="57"/>
      <c r="M206" s="66">
        <v>2000000</v>
      </c>
    </row>
    <row r="207" spans="1:13">
      <c r="A207" s="43" t="s">
        <v>306</v>
      </c>
      <c r="B207" s="45" t="s">
        <v>307</v>
      </c>
      <c r="C207" s="52"/>
      <c r="D207" s="57"/>
      <c r="E207" s="117">
        <v>0</v>
      </c>
      <c r="F207" s="57"/>
      <c r="G207" s="64">
        <v>0</v>
      </c>
      <c r="H207" s="57"/>
      <c r="I207" s="63">
        <f>K207-G207</f>
        <v>500000</v>
      </c>
      <c r="J207" s="57"/>
      <c r="K207" s="66">
        <v>500000</v>
      </c>
      <c r="L207" s="57"/>
      <c r="M207" s="118">
        <v>500000</v>
      </c>
    </row>
    <row r="208" spans="1:13">
      <c r="A208" s="43" t="s">
        <v>308</v>
      </c>
      <c r="B208" s="45" t="s">
        <v>309</v>
      </c>
      <c r="C208" s="52"/>
      <c r="D208" s="57"/>
      <c r="E208" s="117">
        <v>0</v>
      </c>
      <c r="F208" s="57"/>
      <c r="G208" s="117">
        <v>0</v>
      </c>
      <c r="H208" s="57"/>
      <c r="I208" s="63">
        <v>0</v>
      </c>
      <c r="J208" s="57"/>
      <c r="K208" s="50">
        <v>0</v>
      </c>
      <c r="L208" s="57"/>
      <c r="M208" s="118">
        <v>100000</v>
      </c>
    </row>
    <row r="209" spans="1:13">
      <c r="A209" s="127" t="s">
        <v>310</v>
      </c>
      <c r="B209" s="45" t="s">
        <v>311</v>
      </c>
      <c r="C209" s="15"/>
      <c r="D209" s="70"/>
      <c r="E209" s="143">
        <v>44075</v>
      </c>
      <c r="F209" s="46"/>
      <c r="G209" s="143">
        <v>0</v>
      </c>
      <c r="H209" s="46"/>
      <c r="I209" s="63">
        <f>K209-G209</f>
        <v>100000</v>
      </c>
      <c r="J209" s="129"/>
      <c r="K209" s="144">
        <v>100000</v>
      </c>
      <c r="L209" s="75"/>
      <c r="M209" s="144">
        <v>500000</v>
      </c>
    </row>
    <row r="210" spans="1:13">
      <c r="A210" s="127" t="s">
        <v>312</v>
      </c>
      <c r="B210" s="45" t="s">
        <v>313</v>
      </c>
      <c r="C210" s="15"/>
      <c r="D210" s="70"/>
      <c r="E210" s="128">
        <v>0</v>
      </c>
      <c r="F210" s="46"/>
      <c r="G210" s="128">
        <v>15276</v>
      </c>
      <c r="H210" s="46"/>
      <c r="I210" s="63">
        <f>K210-G210</f>
        <v>134724</v>
      </c>
      <c r="J210" s="129"/>
      <c r="K210" s="130">
        <v>150000</v>
      </c>
      <c r="L210" s="75"/>
      <c r="M210" s="130">
        <v>200000</v>
      </c>
    </row>
    <row r="211" spans="1:13" customHeight="1" ht="15.75">
      <c r="A211" s="127" t="s">
        <v>314</v>
      </c>
      <c r="B211" s="45" t="s">
        <v>315</v>
      </c>
      <c r="C211" s="15"/>
      <c r="D211" s="70"/>
      <c r="E211" s="145">
        <v>0</v>
      </c>
      <c r="F211" s="46"/>
      <c r="G211" s="145">
        <v>0</v>
      </c>
      <c r="H211" s="46"/>
      <c r="I211" s="47">
        <f>K211-G211</f>
        <v>1000000</v>
      </c>
      <c r="J211" s="129"/>
      <c r="K211" s="146">
        <v>1000000</v>
      </c>
      <c r="L211" s="75"/>
      <c r="M211" s="146">
        <v>1000000</v>
      </c>
    </row>
    <row r="212" spans="1:13" customHeight="1" ht="15.75">
      <c r="A212" s="122" t="s">
        <v>316</v>
      </c>
      <c r="B212" s="45"/>
      <c r="C212" s="15"/>
      <c r="D212" s="70" t="s">
        <v>23</v>
      </c>
      <c r="E212" s="147">
        <f>SUM(E196:E211)</f>
        <v>4714960.19</v>
      </c>
      <c r="F212" s="70" t="s">
        <v>23</v>
      </c>
      <c r="G212" s="147">
        <f>SUM(G196:G211)</f>
        <v>2452084</v>
      </c>
      <c r="H212" s="70" t="s">
        <v>23</v>
      </c>
      <c r="I212" s="131">
        <f>SUM(I196:I211)</f>
        <v>4348916</v>
      </c>
      <c r="J212" s="148" t="s">
        <v>23</v>
      </c>
      <c r="K212" s="147">
        <f>SUM(K196:K211)</f>
        <v>6801000</v>
      </c>
      <c r="L212" s="76" t="s">
        <v>23</v>
      </c>
      <c r="M212" s="147">
        <f>SUM(M196:M211)</f>
        <v>9371000</v>
      </c>
    </row>
    <row r="213" spans="1:13" customHeight="1" ht="15.75">
      <c r="A213" s="149" t="s">
        <v>317</v>
      </c>
      <c r="B213" s="52"/>
      <c r="C213" s="52"/>
      <c r="D213" s="53" t="s">
        <v>23</v>
      </c>
      <c r="E213" s="71">
        <f>E212+E190+E160</f>
        <v>14303598.76</v>
      </c>
      <c r="F213" s="53" t="s">
        <v>23</v>
      </c>
      <c r="G213" s="71">
        <f>G212+G190+G160</f>
        <v>7031527.91</v>
      </c>
      <c r="H213" s="53" t="s">
        <v>23</v>
      </c>
      <c r="I213" s="71">
        <f>I212+I190+I160</f>
        <v>18865272.09</v>
      </c>
      <c r="J213" s="53" t="s">
        <v>23</v>
      </c>
      <c r="K213" s="71">
        <f>K212+K190</f>
        <v>21076800</v>
      </c>
      <c r="L213" s="53" t="s">
        <v>23</v>
      </c>
      <c r="M213" s="73">
        <f>M212+M190+M160</f>
        <v>19581800</v>
      </c>
    </row>
    <row r="214" spans="1:13" customHeight="1" ht="15.75">
      <c r="A214" s="51" t="s">
        <v>318</v>
      </c>
      <c r="B214" s="52"/>
      <c r="C214" s="52"/>
      <c r="D214" s="53" t="s">
        <v>23</v>
      </c>
      <c r="E214" s="71">
        <f>E140+E213</f>
        <v>47625324.11</v>
      </c>
      <c r="F214" s="53" t="s">
        <v>23</v>
      </c>
      <c r="G214" s="71">
        <f>G140+G213</f>
        <v>18665218.32</v>
      </c>
      <c r="H214" s="53" t="s">
        <v>23</v>
      </c>
      <c r="I214" s="71">
        <f>I140+I213</f>
        <v>45787924.06</v>
      </c>
      <c r="J214" s="53" t="s">
        <v>23</v>
      </c>
      <c r="K214" s="71">
        <f>K140+K213</f>
        <v>59633142.38</v>
      </c>
      <c r="L214" s="53" t="s">
        <v>23</v>
      </c>
      <c r="M214" s="73">
        <f>M140+M213</f>
        <v>65484961.68</v>
      </c>
    </row>
    <row r="215" spans="1:13" customHeight="1" ht="15.75">
      <c r="A215" s="51" t="s">
        <v>319</v>
      </c>
      <c r="B215" s="52"/>
      <c r="C215" s="52"/>
      <c r="D215" s="53" t="s">
        <v>23</v>
      </c>
      <c r="E215" s="71">
        <f>E214+E134+E126+E75</f>
        <v>144532301.2</v>
      </c>
      <c r="F215" s="53" t="s">
        <v>23</v>
      </c>
      <c r="G215" s="71">
        <f>G214+G134+G126+G75</f>
        <v>65703224.22</v>
      </c>
      <c r="H215" s="53" t="s">
        <v>23</v>
      </c>
      <c r="I215" s="71">
        <f>I214+I134+I126+I75</f>
        <v>100196162.13</v>
      </c>
      <c r="J215" s="53" t="s">
        <v>23</v>
      </c>
      <c r="K215" s="71">
        <f>K214+K134+K126+K75</f>
        <v>161579386.35</v>
      </c>
      <c r="L215" s="53" t="s">
        <v>23</v>
      </c>
      <c r="M215" s="73">
        <f>M214+M134+M126+M75</f>
        <v>185488074</v>
      </c>
    </row>
    <row r="216" spans="1:13" customHeight="1" ht="15.75">
      <c r="A216" s="150" t="s">
        <v>320</v>
      </c>
      <c r="B216" s="151"/>
      <c r="C216" s="151"/>
      <c r="D216" s="152" t="s">
        <v>23</v>
      </c>
      <c r="E216" s="153">
        <f>E53-E215</f>
        <v>3251021.64</v>
      </c>
      <c r="F216" s="152" t="s">
        <v>23</v>
      </c>
      <c r="G216" s="153">
        <f>G53-G215</f>
        <v>23653725.1</v>
      </c>
      <c r="H216" s="152" t="s">
        <v>23</v>
      </c>
      <c r="I216" s="153">
        <f>I53-I215</f>
        <v>-27973725.1</v>
      </c>
      <c r="J216" s="152" t="s">
        <v>23</v>
      </c>
      <c r="K216" s="153">
        <f>K53-K215</f>
        <v>-2.9802322387695E-8</v>
      </c>
      <c r="L216" s="152" t="s">
        <v>23</v>
      </c>
      <c r="M216" s="154">
        <f>M53-M215</f>
        <v>0</v>
      </c>
    </row>
    <row r="217" spans="1:13" customHeight="1" ht="15.75">
      <c r="A217" s="155" t="s">
        <v>321</v>
      </c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</row>
    <row r="218" spans="1:13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</row>
    <row r="219" spans="1:13">
      <c r="A219" s="25" t="s">
        <v>322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</row>
    <row r="220" spans="1:13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</row>
    <row r="221" spans="1:13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</row>
    <row r="222" spans="1:13">
      <c r="A222" s="156" t="s">
        <v>323</v>
      </c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</row>
    <row r="223" spans="1:13">
      <c r="A223" s="157" t="s">
        <v>324</v>
      </c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</row>
    <row r="224" spans="1:13">
      <c r="A224" s="57"/>
      <c r="B224" s="75"/>
      <c r="C224" s="75"/>
      <c r="D224" s="57"/>
      <c r="E224" s="75"/>
      <c r="F224" s="75"/>
      <c r="G224" s="75"/>
      <c r="H224" s="75"/>
      <c r="I224" s="75"/>
      <c r="J224" s="75"/>
      <c r="K224" s="75"/>
      <c r="L224" s="75"/>
      <c r="M224" s="75"/>
    </row>
    <row r="225" spans="1:13">
      <c r="A225" s="57"/>
      <c r="B225" s="75"/>
      <c r="C225" s="75"/>
      <c r="D225" s="57"/>
      <c r="E225" s="75"/>
      <c r="F225" s="75"/>
      <c r="G225" s="75"/>
      <c r="H225" s="75"/>
      <c r="I225" s="75"/>
      <c r="J225" s="75"/>
      <c r="K225" s="75"/>
      <c r="L225" s="75"/>
      <c r="M225" s="75"/>
    </row>
    <row r="226" spans="1:13">
      <c r="A226" s="158" t="s">
        <v>325</v>
      </c>
      <c r="B226" s="75"/>
      <c r="C226" s="57"/>
      <c r="D226" s="57"/>
      <c r="E226" s="159"/>
      <c r="F226" s="159"/>
      <c r="G226" s="159"/>
      <c r="H226" s="159"/>
      <c r="I226" s="57"/>
      <c r="J226" s="57"/>
      <c r="K226" s="57"/>
      <c r="L226" s="57"/>
      <c r="M226" s="57"/>
    </row>
    <row r="227" spans="1:13">
      <c r="A227" s="158"/>
      <c r="B227" s="75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</row>
    <row r="228" spans="1:13">
      <c r="A228" s="97" t="s">
        <v>326</v>
      </c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spans="1:13">
      <c r="A229" s="160" t="s">
        <v>327</v>
      </c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</row>
    <row r="230" spans="1:13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</row>
    <row r="231" spans="1:13">
      <c r="A231" s="1" t="s">
        <v>0</v>
      </c>
    </row>
    <row r="232" spans="1:13">
      <c r="A232" s="3" t="s">
        <v>1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>
      <c r="A233" s="3" t="s">
        <v>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customHeight="1" ht="15.75">
      <c r="A234" s="3" t="s">
        <v>328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>
      <c r="A235" s="4" t="s">
        <v>4</v>
      </c>
      <c r="B235" s="5"/>
      <c r="C235" s="124" t="s">
        <v>5</v>
      </c>
      <c r="D235" s="88" t="s">
        <v>6</v>
      </c>
      <c r="E235" s="89"/>
      <c r="F235" s="90" t="s">
        <v>7</v>
      </c>
      <c r="G235" s="91"/>
      <c r="H235" s="91"/>
      <c r="I235" s="91"/>
      <c r="J235" s="91"/>
      <c r="K235" s="92"/>
      <c r="L235" s="93" t="s">
        <v>8</v>
      </c>
      <c r="M235" s="94"/>
    </row>
    <row r="236" spans="1:13">
      <c r="A236" s="14"/>
      <c r="B236" s="15" t="s">
        <v>9</v>
      </c>
      <c r="C236" s="15" t="s">
        <v>10</v>
      </c>
      <c r="D236" s="95">
        <v>2023</v>
      </c>
      <c r="E236" s="96"/>
      <c r="F236" s="19" t="s">
        <v>11</v>
      </c>
      <c r="G236" s="20"/>
      <c r="H236" s="21" t="s">
        <v>12</v>
      </c>
      <c r="I236" s="22"/>
      <c r="J236" s="23" t="s">
        <v>13</v>
      </c>
      <c r="K236" s="24"/>
      <c r="L236" s="97">
        <v>2025</v>
      </c>
      <c r="M236" s="98"/>
    </row>
    <row r="237" spans="1:13" customHeight="1" ht="15.75">
      <c r="A237" s="27"/>
      <c r="B237" s="28" t="s">
        <v>14</v>
      </c>
      <c r="C237" s="28" t="s">
        <v>15</v>
      </c>
      <c r="D237" s="32" t="s">
        <v>16</v>
      </c>
      <c r="E237" s="33"/>
      <c r="F237" s="32" t="s">
        <v>17</v>
      </c>
      <c r="G237" s="33"/>
      <c r="H237" s="32" t="s">
        <v>18</v>
      </c>
      <c r="I237" s="33"/>
      <c r="J237" s="34"/>
      <c r="K237" s="35"/>
      <c r="L237" s="99" t="s">
        <v>19</v>
      </c>
      <c r="M237" s="100"/>
    </row>
    <row r="238" spans="1:13">
      <c r="A238" s="38" t="s">
        <v>20</v>
      </c>
      <c r="B238" s="39"/>
      <c r="C238" s="40"/>
      <c r="D238" s="41"/>
      <c r="E238" s="39"/>
      <c r="F238" s="41"/>
      <c r="G238" s="39"/>
      <c r="H238" s="41"/>
      <c r="I238" s="39"/>
      <c r="K238" s="39"/>
      <c r="M238" s="42"/>
    </row>
    <row r="239" spans="1:13">
      <c r="A239" s="43" t="s">
        <v>21</v>
      </c>
      <c r="B239" s="44">
        <v>481</v>
      </c>
      <c r="C239" s="45" t="s">
        <v>22</v>
      </c>
      <c r="D239" s="46" t="s">
        <v>23</v>
      </c>
      <c r="E239" s="47">
        <v>0</v>
      </c>
      <c r="F239" s="48" t="s">
        <v>23</v>
      </c>
      <c r="G239" s="47">
        <v>0</v>
      </c>
      <c r="H239" s="48" t="s">
        <v>23</v>
      </c>
      <c r="I239" s="47">
        <v>0</v>
      </c>
      <c r="J239" s="49" t="s">
        <v>23</v>
      </c>
      <c r="K239" s="47">
        <v>0</v>
      </c>
      <c r="L239" s="57" t="s">
        <v>23</v>
      </c>
      <c r="M239" s="50">
        <v>0</v>
      </c>
    </row>
    <row r="240" spans="1:13" customHeight="1" ht="15.75">
      <c r="A240" s="51" t="s">
        <v>24</v>
      </c>
      <c r="B240" s="39"/>
      <c r="C240" s="52"/>
      <c r="D240" s="53" t="s">
        <v>23</v>
      </c>
      <c r="E240" s="54">
        <f>SUM(E239)</f>
        <v>0</v>
      </c>
      <c r="F240" s="55" t="s">
        <v>23</v>
      </c>
      <c r="G240" s="54">
        <f>SUM(G239)</f>
        <v>0</v>
      </c>
      <c r="H240" s="55" t="s">
        <v>23</v>
      </c>
      <c r="I240" s="54">
        <f>SUM(I239)</f>
        <v>0</v>
      </c>
      <c r="J240" s="53" t="s">
        <v>23</v>
      </c>
      <c r="K240" s="54">
        <f>SUM(K239)</f>
        <v>0</v>
      </c>
      <c r="L240" s="53" t="s">
        <v>23</v>
      </c>
      <c r="M240" s="126">
        <f>SUM(M239)</f>
        <v>0</v>
      </c>
    </row>
    <row r="241" spans="1:13">
      <c r="A241" s="51" t="s">
        <v>25</v>
      </c>
      <c r="B241" s="39"/>
      <c r="C241" s="52"/>
      <c r="D241" s="49"/>
      <c r="E241" s="47"/>
      <c r="F241" s="48"/>
      <c r="G241" s="47"/>
      <c r="H241" s="48"/>
      <c r="I241" s="47"/>
      <c r="J241" s="57"/>
      <c r="K241" s="60"/>
      <c r="L241" s="57"/>
      <c r="M241" s="59"/>
    </row>
    <row r="242" spans="1:13">
      <c r="A242" s="51" t="s">
        <v>329</v>
      </c>
      <c r="B242" s="60"/>
      <c r="C242" s="52"/>
      <c r="D242" s="49"/>
      <c r="E242" s="47"/>
      <c r="F242" s="48"/>
      <c r="G242" s="47"/>
      <c r="H242" s="48"/>
      <c r="I242" s="47"/>
      <c r="J242" s="57"/>
      <c r="K242" s="60"/>
      <c r="L242" s="57"/>
      <c r="M242" s="59"/>
    </row>
    <row r="243" spans="1:13">
      <c r="A243" s="43" t="s">
        <v>330</v>
      </c>
      <c r="B243" s="44" t="s">
        <v>331</v>
      </c>
      <c r="C243" s="45" t="s">
        <v>22</v>
      </c>
      <c r="D243" s="49" t="s">
        <v>23</v>
      </c>
      <c r="E243" s="63">
        <v>3253198.37</v>
      </c>
      <c r="F243" s="48" t="s">
        <v>23</v>
      </c>
      <c r="G243" s="63">
        <f>1921983.94+539.88</f>
        <v>1922523.82</v>
      </c>
      <c r="H243" s="48" t="s">
        <v>23</v>
      </c>
      <c r="I243" s="63">
        <f>K243-G243</f>
        <v>1577476.18</v>
      </c>
      <c r="J243" s="57" t="s">
        <v>23</v>
      </c>
      <c r="K243" s="68">
        <v>3500000</v>
      </c>
      <c r="L243" s="57" t="s">
        <v>23</v>
      </c>
      <c r="M243" s="68">
        <v>3500000</v>
      </c>
    </row>
    <row r="244" spans="1:13">
      <c r="A244" s="62" t="s">
        <v>332</v>
      </c>
      <c r="B244" s="44" t="s">
        <v>333</v>
      </c>
      <c r="C244" s="45" t="s">
        <v>22</v>
      </c>
      <c r="D244" s="49"/>
      <c r="E244" s="47">
        <v>563780.75</v>
      </c>
      <c r="F244" s="48"/>
      <c r="G244" s="61">
        <v>283384.75</v>
      </c>
      <c r="H244" s="48"/>
      <c r="I244" s="63">
        <f>K244-G244</f>
        <v>316615.25</v>
      </c>
      <c r="J244" s="57"/>
      <c r="K244" s="66">
        <v>600000</v>
      </c>
      <c r="L244" s="57"/>
      <c r="M244" s="66">
        <v>700000</v>
      </c>
    </row>
    <row r="245" spans="1:13" customHeight="1" ht="15.75">
      <c r="A245" s="43" t="s">
        <v>334</v>
      </c>
      <c r="B245" s="44" t="s">
        <v>335</v>
      </c>
      <c r="C245" s="45" t="s">
        <v>22</v>
      </c>
      <c r="D245" s="49"/>
      <c r="E245" s="69">
        <v>4272118</v>
      </c>
      <c r="F245" s="48"/>
      <c r="G245" s="69">
        <v>2216133</v>
      </c>
      <c r="H245" s="48"/>
      <c r="I245" s="63">
        <f>K245-G245</f>
        <v>283867</v>
      </c>
      <c r="J245" s="57"/>
      <c r="K245" s="56">
        <v>2500000</v>
      </c>
      <c r="L245" s="57"/>
      <c r="M245" s="56">
        <v>3400000</v>
      </c>
    </row>
    <row r="246" spans="1:13" customHeight="1" ht="15.75">
      <c r="A246" s="51" t="s">
        <v>336</v>
      </c>
      <c r="B246" s="44"/>
      <c r="C246" s="15"/>
      <c r="D246" s="70" t="s">
        <v>23</v>
      </c>
      <c r="E246" s="71">
        <f>SUM(E243:E245)</f>
        <v>8089097.12</v>
      </c>
      <c r="F246" s="55" t="s">
        <v>23</v>
      </c>
      <c r="G246" s="71">
        <f>SUM(G243:G245)</f>
        <v>4422041.57</v>
      </c>
      <c r="H246" s="55" t="s">
        <v>23</v>
      </c>
      <c r="I246" s="71">
        <f>SUM(I243:I245)</f>
        <v>2177958.43</v>
      </c>
      <c r="J246" s="53" t="s">
        <v>23</v>
      </c>
      <c r="K246" s="71">
        <f>SUM(K243:K245)</f>
        <v>6600000</v>
      </c>
      <c r="L246" s="72" t="s">
        <v>23</v>
      </c>
      <c r="M246" s="73">
        <f>SUM(M243:M245)</f>
        <v>7600000</v>
      </c>
    </row>
    <row r="247" spans="1:13" customHeight="1" ht="15.75">
      <c r="A247" s="51" t="s">
        <v>77</v>
      </c>
      <c r="B247" s="75"/>
      <c r="C247" s="45"/>
      <c r="D247" s="70" t="s">
        <v>23</v>
      </c>
      <c r="E247" s="77">
        <f>E246+E240</f>
        <v>8089097.12</v>
      </c>
      <c r="F247" s="55" t="s">
        <v>23</v>
      </c>
      <c r="G247" s="77">
        <f>G246+G240</f>
        <v>4422041.57</v>
      </c>
      <c r="H247" s="55" t="s">
        <v>23</v>
      </c>
      <c r="I247" s="77">
        <f>I246+I240</f>
        <v>2177958.43</v>
      </c>
      <c r="J247" s="53" t="s">
        <v>23</v>
      </c>
      <c r="K247" s="77">
        <f>K246+K240</f>
        <v>6600000</v>
      </c>
      <c r="L247" s="72" t="s">
        <v>23</v>
      </c>
      <c r="M247" s="78">
        <f>M246+M240</f>
        <v>7600000</v>
      </c>
    </row>
    <row r="248" spans="1:13" customHeight="1" ht="15.75">
      <c r="A248" s="51" t="s">
        <v>78</v>
      </c>
      <c r="B248" s="15"/>
      <c r="C248" s="45"/>
      <c r="D248" s="70" t="s">
        <v>23</v>
      </c>
      <c r="E248" s="105">
        <f>E240+E247</f>
        <v>8089097.12</v>
      </c>
      <c r="F248" s="55" t="s">
        <v>23</v>
      </c>
      <c r="G248" s="105">
        <f>G240+G247</f>
        <v>4422041.57</v>
      </c>
      <c r="H248" s="55" t="s">
        <v>23</v>
      </c>
      <c r="I248" s="105">
        <f>I240+I247</f>
        <v>2177958.43</v>
      </c>
      <c r="J248" s="53" t="s">
        <v>23</v>
      </c>
      <c r="K248" s="105">
        <f>K240+K247</f>
        <v>6600000</v>
      </c>
      <c r="L248" s="72" t="s">
        <v>23</v>
      </c>
      <c r="M248" s="106">
        <f>M240+M247</f>
        <v>7600000</v>
      </c>
    </row>
    <row r="249" spans="1:13" customHeight="1" ht="15.75">
      <c r="A249" s="38" t="s">
        <v>79</v>
      </c>
      <c r="B249" s="107"/>
      <c r="C249" s="45"/>
      <c r="D249" s="70"/>
      <c r="E249" s="74"/>
      <c r="F249" s="55"/>
      <c r="G249" s="74"/>
      <c r="H249" s="55"/>
      <c r="I249" s="74"/>
      <c r="J249" s="57"/>
      <c r="K249" s="60"/>
      <c r="L249" s="57"/>
      <c r="M249" s="50"/>
    </row>
    <row r="250" spans="1:13">
      <c r="A250" s="38" t="s">
        <v>80</v>
      </c>
      <c r="B250" s="45"/>
      <c r="C250" s="45"/>
      <c r="D250" s="70"/>
      <c r="E250" s="74"/>
      <c r="F250" s="55"/>
      <c r="G250" s="74"/>
      <c r="H250" s="55"/>
      <c r="I250" s="74"/>
      <c r="J250" s="57"/>
      <c r="K250" s="60"/>
      <c r="L250" s="57"/>
      <c r="M250" s="50"/>
    </row>
    <row r="251" spans="1:13">
      <c r="A251" s="43" t="s">
        <v>337</v>
      </c>
      <c r="B251" s="45" t="s">
        <v>83</v>
      </c>
      <c r="C251" s="45"/>
      <c r="D251" s="46" t="s">
        <v>23</v>
      </c>
      <c r="E251" s="63">
        <v>2026539.83</v>
      </c>
      <c r="F251" s="48" t="s">
        <v>23</v>
      </c>
      <c r="G251" s="63">
        <v>1077055.53</v>
      </c>
      <c r="H251" s="48" t="s">
        <v>23</v>
      </c>
      <c r="I251" s="63">
        <f>K251-G251</f>
        <v>1072005.47</v>
      </c>
      <c r="J251" s="57" t="s">
        <v>23</v>
      </c>
      <c r="K251" s="68">
        <f>2165061-16000</f>
        <v>2149061</v>
      </c>
      <c r="L251" s="57" t="s">
        <v>23</v>
      </c>
      <c r="M251" s="68">
        <v>2285446</v>
      </c>
    </row>
    <row r="252" spans="1:13">
      <c r="A252" s="51" t="s">
        <v>338</v>
      </c>
      <c r="B252" s="45"/>
      <c r="C252" s="45"/>
      <c r="D252" s="70"/>
      <c r="E252" s="74"/>
      <c r="F252" s="55"/>
      <c r="G252" s="74"/>
      <c r="H252" s="55"/>
      <c r="I252" s="74"/>
      <c r="J252" s="57"/>
      <c r="K252" s="50"/>
      <c r="L252" s="57"/>
      <c r="M252" s="50"/>
    </row>
    <row r="253" spans="1:13">
      <c r="A253" s="43" t="s">
        <v>84</v>
      </c>
      <c r="B253" s="45" t="s">
        <v>85</v>
      </c>
      <c r="C253" s="45"/>
      <c r="D253" s="70"/>
      <c r="E253" s="63">
        <v>357870.97</v>
      </c>
      <c r="F253" s="48"/>
      <c r="G253" s="47">
        <v>19200</v>
      </c>
      <c r="H253" s="48"/>
      <c r="I253" s="63">
        <f>K253-G253</f>
        <v>364800</v>
      </c>
      <c r="J253" s="57"/>
      <c r="K253" s="68">
        <v>384000</v>
      </c>
      <c r="L253" s="57"/>
      <c r="M253" s="68">
        <v>384000</v>
      </c>
    </row>
    <row r="254" spans="1:13">
      <c r="A254" s="43" t="s">
        <v>90</v>
      </c>
      <c r="B254" s="45" t="s">
        <v>91</v>
      </c>
      <c r="C254" s="45"/>
      <c r="D254" s="70"/>
      <c r="E254" s="47">
        <v>96000</v>
      </c>
      <c r="F254" s="48"/>
      <c r="G254" s="64">
        <v>112000</v>
      </c>
      <c r="H254" s="48"/>
      <c r="I254" s="63">
        <f>K254-G254</f>
        <v>0</v>
      </c>
      <c r="J254" s="57"/>
      <c r="K254" s="50">
        <v>112000</v>
      </c>
      <c r="L254" s="57"/>
      <c r="M254" s="50">
        <v>112000</v>
      </c>
    </row>
    <row r="255" spans="1:13">
      <c r="A255" s="43" t="s">
        <v>339</v>
      </c>
      <c r="B255" s="45" t="s">
        <v>97</v>
      </c>
      <c r="C255" s="45"/>
      <c r="D255" s="46"/>
      <c r="E255" s="64">
        <v>70000</v>
      </c>
      <c r="F255" s="48"/>
      <c r="G255" s="64">
        <v>0</v>
      </c>
      <c r="H255" s="48"/>
      <c r="I255" s="63">
        <f>K255-G255</f>
        <v>80000</v>
      </c>
      <c r="J255" s="49"/>
      <c r="K255" s="66">
        <v>80000</v>
      </c>
      <c r="L255" s="57"/>
      <c r="M255" s="66">
        <v>80000</v>
      </c>
    </row>
    <row r="256" spans="1:13">
      <c r="A256" s="43" t="s">
        <v>98</v>
      </c>
      <c r="B256" s="45" t="s">
        <v>99</v>
      </c>
      <c r="C256" s="45"/>
      <c r="D256" s="46"/>
      <c r="E256" s="64">
        <v>210000</v>
      </c>
      <c r="F256" s="48"/>
      <c r="G256" s="64">
        <v>0</v>
      </c>
      <c r="H256" s="48"/>
      <c r="I256" s="63">
        <f>K256-G256</f>
        <v>160000</v>
      </c>
      <c r="J256" s="49"/>
      <c r="K256" s="68">
        <v>160000</v>
      </c>
      <c r="L256" s="57"/>
      <c r="M256" s="68">
        <v>320000</v>
      </c>
    </row>
    <row r="257" spans="1:13">
      <c r="A257" s="43" t="s">
        <v>102</v>
      </c>
      <c r="B257" s="45" t="s">
        <v>103</v>
      </c>
      <c r="C257" s="45"/>
      <c r="D257" s="46"/>
      <c r="E257" s="64">
        <v>169044.7</v>
      </c>
      <c r="F257" s="48"/>
      <c r="G257" s="64">
        <v>0</v>
      </c>
      <c r="H257" s="48"/>
      <c r="I257" s="63">
        <f>K257-G257</f>
        <v>180517</v>
      </c>
      <c r="J257" s="49"/>
      <c r="K257" s="68">
        <v>180517</v>
      </c>
      <c r="L257" s="57"/>
      <c r="M257" s="68">
        <v>195434</v>
      </c>
    </row>
    <row r="258" spans="1:13">
      <c r="A258" s="43" t="s">
        <v>104</v>
      </c>
      <c r="B258" s="45" t="s">
        <v>105</v>
      </c>
      <c r="C258" s="45"/>
      <c r="D258" s="46"/>
      <c r="E258" s="64">
        <v>74500</v>
      </c>
      <c r="F258" s="48"/>
      <c r="G258" s="64">
        <v>0</v>
      </c>
      <c r="H258" s="48"/>
      <c r="I258" s="63">
        <f>K258-G258</f>
        <v>80000</v>
      </c>
      <c r="J258" s="49"/>
      <c r="K258" s="68">
        <v>80000</v>
      </c>
      <c r="L258" s="57"/>
      <c r="M258" s="68">
        <v>80000</v>
      </c>
    </row>
    <row r="259" spans="1:13">
      <c r="A259" s="43" t="s">
        <v>106</v>
      </c>
      <c r="B259" s="45" t="s">
        <v>107</v>
      </c>
      <c r="C259" s="45"/>
      <c r="D259" s="46"/>
      <c r="E259" s="64">
        <v>169677</v>
      </c>
      <c r="F259" s="48"/>
      <c r="G259" s="64">
        <v>170030</v>
      </c>
      <c r="H259" s="48"/>
      <c r="I259" s="63">
        <f>K259-G259</f>
        <v>0</v>
      </c>
      <c r="J259" s="49"/>
      <c r="K259" s="68">
        <v>170030</v>
      </c>
      <c r="L259" s="57"/>
      <c r="M259" s="68">
        <v>187941</v>
      </c>
    </row>
    <row r="260" spans="1:13">
      <c r="A260" s="51" t="s">
        <v>340</v>
      </c>
      <c r="B260" s="45"/>
      <c r="C260" s="45"/>
      <c r="D260" s="70"/>
      <c r="E260" s="74"/>
      <c r="F260" s="55"/>
      <c r="G260" s="74"/>
      <c r="H260" s="55"/>
      <c r="I260" s="74"/>
      <c r="J260" s="53"/>
      <c r="K260" s="50"/>
      <c r="L260" s="72"/>
      <c r="M260" s="50"/>
    </row>
    <row r="261" spans="1:13">
      <c r="A261" s="43" t="s">
        <v>108</v>
      </c>
      <c r="B261" s="45" t="s">
        <v>109</v>
      </c>
      <c r="C261" s="45"/>
      <c r="D261" s="75"/>
      <c r="E261" s="63">
        <v>243184.77</v>
      </c>
      <c r="F261" s="61"/>
      <c r="G261" s="63">
        <v>129870.67</v>
      </c>
      <c r="H261" s="61"/>
      <c r="I261" s="63">
        <f>K261-G261</f>
        <v>129936.65</v>
      </c>
      <c r="J261" s="57"/>
      <c r="K261" s="68">
        <v>259807.32</v>
      </c>
      <c r="L261" s="57"/>
      <c r="M261" s="68">
        <v>274257</v>
      </c>
    </row>
    <row r="262" spans="1:13">
      <c r="A262" s="43" t="s">
        <v>110</v>
      </c>
      <c r="B262" s="45" t="s">
        <v>111</v>
      </c>
      <c r="C262" s="45"/>
      <c r="D262" s="46"/>
      <c r="E262" s="63">
        <v>17900</v>
      </c>
      <c r="F262" s="48"/>
      <c r="G262" s="63">
        <v>17700</v>
      </c>
      <c r="H262" s="48"/>
      <c r="I262" s="63">
        <f>K262-G262</f>
        <v>11900</v>
      </c>
      <c r="J262" s="49"/>
      <c r="K262" s="68">
        <v>29600</v>
      </c>
      <c r="L262" s="57"/>
      <c r="M262" s="68">
        <v>38400</v>
      </c>
    </row>
    <row r="263" spans="1:13">
      <c r="A263" s="43" t="s">
        <v>112</v>
      </c>
      <c r="B263" s="45" t="s">
        <v>113</v>
      </c>
      <c r="C263" s="45"/>
      <c r="D263" s="46"/>
      <c r="E263" s="64">
        <v>40536.23</v>
      </c>
      <c r="F263" s="48"/>
      <c r="G263" s="64">
        <v>27156.6</v>
      </c>
      <c r="H263" s="48"/>
      <c r="I263" s="63">
        <f>K263-G263</f>
        <v>26969.94</v>
      </c>
      <c r="J263" s="49"/>
      <c r="K263" s="68">
        <v>54126.54</v>
      </c>
      <c r="L263" s="57"/>
      <c r="M263" s="68">
        <v>57138</v>
      </c>
    </row>
    <row r="264" spans="1:13">
      <c r="A264" s="43" t="s">
        <v>114</v>
      </c>
      <c r="B264" s="45" t="s">
        <v>115</v>
      </c>
      <c r="C264" s="15"/>
      <c r="D264" s="70"/>
      <c r="E264" s="64">
        <v>17900</v>
      </c>
      <c r="F264" s="61"/>
      <c r="G264" s="64">
        <v>9500</v>
      </c>
      <c r="H264" s="61"/>
      <c r="I264" s="63">
        <f>K264-G264</f>
        <v>9700</v>
      </c>
      <c r="J264" s="57"/>
      <c r="K264" s="68">
        <v>19200</v>
      </c>
      <c r="L264" s="57"/>
      <c r="M264" s="68">
        <v>19200</v>
      </c>
    </row>
    <row r="265" spans="1:13">
      <c r="A265" s="43" t="s">
        <v>116</v>
      </c>
      <c r="B265" s="45" t="s">
        <v>117</v>
      </c>
      <c r="C265" s="15"/>
      <c r="D265" s="76"/>
      <c r="E265" s="117">
        <v>0</v>
      </c>
      <c r="F265" s="61"/>
      <c r="G265" s="117">
        <v>0</v>
      </c>
      <c r="H265" s="61"/>
      <c r="I265" s="63">
        <f>K265-G265</f>
        <v>0</v>
      </c>
      <c r="J265" s="57"/>
      <c r="K265" s="68">
        <v>0</v>
      </c>
      <c r="L265" s="57"/>
      <c r="M265" s="68">
        <v>0</v>
      </c>
    </row>
    <row r="266" spans="1:13" customHeight="1" ht="15.75">
      <c r="A266" s="43" t="s">
        <v>341</v>
      </c>
      <c r="B266" s="45" t="s">
        <v>119</v>
      </c>
      <c r="C266" s="15"/>
      <c r="D266" s="76"/>
      <c r="E266" s="69">
        <v>0</v>
      </c>
      <c r="F266" s="61"/>
      <c r="G266" s="69">
        <v>0</v>
      </c>
      <c r="H266" s="61"/>
      <c r="I266" s="63">
        <f>K266-G266</f>
        <v>291000</v>
      </c>
      <c r="J266" s="57"/>
      <c r="K266" s="56">
        <v>291000</v>
      </c>
      <c r="L266" s="57"/>
      <c r="M266" s="56">
        <v>112000</v>
      </c>
    </row>
    <row r="267" spans="1:13" customHeight="1" ht="15.75">
      <c r="A267" s="150" t="s">
        <v>342</v>
      </c>
      <c r="B267" s="161"/>
      <c r="C267" s="161"/>
      <c r="D267" s="152" t="s">
        <v>23</v>
      </c>
      <c r="E267" s="153">
        <f>SUM(E251:E266)</f>
        <v>3493153.5</v>
      </c>
      <c r="F267" s="152" t="s">
        <v>23</v>
      </c>
      <c r="G267" s="153">
        <f>SUM(G251:G266)</f>
        <v>1562512.8</v>
      </c>
      <c r="H267" s="152" t="s">
        <v>23</v>
      </c>
      <c r="I267" s="153">
        <f>SUM(I251:I266)</f>
        <v>2406829.06</v>
      </c>
      <c r="J267" s="152" t="s">
        <v>23</v>
      </c>
      <c r="K267" s="153">
        <f>SUM(K251:K266)</f>
        <v>3969341.86</v>
      </c>
      <c r="L267" s="152" t="s">
        <v>23</v>
      </c>
      <c r="M267" s="154">
        <f>SUM(M251:M266)</f>
        <v>4145816</v>
      </c>
    </row>
    <row r="268" spans="1:13" customHeight="1" ht="15.75">
      <c r="K268" s="108"/>
      <c r="L268" s="108"/>
      <c r="M268" s="108"/>
    </row>
    <row r="269" spans="1:13">
      <c r="A269" s="1" t="s">
        <v>0</v>
      </c>
      <c r="K269" s="160"/>
      <c r="L269" s="160"/>
      <c r="M269" s="160"/>
    </row>
    <row r="270" spans="1:13">
      <c r="A270" s="3" t="s">
        <v>1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>
      <c r="A271" s="3" t="s">
        <v>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>
      <c r="A272" s="3" t="s">
        <v>328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customHeight="1" ht="15.75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</row>
    <row r="274" spans="1:13">
      <c r="A274" s="4" t="s">
        <v>4</v>
      </c>
      <c r="B274" s="5"/>
      <c r="C274" s="124" t="s">
        <v>5</v>
      </c>
      <c r="D274" s="88" t="s">
        <v>6</v>
      </c>
      <c r="E274" s="89"/>
      <c r="F274" s="90" t="s">
        <v>7</v>
      </c>
      <c r="G274" s="91"/>
      <c r="H274" s="91"/>
      <c r="I274" s="91"/>
      <c r="J274" s="91"/>
      <c r="K274" s="92"/>
      <c r="L274" s="93" t="s">
        <v>8</v>
      </c>
      <c r="M274" s="94"/>
    </row>
    <row r="275" spans="1:13">
      <c r="A275" s="14"/>
      <c r="B275" s="15" t="s">
        <v>9</v>
      </c>
      <c r="C275" s="15" t="s">
        <v>10</v>
      </c>
      <c r="D275" s="95">
        <v>2023</v>
      </c>
      <c r="E275" s="96"/>
      <c r="F275" s="19" t="s">
        <v>11</v>
      </c>
      <c r="G275" s="20"/>
      <c r="H275" s="21" t="s">
        <v>12</v>
      </c>
      <c r="I275" s="22"/>
      <c r="J275" s="23" t="s">
        <v>13</v>
      </c>
      <c r="K275" s="24"/>
      <c r="L275" s="97">
        <v>2025</v>
      </c>
      <c r="M275" s="98"/>
    </row>
    <row r="276" spans="1:13" customHeight="1" ht="15.75">
      <c r="A276" s="27"/>
      <c r="B276" s="28" t="s">
        <v>14</v>
      </c>
      <c r="C276" s="28" t="s">
        <v>15</v>
      </c>
      <c r="D276" s="32" t="s">
        <v>16</v>
      </c>
      <c r="E276" s="33"/>
      <c r="F276" s="32" t="s">
        <v>17</v>
      </c>
      <c r="G276" s="33"/>
      <c r="H276" s="32" t="s">
        <v>18</v>
      </c>
      <c r="I276" s="33"/>
      <c r="J276" s="34"/>
      <c r="K276" s="35"/>
      <c r="L276" s="99" t="s">
        <v>19</v>
      </c>
      <c r="M276" s="100"/>
    </row>
    <row r="277" spans="1:13">
      <c r="A277" s="163" t="s">
        <v>343</v>
      </c>
      <c r="B277" s="124"/>
      <c r="C277" s="124"/>
      <c r="D277" s="76"/>
      <c r="E277" s="164"/>
      <c r="F277" s="76"/>
      <c r="G277" s="164"/>
      <c r="H277" s="76"/>
      <c r="I277" s="164"/>
      <c r="J277" s="165"/>
      <c r="K277" s="166"/>
      <c r="L277" s="76"/>
      <c r="M277" s="167"/>
    </row>
    <row r="278" spans="1:13">
      <c r="A278" s="43" t="s">
        <v>122</v>
      </c>
      <c r="B278" s="45" t="s">
        <v>123</v>
      </c>
      <c r="C278" s="15"/>
      <c r="D278" s="75" t="s">
        <v>23</v>
      </c>
      <c r="E278" s="168"/>
      <c r="F278" s="75" t="s">
        <v>23</v>
      </c>
      <c r="G278" s="168">
        <v>0</v>
      </c>
      <c r="H278" s="75" t="s">
        <v>23</v>
      </c>
      <c r="I278" s="63">
        <f>K278-G278</f>
        <v>10000</v>
      </c>
      <c r="J278" s="140" t="s">
        <v>23</v>
      </c>
      <c r="K278" s="169">
        <f>'[1]2024'!$L$1269</f>
        <v>10000</v>
      </c>
      <c r="L278" s="75" t="s">
        <v>23</v>
      </c>
      <c r="M278" s="169">
        <v>0</v>
      </c>
    </row>
    <row r="279" spans="1:13">
      <c r="A279" s="43" t="s">
        <v>126</v>
      </c>
      <c r="B279" s="45" t="s">
        <v>127</v>
      </c>
      <c r="C279" s="15"/>
      <c r="D279" s="75"/>
      <c r="E279" s="128">
        <v>40000</v>
      </c>
      <c r="F279" s="75"/>
      <c r="G279" s="128">
        <v>0</v>
      </c>
      <c r="H279" s="75"/>
      <c r="I279" s="63">
        <f>K279-G279</f>
        <v>50000</v>
      </c>
      <c r="J279" s="140"/>
      <c r="K279" s="130">
        <f>'[1]2024'!$L$1270+'[1]2024'!$L$1416</f>
        <v>50000</v>
      </c>
      <c r="L279" s="75"/>
      <c r="M279" s="130">
        <v>100000</v>
      </c>
    </row>
    <row r="280" spans="1:13">
      <c r="A280" s="43" t="s">
        <v>154</v>
      </c>
      <c r="B280" s="45" t="s">
        <v>155</v>
      </c>
      <c r="C280" s="15"/>
      <c r="D280" s="75"/>
      <c r="E280" s="128">
        <v>2011415</v>
      </c>
      <c r="F280" s="75"/>
      <c r="G280" s="128">
        <v>1006557.5</v>
      </c>
      <c r="H280" s="75"/>
      <c r="I280" s="63">
        <f>K280-G280</f>
        <v>893442.5</v>
      </c>
      <c r="J280" s="140"/>
      <c r="K280" s="130">
        <f>'[1]2024'!$L$1271+'[1]2024'!$L$1417</f>
        <v>1900000</v>
      </c>
      <c r="L280" s="75"/>
      <c r="M280" s="130">
        <v>2450000</v>
      </c>
    </row>
    <row r="281" spans="1:13">
      <c r="A281" s="43" t="s">
        <v>344</v>
      </c>
      <c r="B281" s="45" t="s">
        <v>161</v>
      </c>
      <c r="C281" s="52"/>
      <c r="D281" s="57"/>
      <c r="E281" s="63"/>
      <c r="F281" s="57"/>
      <c r="G281" s="63">
        <v>50000</v>
      </c>
      <c r="H281" s="57"/>
      <c r="I281" s="63">
        <f>K281-G281</f>
        <v>100000</v>
      </c>
      <c r="J281" s="57"/>
      <c r="K281" s="68">
        <f>'[1]2024'!$L$1272+'[1]2024'!$L$1418</f>
        <v>150000</v>
      </c>
      <c r="L281" s="57"/>
      <c r="M281" s="68">
        <v>300000</v>
      </c>
    </row>
    <row r="282" spans="1:13" customHeight="1" ht="15.75">
      <c r="A282" s="43" t="s">
        <v>169</v>
      </c>
      <c r="B282" s="45" t="s">
        <v>170</v>
      </c>
      <c r="C282" s="15"/>
      <c r="D282" s="75"/>
      <c r="E282" s="170">
        <v>578582</v>
      </c>
      <c r="F282" s="75"/>
      <c r="G282" s="170">
        <v>110393.5</v>
      </c>
      <c r="H282" s="75"/>
      <c r="I282" s="63">
        <f>K282-G282</f>
        <v>410264.64</v>
      </c>
      <c r="J282" s="140"/>
      <c r="K282" s="171">
        <f>'[1]2024'!$L$1273+'[1]2024'!$L$1345+'[1]2024'!$L$1419</f>
        <v>520658.14</v>
      </c>
      <c r="L282" s="75"/>
      <c r="M282" s="171">
        <v>304184</v>
      </c>
    </row>
    <row r="283" spans="1:13" customHeight="1" ht="15.75">
      <c r="A283" s="51" t="s">
        <v>200</v>
      </c>
      <c r="B283" s="15"/>
      <c r="C283" s="15"/>
      <c r="D283" s="76" t="s">
        <v>23</v>
      </c>
      <c r="E283" s="147">
        <f>SUM(E278:E282)</f>
        <v>2629997</v>
      </c>
      <c r="F283" s="76" t="s">
        <v>23</v>
      </c>
      <c r="G283" s="147">
        <f>SUM(G278:G282)</f>
        <v>1166951</v>
      </c>
      <c r="H283" s="76" t="s">
        <v>23</v>
      </c>
      <c r="I283" s="147">
        <f>SUM(I278:I282)</f>
        <v>1463707.14</v>
      </c>
      <c r="J283" s="165" t="s">
        <v>23</v>
      </c>
      <c r="K283" s="147">
        <f>SUM(K278:K282)</f>
        <v>2630658.14</v>
      </c>
      <c r="L283" s="76" t="s">
        <v>23</v>
      </c>
      <c r="M283" s="172">
        <f>SUM(M278:M282)</f>
        <v>3154184</v>
      </c>
    </row>
    <row r="284" spans="1:13">
      <c r="A284" s="51" t="s">
        <v>201</v>
      </c>
      <c r="B284" s="52"/>
      <c r="C284" s="52"/>
      <c r="D284" s="49"/>
      <c r="E284" s="47"/>
      <c r="F284" s="49"/>
      <c r="G284" s="47"/>
      <c r="H284" s="49"/>
      <c r="I284" s="47"/>
      <c r="J284" s="49"/>
      <c r="K284" s="47"/>
      <c r="L284" s="49"/>
      <c r="M284" s="50"/>
    </row>
    <row r="285" spans="1:13">
      <c r="A285" s="43" t="s">
        <v>208</v>
      </c>
      <c r="B285" s="45" t="s">
        <v>209</v>
      </c>
      <c r="C285" s="52"/>
      <c r="D285" s="49"/>
      <c r="E285" s="63">
        <v>0</v>
      </c>
      <c r="F285" s="49"/>
      <c r="G285" s="63">
        <v>0</v>
      </c>
      <c r="H285" s="49"/>
      <c r="I285" s="63">
        <v>0</v>
      </c>
      <c r="J285" s="49"/>
      <c r="K285" s="68">
        <v>0</v>
      </c>
      <c r="L285" s="57"/>
      <c r="M285" s="68">
        <v>300000</v>
      </c>
    </row>
    <row r="286" spans="1:13" customHeight="1" ht="15.75">
      <c r="A286" s="51" t="s">
        <v>214</v>
      </c>
      <c r="B286" s="15"/>
      <c r="C286" s="15"/>
      <c r="D286" s="76" t="s">
        <v>23</v>
      </c>
      <c r="E286" s="147">
        <f>SUM(E285:E285)</f>
        <v>0</v>
      </c>
      <c r="F286" s="76" t="s">
        <v>23</v>
      </c>
      <c r="G286" s="147">
        <f>SUM(G285:G285)</f>
        <v>0</v>
      </c>
      <c r="H286" s="76" t="s">
        <v>23</v>
      </c>
      <c r="I286" s="147">
        <f>SUM(I285:I285)</f>
        <v>0</v>
      </c>
      <c r="J286" s="165" t="s">
        <v>23</v>
      </c>
      <c r="K286" s="147">
        <f>SUM(K285:K285)</f>
        <v>0</v>
      </c>
      <c r="L286" s="76" t="s">
        <v>23</v>
      </c>
      <c r="M286" s="147">
        <f>SUM(M285:M285)</f>
        <v>300000</v>
      </c>
    </row>
    <row r="287" spans="1:13" customHeight="1" ht="15.75">
      <c r="A287" s="51" t="s">
        <v>319</v>
      </c>
      <c r="B287" s="15"/>
      <c r="C287" s="15"/>
      <c r="D287" s="76" t="s">
        <v>23</v>
      </c>
      <c r="E287" s="131">
        <f>E267+E283+E286</f>
        <v>6123150.5</v>
      </c>
      <c r="F287" s="76" t="s">
        <v>23</v>
      </c>
      <c r="G287" s="131">
        <f>G267+G283</f>
        <v>2729463.8</v>
      </c>
      <c r="H287" s="76" t="s">
        <v>23</v>
      </c>
      <c r="I287" s="131">
        <f>I267+I283</f>
        <v>3870536.2</v>
      </c>
      <c r="J287" s="165" t="s">
        <v>23</v>
      </c>
      <c r="K287" s="131">
        <f>K267+K283</f>
        <v>6600000</v>
      </c>
      <c r="L287" s="76" t="s">
        <v>23</v>
      </c>
      <c r="M287" s="172">
        <f>M283+M267+M286</f>
        <v>7600000</v>
      </c>
    </row>
    <row r="288" spans="1:13" customHeight="1" ht="15.75">
      <c r="A288" s="150" t="s">
        <v>320</v>
      </c>
      <c r="B288" s="173"/>
      <c r="C288" s="173"/>
      <c r="D288" s="174" t="s">
        <v>23</v>
      </c>
      <c r="E288" s="175">
        <f>E248-E287</f>
        <v>1965946.62</v>
      </c>
      <c r="F288" s="174" t="s">
        <v>23</v>
      </c>
      <c r="G288" s="175">
        <f>G248-G287</f>
        <v>1692577.77</v>
      </c>
      <c r="H288" s="174" t="s">
        <v>23</v>
      </c>
      <c r="I288" s="175">
        <f>I248-I287</f>
        <v>-1692577.77</v>
      </c>
      <c r="J288" s="176" t="s">
        <v>23</v>
      </c>
      <c r="K288" s="175">
        <f>K248-K287</f>
        <v>0</v>
      </c>
      <c r="L288" s="174" t="s">
        <v>23</v>
      </c>
      <c r="M288" s="175">
        <f>M248-M287</f>
        <v>0</v>
      </c>
    </row>
    <row r="289" spans="1:13" customHeight="1" ht="15.75">
      <c r="A289" s="177"/>
      <c r="B289" s="178"/>
      <c r="C289" s="178"/>
      <c r="D289" s="178"/>
      <c r="E289" s="178"/>
      <c r="F289" s="178"/>
      <c r="G289" s="179"/>
      <c r="H289" s="178"/>
      <c r="I289" s="178"/>
      <c r="J289" s="180"/>
      <c r="K289" s="180"/>
      <c r="L289" s="178"/>
      <c r="M289" s="178"/>
    </row>
    <row r="290" spans="1:13">
      <c r="A290" s="159" t="s">
        <v>321</v>
      </c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</row>
    <row r="291" spans="1:13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</row>
    <row r="292" spans="1:13">
      <c r="A292" s="25" t="s">
        <v>322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</row>
    <row r="293" spans="1:1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</row>
    <row r="294" spans="1:13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</row>
    <row r="295" spans="1:13">
      <c r="A295" s="156" t="s">
        <v>323</v>
      </c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</row>
    <row r="296" spans="1:13">
      <c r="A296" s="157" t="s">
        <v>345</v>
      </c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</row>
    <row r="297" spans="1:13">
      <c r="A297" s="57"/>
      <c r="B297" s="75"/>
      <c r="C297" s="75"/>
      <c r="D297" s="57"/>
      <c r="E297" s="159"/>
      <c r="F297" s="159"/>
      <c r="G297" s="159"/>
      <c r="H297" s="159"/>
      <c r="I297" s="75"/>
      <c r="J297" s="75"/>
      <c r="K297" s="75"/>
      <c r="L297" s="75"/>
      <c r="M297" s="75"/>
    </row>
    <row r="298" spans="1:13">
      <c r="A298" s="57"/>
      <c r="B298" s="75"/>
      <c r="C298" s="75"/>
      <c r="D298" s="57"/>
      <c r="E298" s="75"/>
      <c r="F298" s="75"/>
      <c r="G298" s="75"/>
      <c r="H298" s="75"/>
      <c r="I298" s="75"/>
      <c r="J298" s="75"/>
      <c r="K298" s="75"/>
      <c r="L298" s="75"/>
      <c r="M298" s="75"/>
    </row>
    <row r="299" spans="1:13">
      <c r="A299" s="158" t="s">
        <v>325</v>
      </c>
      <c r="B299" s="75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</row>
    <row r="300" spans="1:13">
      <c r="A300" s="158"/>
      <c r="B300" s="75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</row>
    <row r="301" spans="1:13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</row>
    <row r="302" spans="1:13">
      <c r="A302" s="97" t="s">
        <v>326</v>
      </c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</row>
    <row r="303" spans="1:13">
      <c r="A303" s="160" t="s">
        <v>327</v>
      </c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</row>
    <row r="304" spans="1:13">
      <c r="A304" s="165"/>
      <c r="B304" s="76"/>
      <c r="C304" s="76"/>
      <c r="D304" s="76"/>
      <c r="E304" s="76"/>
      <c r="F304" s="76"/>
      <c r="G304" s="76"/>
      <c r="H304" s="76"/>
      <c r="I304" s="76"/>
      <c r="J304" s="165"/>
      <c r="K304" s="160"/>
      <c r="L304" s="160"/>
      <c r="M304" s="160"/>
    </row>
    <row r="305" spans="1:13">
      <c r="A305" s="165"/>
      <c r="B305" s="76"/>
      <c r="C305" s="76"/>
      <c r="D305" s="76"/>
      <c r="E305" s="76"/>
      <c r="F305" s="76"/>
      <c r="G305" s="76"/>
      <c r="H305" s="76"/>
      <c r="I305" s="76"/>
      <c r="J305" s="165"/>
      <c r="K305" s="165"/>
      <c r="L305" s="76"/>
      <c r="M305" s="76"/>
    </row>
    <row r="306" spans="1:13">
      <c r="J306" s="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3:M303"/>
    <mergeCell ref="K304:M304"/>
    <mergeCell ref="A292:M292"/>
    <mergeCell ref="A295:M295"/>
    <mergeCell ref="A296:M296"/>
    <mergeCell ref="E297:H297"/>
    <mergeCell ref="A301:M301"/>
    <mergeCell ref="A302:M302"/>
    <mergeCell ref="L275:M275"/>
    <mergeCell ref="D276:E276"/>
    <mergeCell ref="F276:G276"/>
    <mergeCell ref="H276:I276"/>
    <mergeCell ref="L276:M276"/>
    <mergeCell ref="A290:M290"/>
    <mergeCell ref="A271:M271"/>
    <mergeCell ref="A272:M272"/>
    <mergeCell ref="A274:A276"/>
    <mergeCell ref="D274:E274"/>
    <mergeCell ref="F274:K274"/>
    <mergeCell ref="L274:M274"/>
    <mergeCell ref="D275:E275"/>
    <mergeCell ref="F275:G275"/>
    <mergeCell ref="H275:I275"/>
    <mergeCell ref="J275:K276"/>
    <mergeCell ref="D237:E237"/>
    <mergeCell ref="F237:G237"/>
    <mergeCell ref="H237:I237"/>
    <mergeCell ref="L237:M237"/>
    <mergeCell ref="K269:M269"/>
    <mergeCell ref="A270:M270"/>
    <mergeCell ref="A234:M234"/>
    <mergeCell ref="A235:A237"/>
    <mergeCell ref="D235:E235"/>
    <mergeCell ref="F235:K235"/>
    <mergeCell ref="L235:M235"/>
    <mergeCell ref="D236:E236"/>
    <mergeCell ref="F236:G236"/>
    <mergeCell ref="H236:I236"/>
    <mergeCell ref="J236:K237"/>
    <mergeCell ref="L236:M236"/>
    <mergeCell ref="A223:M223"/>
    <mergeCell ref="E226:H226"/>
    <mergeCell ref="A228:M228"/>
    <mergeCell ref="A229:M229"/>
    <mergeCell ref="A232:M232"/>
    <mergeCell ref="A233:M233"/>
    <mergeCell ref="F195:G195"/>
    <mergeCell ref="H195:I195"/>
    <mergeCell ref="L195:M195"/>
    <mergeCell ref="A217:M217"/>
    <mergeCell ref="A219:M219"/>
    <mergeCell ref="A222:M222"/>
    <mergeCell ref="A193:A195"/>
    <mergeCell ref="D193:E193"/>
    <mergeCell ref="F193:K193"/>
    <mergeCell ref="L193:M193"/>
    <mergeCell ref="D194:E194"/>
    <mergeCell ref="F194:G194"/>
    <mergeCell ref="H194:I194"/>
    <mergeCell ref="J194:K195"/>
    <mergeCell ref="L194:M194"/>
    <mergeCell ref="D195:E195"/>
    <mergeCell ref="J155:K156"/>
    <mergeCell ref="L155:M155"/>
    <mergeCell ref="D156:E156"/>
    <mergeCell ref="F156:G156"/>
    <mergeCell ref="H156:I156"/>
    <mergeCell ref="L156:M156"/>
    <mergeCell ref="F118:G118"/>
    <mergeCell ref="H118:I118"/>
    <mergeCell ref="L118:M118"/>
    <mergeCell ref="A154:A156"/>
    <mergeCell ref="D154:E154"/>
    <mergeCell ref="F154:K154"/>
    <mergeCell ref="L154:M154"/>
    <mergeCell ref="D155:E155"/>
    <mergeCell ref="F155:G155"/>
    <mergeCell ref="H155:I155"/>
    <mergeCell ref="A116:A118"/>
    <mergeCell ref="D116:E116"/>
    <mergeCell ref="F116:K116"/>
    <mergeCell ref="L116:M116"/>
    <mergeCell ref="D117:E117"/>
    <mergeCell ref="F117:G117"/>
    <mergeCell ref="H117:I117"/>
    <mergeCell ref="J117:K118"/>
    <mergeCell ref="L117:M117"/>
    <mergeCell ref="D118:E118"/>
    <mergeCell ref="H78:I78"/>
    <mergeCell ref="J78:K79"/>
    <mergeCell ref="L78:M78"/>
    <mergeCell ref="D79:E79"/>
    <mergeCell ref="F79:G79"/>
    <mergeCell ref="H79:I79"/>
    <mergeCell ref="L79:M79"/>
    <mergeCell ref="F42:G42"/>
    <mergeCell ref="H42:I42"/>
    <mergeCell ref="L42:M42"/>
    <mergeCell ref="K76:M76"/>
    <mergeCell ref="A77:A79"/>
    <mergeCell ref="D77:E77"/>
    <mergeCell ref="F77:K77"/>
    <mergeCell ref="L77:M77"/>
    <mergeCell ref="D78:E78"/>
    <mergeCell ref="F78:G78"/>
    <mergeCell ref="A40:A42"/>
    <mergeCell ref="D40:E40"/>
    <mergeCell ref="F40:K40"/>
    <mergeCell ref="L40:M40"/>
    <mergeCell ref="D41:E41"/>
    <mergeCell ref="F41:G41"/>
    <mergeCell ref="H41:I41"/>
    <mergeCell ref="J41:K42"/>
    <mergeCell ref="L41:M41"/>
    <mergeCell ref="D42:E42"/>
    <mergeCell ref="J6:K7"/>
    <mergeCell ref="L6:M6"/>
    <mergeCell ref="D7:E7"/>
    <mergeCell ref="F7:G7"/>
    <mergeCell ref="H7:I7"/>
    <mergeCell ref="L7:M7"/>
    <mergeCell ref="A2:M2"/>
    <mergeCell ref="A3:M3"/>
    <mergeCell ref="A4:M4"/>
    <mergeCell ref="A5:A7"/>
    <mergeCell ref="D5:E5"/>
    <mergeCell ref="F5:K5"/>
    <mergeCell ref="L5:M5"/>
    <mergeCell ref="D6:E6"/>
    <mergeCell ref="F6:G6"/>
    <mergeCell ref="H6:I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0"/>
  <sheetViews>
    <sheetView tabSelected="0" workbookViewId="0" showGridLines="true" showRowColHeaders="1">
      <selection activeCell="P16" sqref="P16"/>
    </sheetView>
  </sheetViews>
  <sheetFormatPr defaultRowHeight="14.4" outlineLevelRow="0" outlineLevelCol="0"/>
  <cols>
    <col min="1" max="1" width="63" customWidth="true" style="0"/>
    <col min="2" max="2" width="12.140625" customWidth="true" style="0"/>
    <col min="3" max="3" width="2" customWidth="true" style="0"/>
    <col min="4" max="4" width="11.140625" customWidth="true" style="0"/>
    <col min="5" max="5" width="2" customWidth="true" style="0"/>
    <col min="6" max="6" width="11.140625" customWidth="true" style="0"/>
    <col min="7" max="7" width="2" customWidth="true" style="0"/>
    <col min="8" max="8" width="11.140625" customWidth="true" style="0"/>
    <col min="9" max="9" width="2" customWidth="true" style="0"/>
    <col min="10" max="10" width="11.140625" customWidth="true" style="0"/>
    <col min="11" max="11" width="2" customWidth="true" style="0"/>
    <col min="12" max="12" width="11.140625" customWidth="true" style="188"/>
    <col min="13" max="13" width="11.140625" customWidth="true" style="188"/>
    <col min="14" max="14" width="16.28515625" customWidth="true" style="188"/>
    <col min="15" max="15" width="13" customWidth="true" style="188"/>
    <col min="16" max="16" width="13" customWidth="true" style="188"/>
    <col min="17" max="17" width="13" customWidth="true" style="188"/>
    <col min="18" max="18" width="13" customWidth="true" style="188"/>
    <col min="19" max="19" width="13" customWidth="true" style="188"/>
    <col min="20" max="20" width="13" customWidth="true" style="188"/>
    <col min="22" max="22" width="13.42578125" customWidth="true" style="0"/>
  </cols>
  <sheetData>
    <row r="1" spans="1:22">
      <c r="A1" s="181" t="s">
        <v>346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2"/>
      <c r="M1" s="182"/>
      <c r="N1" s="182"/>
      <c r="O1" s="182"/>
      <c r="P1" s="182"/>
      <c r="Q1" s="182"/>
      <c r="R1" s="182"/>
      <c r="S1" s="182"/>
      <c r="T1" s="182"/>
    </row>
    <row r="3" spans="1:22" customHeight="1" ht="15.75">
      <c r="A3" s="183" t="s">
        <v>347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184"/>
      <c r="O3" s="184"/>
      <c r="P3" s="184"/>
      <c r="Q3" s="184"/>
      <c r="R3" s="184"/>
      <c r="S3" s="184"/>
      <c r="T3" s="184"/>
    </row>
    <row r="4" spans="1:22">
      <c r="A4" s="185" t="s">
        <v>348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6"/>
      <c r="N4" s="186"/>
      <c r="O4" s="186"/>
      <c r="P4" s="186"/>
      <c r="Q4" s="186"/>
      <c r="R4" s="186"/>
      <c r="S4" s="186"/>
      <c r="T4" s="186"/>
    </row>
    <row r="6" spans="1:22">
      <c r="A6" s="187" t="s">
        <v>349</v>
      </c>
    </row>
    <row r="7" spans="1:22" customHeight="1" ht="15.75"/>
    <row r="8" spans="1:22">
      <c r="A8" s="189"/>
      <c r="B8" s="190"/>
      <c r="C8" s="191" t="s">
        <v>350</v>
      </c>
      <c r="D8" s="192"/>
      <c r="E8" s="193" t="s">
        <v>351</v>
      </c>
      <c r="F8" s="194"/>
      <c r="G8" s="194"/>
      <c r="H8" s="194"/>
      <c r="I8" s="194"/>
      <c r="J8" s="195"/>
      <c r="K8" s="191" t="s">
        <v>352</v>
      </c>
      <c r="L8" s="196"/>
      <c r="M8" s="186"/>
      <c r="N8" s="186"/>
      <c r="O8" s="186"/>
      <c r="P8" s="186"/>
      <c r="Q8" s="186"/>
      <c r="R8" s="186"/>
      <c r="S8" s="186"/>
      <c r="T8" s="186"/>
    </row>
    <row r="9" spans="1:22">
      <c r="A9" s="197" t="s">
        <v>353</v>
      </c>
      <c r="B9" s="198" t="s">
        <v>354</v>
      </c>
      <c r="C9" s="199">
        <v>2023</v>
      </c>
      <c r="D9" s="200"/>
      <c r="E9" s="201" t="s">
        <v>11</v>
      </c>
      <c r="F9" s="202"/>
      <c r="G9" s="201" t="s">
        <v>355</v>
      </c>
      <c r="H9" s="202"/>
      <c r="I9" s="203" t="s">
        <v>356</v>
      </c>
      <c r="J9" s="204"/>
      <c r="K9" s="199">
        <v>2025</v>
      </c>
      <c r="L9" s="205"/>
      <c r="M9" s="186"/>
      <c r="N9" s="186"/>
      <c r="O9" s="186"/>
      <c r="P9" s="186"/>
      <c r="Q9" s="186"/>
      <c r="R9" s="186"/>
      <c r="S9" s="186"/>
      <c r="T9" s="186"/>
    </row>
    <row r="10" spans="1:22" customHeight="1" ht="15.75">
      <c r="A10" s="206"/>
      <c r="B10" s="207"/>
      <c r="C10" s="208" t="s">
        <v>17</v>
      </c>
      <c r="D10" s="209"/>
      <c r="E10" s="208" t="s">
        <v>17</v>
      </c>
      <c r="F10" s="209"/>
      <c r="G10" s="208" t="s">
        <v>18</v>
      </c>
      <c r="H10" s="209"/>
      <c r="I10" s="210"/>
      <c r="J10" s="211"/>
      <c r="K10" s="208" t="s">
        <v>357</v>
      </c>
      <c r="L10" s="212"/>
      <c r="M10" s="186"/>
      <c r="N10" s="186"/>
      <c r="O10" s="186"/>
      <c r="P10" s="186"/>
      <c r="Q10" s="186"/>
      <c r="R10" s="186"/>
      <c r="S10" s="186"/>
      <c r="T10" s="186"/>
    </row>
    <row r="11" spans="1:22">
      <c r="A11" s="213" t="s">
        <v>80</v>
      </c>
      <c r="B11" s="214"/>
      <c r="C11" s="215"/>
      <c r="D11" s="216"/>
      <c r="E11" s="215"/>
      <c r="F11" s="216"/>
      <c r="G11" s="215"/>
      <c r="H11" s="216"/>
      <c r="I11" s="215"/>
      <c r="J11" s="216"/>
      <c r="K11" s="215"/>
      <c r="L11" s="217"/>
      <c r="M11" s="218"/>
      <c r="N11" s="218"/>
      <c r="O11" s="218"/>
      <c r="P11" s="218"/>
      <c r="Q11" s="218"/>
      <c r="R11" s="218"/>
      <c r="S11" s="218"/>
      <c r="T11" s="218"/>
    </row>
    <row r="12" spans="1:22">
      <c r="A12" s="219" t="s">
        <v>82</v>
      </c>
      <c r="B12" s="214" t="s">
        <v>83</v>
      </c>
      <c r="C12" s="215" t="s">
        <v>23</v>
      </c>
      <c r="D12" s="220">
        <v>3226912.5</v>
      </c>
      <c r="E12" s="215" t="s">
        <v>23</v>
      </c>
      <c r="F12" s="220">
        <v>1719664.67</v>
      </c>
      <c r="G12" s="221" t="s">
        <v>23</v>
      </c>
      <c r="H12" s="220">
        <f>J12-F12</f>
        <v>2244043.33</v>
      </c>
      <c r="I12" s="215" t="s">
        <v>23</v>
      </c>
      <c r="J12" s="222">
        <v>3963708</v>
      </c>
      <c r="K12" s="215" t="s">
        <v>23</v>
      </c>
      <c r="L12" s="223">
        <v>4722516</v>
      </c>
      <c r="M12" s="224"/>
      <c r="N12" s="224"/>
      <c r="O12" s="224"/>
      <c r="P12" s="224"/>
      <c r="Q12" s="224"/>
      <c r="R12" s="224"/>
      <c r="S12" s="224"/>
      <c r="T12" s="224"/>
    </row>
    <row r="13" spans="1:22">
      <c r="A13" s="225" t="s">
        <v>338</v>
      </c>
      <c r="B13" s="214"/>
      <c r="C13" s="215"/>
      <c r="D13" s="226"/>
      <c r="E13" s="221"/>
      <c r="F13" s="226"/>
      <c r="G13" s="221"/>
      <c r="H13" s="226"/>
      <c r="I13" s="221"/>
      <c r="J13" s="227"/>
      <c r="K13" s="215"/>
      <c r="L13" s="228"/>
      <c r="M13" s="224"/>
      <c r="N13" s="224"/>
      <c r="O13" s="224"/>
      <c r="P13" s="224"/>
      <c r="Q13" s="224"/>
      <c r="R13" s="224"/>
      <c r="S13" s="224"/>
      <c r="T13" s="224"/>
    </row>
    <row r="14" spans="1:22">
      <c r="A14" s="219" t="s">
        <v>84</v>
      </c>
      <c r="B14" s="214" t="s">
        <v>85</v>
      </c>
      <c r="C14" s="215"/>
      <c r="D14" s="226">
        <v>226000</v>
      </c>
      <c r="E14" s="221"/>
      <c r="F14" s="226">
        <v>128000</v>
      </c>
      <c r="G14" s="221"/>
      <c r="H14" s="220">
        <f>J14-F14</f>
        <v>160000</v>
      </c>
      <c r="I14" s="221"/>
      <c r="J14" s="227">
        <v>288000</v>
      </c>
      <c r="K14" s="215"/>
      <c r="L14" s="228">
        <v>312000</v>
      </c>
      <c r="M14" s="224"/>
      <c r="N14" s="224"/>
      <c r="O14" s="224"/>
      <c r="P14" s="224"/>
      <c r="Q14" s="224"/>
      <c r="R14" s="224"/>
      <c r="S14" s="224"/>
      <c r="T14" s="224"/>
    </row>
    <row r="15" spans="1:22">
      <c r="A15" s="219" t="s">
        <v>86</v>
      </c>
      <c r="B15" s="214" t="s">
        <v>87</v>
      </c>
      <c r="C15" s="215"/>
      <c r="D15" s="229">
        <v>86400</v>
      </c>
      <c r="E15" s="221"/>
      <c r="F15" s="229">
        <v>48000</v>
      </c>
      <c r="G15" s="221"/>
      <c r="H15" s="220">
        <f>J15-F15</f>
        <v>48000</v>
      </c>
      <c r="I15" s="221"/>
      <c r="J15" s="230">
        <v>96000</v>
      </c>
      <c r="K15" s="215"/>
      <c r="L15" s="231">
        <v>96000</v>
      </c>
      <c r="M15" s="224"/>
      <c r="N15" s="224"/>
      <c r="O15" s="224"/>
      <c r="P15" s="224"/>
      <c r="Q15" s="224"/>
      <c r="R15" s="224"/>
      <c r="S15" s="224"/>
      <c r="T15" s="224"/>
    </row>
    <row r="16" spans="1:22">
      <c r="A16" s="219" t="s">
        <v>88</v>
      </c>
      <c r="B16" s="214" t="s">
        <v>89</v>
      </c>
      <c r="C16" s="215"/>
      <c r="D16" s="229">
        <v>86400</v>
      </c>
      <c r="E16" s="221"/>
      <c r="F16" s="229">
        <v>48000</v>
      </c>
      <c r="G16" s="221"/>
      <c r="H16" s="220">
        <f>J16-F16</f>
        <v>48000</v>
      </c>
      <c r="I16" s="221"/>
      <c r="J16" s="230">
        <v>96000</v>
      </c>
      <c r="K16" s="215"/>
      <c r="L16" s="231">
        <v>96000</v>
      </c>
      <c r="M16" s="224"/>
      <c r="N16" s="224"/>
      <c r="O16" s="224"/>
      <c r="P16" s="224"/>
      <c r="Q16" s="224"/>
      <c r="R16" s="224"/>
      <c r="S16" s="224"/>
      <c r="T16" s="224"/>
    </row>
    <row r="17" spans="1:22">
      <c r="A17" s="219" t="s">
        <v>90</v>
      </c>
      <c r="B17" s="214" t="s">
        <v>91</v>
      </c>
      <c r="C17" s="215"/>
      <c r="D17" s="229">
        <v>60000</v>
      </c>
      <c r="E17" s="221"/>
      <c r="F17" s="229">
        <v>77000</v>
      </c>
      <c r="G17" s="221"/>
      <c r="H17" s="220">
        <f>J17-F17</f>
        <v>14000</v>
      </c>
      <c r="I17" s="221"/>
      <c r="J17" s="230">
        <v>91000</v>
      </c>
      <c r="K17" s="215"/>
      <c r="L17" s="231">
        <v>91000</v>
      </c>
      <c r="M17" s="224"/>
      <c r="N17" s="224"/>
      <c r="O17" s="224"/>
      <c r="P17" s="224"/>
      <c r="Q17" s="224"/>
      <c r="R17" s="224"/>
      <c r="S17" s="224"/>
      <c r="T17" s="224"/>
    </row>
    <row r="18" spans="1:22">
      <c r="A18" s="219" t="s">
        <v>96</v>
      </c>
      <c r="B18" s="214" t="s">
        <v>97</v>
      </c>
      <c r="C18" s="215"/>
      <c r="D18" s="229">
        <v>45000</v>
      </c>
      <c r="E18" s="221"/>
      <c r="F18" s="229">
        <v>0</v>
      </c>
      <c r="G18" s="221"/>
      <c r="H18" s="220">
        <f>J18-F18</f>
        <v>65000</v>
      </c>
      <c r="I18" s="221"/>
      <c r="J18" s="230">
        <v>65000</v>
      </c>
      <c r="K18" s="215"/>
      <c r="L18" s="231">
        <f>13*5000</f>
        <v>65000</v>
      </c>
      <c r="M18" s="224"/>
      <c r="N18" s="224"/>
      <c r="O18" s="224"/>
      <c r="P18" s="224"/>
      <c r="Q18" s="224"/>
      <c r="R18" s="224"/>
      <c r="S18" s="224"/>
      <c r="T18" s="224"/>
    </row>
    <row r="19" spans="1:22">
      <c r="A19" s="219" t="s">
        <v>358</v>
      </c>
      <c r="B19" s="214" t="s">
        <v>99</v>
      </c>
      <c r="C19" s="215"/>
      <c r="D19" s="229">
        <v>135000</v>
      </c>
      <c r="E19" s="221"/>
      <c r="F19" s="229">
        <v>0</v>
      </c>
      <c r="G19" s="221"/>
      <c r="H19" s="220">
        <f>J19-F19</f>
        <v>130000</v>
      </c>
      <c r="I19" s="221"/>
      <c r="J19" s="230">
        <v>130000</v>
      </c>
      <c r="K19" s="215"/>
      <c r="L19" s="231">
        <f>20000*13</f>
        <v>260000</v>
      </c>
      <c r="M19" s="224"/>
      <c r="N19" s="224"/>
      <c r="O19" s="224"/>
      <c r="P19" s="224"/>
      <c r="Q19" s="224"/>
      <c r="R19" s="224"/>
      <c r="S19" s="224"/>
      <c r="T19" s="224"/>
    </row>
    <row r="20" spans="1:22">
      <c r="A20" s="219" t="s">
        <v>102</v>
      </c>
      <c r="B20" s="214" t="s">
        <v>103</v>
      </c>
      <c r="C20" s="215"/>
      <c r="D20" s="229">
        <v>270423.5</v>
      </c>
      <c r="E20" s="221"/>
      <c r="F20" s="229">
        <v>0</v>
      </c>
      <c r="G20" s="221"/>
      <c r="H20" s="220">
        <f>J20-F20</f>
        <v>369565</v>
      </c>
      <c r="I20" s="221"/>
      <c r="J20" s="230">
        <v>369565</v>
      </c>
      <c r="K20" s="215"/>
      <c r="L20" s="231">
        <v>529640</v>
      </c>
      <c r="M20" s="224"/>
      <c r="N20" s="224"/>
      <c r="O20" s="224"/>
      <c r="P20" s="224"/>
      <c r="Q20" s="224"/>
      <c r="R20" s="224"/>
      <c r="S20" s="224"/>
      <c r="T20" s="224"/>
    </row>
    <row r="21" spans="1:22">
      <c r="A21" s="219" t="s">
        <v>104</v>
      </c>
      <c r="B21" s="214" t="s">
        <v>105</v>
      </c>
      <c r="C21" s="215"/>
      <c r="D21" s="229">
        <v>47500</v>
      </c>
      <c r="E21" s="221"/>
      <c r="F21" s="229">
        <v>0</v>
      </c>
      <c r="G21" s="221"/>
      <c r="H21" s="220">
        <f>J21-F21</f>
        <v>65000</v>
      </c>
      <c r="I21" s="221"/>
      <c r="J21" s="230">
        <v>65000</v>
      </c>
      <c r="K21" s="215"/>
      <c r="L21" s="231">
        <v>65000</v>
      </c>
      <c r="M21" s="224"/>
      <c r="N21" s="224"/>
      <c r="O21" s="224"/>
      <c r="P21" s="224"/>
      <c r="Q21" s="224"/>
      <c r="R21" s="224"/>
      <c r="S21" s="224"/>
      <c r="T21" s="224"/>
    </row>
    <row r="22" spans="1:22">
      <c r="A22" s="219" t="s">
        <v>106</v>
      </c>
      <c r="B22" s="214" t="s">
        <v>107</v>
      </c>
      <c r="C22" s="215"/>
      <c r="D22" s="229">
        <v>276478</v>
      </c>
      <c r="E22" s="221"/>
      <c r="F22" s="229">
        <v>264461</v>
      </c>
      <c r="G22" s="221"/>
      <c r="H22" s="220">
        <f>J22-F22</f>
        <v>26638</v>
      </c>
      <c r="I22" s="221"/>
      <c r="J22" s="230">
        <v>291099</v>
      </c>
      <c r="K22" s="215"/>
      <c r="L22" s="231">
        <v>386399</v>
      </c>
      <c r="M22" s="224"/>
      <c r="N22" s="224"/>
      <c r="O22" s="224"/>
      <c r="P22" s="224"/>
      <c r="Q22" s="224"/>
      <c r="R22" s="224"/>
      <c r="S22" s="224"/>
      <c r="T22" s="224"/>
    </row>
    <row r="23" spans="1:22">
      <c r="A23" s="225" t="s">
        <v>340</v>
      </c>
      <c r="B23" s="214"/>
      <c r="C23" s="215"/>
      <c r="D23" s="232"/>
      <c r="E23" s="221"/>
      <c r="F23" s="226"/>
      <c r="G23" s="221"/>
      <c r="H23" s="226"/>
      <c r="I23" s="221"/>
      <c r="J23" s="227"/>
      <c r="K23" s="215"/>
      <c r="L23" s="228"/>
      <c r="M23" s="224"/>
      <c r="N23" s="224"/>
      <c r="O23" s="224"/>
      <c r="P23" s="224"/>
      <c r="Q23" s="224"/>
      <c r="R23" s="224"/>
      <c r="S23" s="224"/>
      <c r="T23" s="224"/>
    </row>
    <row r="24" spans="1:22">
      <c r="A24" s="219" t="s">
        <v>108</v>
      </c>
      <c r="B24" s="214" t="s">
        <v>109</v>
      </c>
      <c r="C24" s="215"/>
      <c r="D24" s="233">
        <v>387956.04</v>
      </c>
      <c r="E24" s="221"/>
      <c r="F24" s="226">
        <v>206359.76</v>
      </c>
      <c r="G24" s="221"/>
      <c r="H24" s="220">
        <f>J24-F24</f>
        <v>269285.2</v>
      </c>
      <c r="I24" s="221"/>
      <c r="J24" s="227">
        <v>475644.96</v>
      </c>
      <c r="K24" s="215"/>
      <c r="L24" s="228">
        <v>566702</v>
      </c>
      <c r="M24" s="224"/>
      <c r="N24" s="224"/>
      <c r="O24" s="224"/>
      <c r="P24" s="224"/>
      <c r="Q24" s="224"/>
      <c r="R24" s="224"/>
      <c r="S24" s="224"/>
      <c r="T24" s="224"/>
    </row>
    <row r="25" spans="1:22">
      <c r="A25" s="219" t="s">
        <v>110</v>
      </c>
      <c r="B25" s="214" t="s">
        <v>111</v>
      </c>
      <c r="C25" s="215"/>
      <c r="D25" s="234">
        <v>11300</v>
      </c>
      <c r="E25" s="221"/>
      <c r="F25" s="235">
        <v>11900</v>
      </c>
      <c r="G25" s="221"/>
      <c r="H25" s="220">
        <f>J25-F25</f>
        <v>18100</v>
      </c>
      <c r="I25" s="221"/>
      <c r="J25" s="236">
        <v>30000</v>
      </c>
      <c r="K25" s="215"/>
      <c r="L25" s="237">
        <v>31200</v>
      </c>
      <c r="M25" s="224"/>
      <c r="N25" s="224"/>
      <c r="O25" s="224"/>
      <c r="P25" s="224"/>
      <c r="Q25" s="224"/>
      <c r="R25" s="224"/>
      <c r="S25" s="224"/>
      <c r="T25" s="224"/>
    </row>
    <row r="26" spans="1:22">
      <c r="A26" s="219" t="s">
        <v>112</v>
      </c>
      <c r="B26" s="214" t="s">
        <v>113</v>
      </c>
      <c r="C26" s="215"/>
      <c r="D26" s="234">
        <v>58683.28</v>
      </c>
      <c r="E26" s="221"/>
      <c r="F26" s="235">
        <v>42256.83</v>
      </c>
      <c r="G26" s="221"/>
      <c r="H26" s="220">
        <f>J26-F26</f>
        <v>56835.87</v>
      </c>
      <c r="I26" s="221"/>
      <c r="J26" s="236">
        <v>99092.7</v>
      </c>
      <c r="K26" s="215"/>
      <c r="L26" s="237">
        <v>118066</v>
      </c>
      <c r="M26" s="224"/>
      <c r="N26" s="224"/>
      <c r="O26" s="224"/>
      <c r="P26" s="224"/>
      <c r="Q26" s="224"/>
      <c r="R26" s="224"/>
      <c r="S26" s="224"/>
      <c r="T26" s="224"/>
    </row>
    <row r="27" spans="1:22">
      <c r="A27" s="219" t="s">
        <v>114</v>
      </c>
      <c r="B27" s="214" t="s">
        <v>115</v>
      </c>
      <c r="C27" s="215"/>
      <c r="D27" s="234">
        <v>11300</v>
      </c>
      <c r="E27" s="221"/>
      <c r="F27" s="235">
        <v>6400</v>
      </c>
      <c r="G27" s="221"/>
      <c r="H27" s="220">
        <f>J27-F27</f>
        <v>8000</v>
      </c>
      <c r="I27" s="221"/>
      <c r="J27" s="236">
        <v>14400</v>
      </c>
      <c r="K27" s="215"/>
      <c r="L27" s="237">
        <v>15600</v>
      </c>
      <c r="M27" s="224"/>
      <c r="N27" s="224"/>
      <c r="O27" s="224"/>
      <c r="P27" s="224"/>
      <c r="Q27" s="224"/>
      <c r="R27" s="224"/>
      <c r="S27" s="224"/>
      <c r="T27" s="224"/>
    </row>
    <row r="28" spans="1:22">
      <c r="A28" s="225" t="s">
        <v>359</v>
      </c>
      <c r="B28" s="214"/>
      <c r="C28" s="215"/>
      <c r="D28" s="226"/>
      <c r="E28" s="221"/>
      <c r="F28" s="226"/>
      <c r="G28" s="221"/>
      <c r="H28" s="226"/>
      <c r="I28" s="221"/>
      <c r="J28" s="227"/>
      <c r="K28" s="215"/>
      <c r="L28" s="228"/>
      <c r="M28" s="224"/>
      <c r="N28" s="224"/>
      <c r="O28" s="224"/>
      <c r="P28" s="224"/>
      <c r="Q28" s="224"/>
      <c r="R28" s="224"/>
      <c r="S28" s="224"/>
      <c r="T28" s="224"/>
    </row>
    <row r="29" spans="1:22">
      <c r="A29" s="238" t="s">
        <v>360</v>
      </c>
      <c r="B29" s="214" t="s">
        <v>117</v>
      </c>
      <c r="C29" s="215"/>
      <c r="D29" s="220">
        <v>0</v>
      </c>
      <c r="E29" s="221"/>
      <c r="F29" s="220">
        <v>0</v>
      </c>
      <c r="G29" s="221"/>
      <c r="H29" s="220">
        <f>J29-F29</f>
        <v>107008.97</v>
      </c>
      <c r="I29" s="221"/>
      <c r="J29" s="222">
        <v>107008.97</v>
      </c>
      <c r="K29" s="215"/>
      <c r="L29" s="223">
        <v>1098657</v>
      </c>
      <c r="M29" s="224"/>
      <c r="N29" s="224"/>
      <c r="O29" s="224"/>
      <c r="P29" s="224"/>
      <c r="Q29" s="224"/>
      <c r="R29" s="224"/>
      <c r="S29" s="224"/>
      <c r="T29" s="224"/>
    </row>
    <row r="30" spans="1:22" customHeight="1" ht="15.75">
      <c r="A30" s="238" t="s">
        <v>361</v>
      </c>
      <c r="B30" s="214" t="s">
        <v>119</v>
      </c>
      <c r="C30" s="215"/>
      <c r="D30" s="239">
        <v>0</v>
      </c>
      <c r="E30" s="215"/>
      <c r="F30" s="239">
        <v>0</v>
      </c>
      <c r="G30" s="215"/>
      <c r="H30" s="220">
        <f>J30-F30</f>
        <v>5000</v>
      </c>
      <c r="I30" s="215"/>
      <c r="J30" s="240">
        <v>5000</v>
      </c>
      <c r="K30" s="215"/>
      <c r="L30" s="241">
        <v>91000</v>
      </c>
      <c r="M30" s="224"/>
      <c r="N30" s="224"/>
      <c r="O30" s="224"/>
      <c r="P30" s="224"/>
      <c r="Q30" s="224"/>
      <c r="R30" s="224"/>
      <c r="S30" s="224"/>
      <c r="T30" s="224"/>
    </row>
    <row r="31" spans="1:22" customHeight="1" ht="15.75">
      <c r="A31" s="242" t="s">
        <v>120</v>
      </c>
      <c r="B31" s="243"/>
      <c r="C31" s="244" t="s">
        <v>23</v>
      </c>
      <c r="D31" s="245">
        <f>SUM(D12:D30)</f>
        <v>4929353.32</v>
      </c>
      <c r="E31" s="246" t="s">
        <v>23</v>
      </c>
      <c r="F31" s="245">
        <f>SUM(F12:F30)</f>
        <v>2552042.26</v>
      </c>
      <c r="G31" s="246" t="s">
        <v>23</v>
      </c>
      <c r="H31" s="245">
        <f>SUM(H12:H30)</f>
        <v>3634476.37</v>
      </c>
      <c r="I31" s="246" t="s">
        <v>23</v>
      </c>
      <c r="J31" s="245">
        <f>SUM(J12:J30)</f>
        <v>6186518.63</v>
      </c>
      <c r="K31" s="246" t="s">
        <v>23</v>
      </c>
      <c r="L31" s="247">
        <f>SUM(L12:L30)</f>
        <v>8544780</v>
      </c>
      <c r="M31" s="248"/>
      <c r="N31" s="248"/>
      <c r="O31" s="248"/>
      <c r="P31" s="248"/>
      <c r="Q31" s="248"/>
      <c r="R31" s="248"/>
      <c r="S31" s="248"/>
      <c r="T31" s="248"/>
      <c r="V31" s="249"/>
    </row>
    <row r="32" spans="1:22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2">
      <c r="A33" s="215"/>
      <c r="B33" s="215"/>
      <c r="C33" s="215"/>
      <c r="D33" s="215"/>
      <c r="E33" s="215"/>
      <c r="F33" s="215"/>
      <c r="G33" s="215"/>
      <c r="H33" s="215"/>
      <c r="I33" s="215"/>
      <c r="K33" s="215"/>
      <c r="L33" s="218"/>
      <c r="M33" s="218"/>
      <c r="N33" s="218"/>
      <c r="O33" s="218"/>
      <c r="P33" s="218"/>
      <c r="Q33" s="218"/>
      <c r="R33" s="218"/>
      <c r="S33" s="218"/>
      <c r="T33" s="218"/>
    </row>
    <row r="34" spans="1:22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8"/>
      <c r="M34" s="218"/>
      <c r="N34" s="218"/>
      <c r="O34" s="218"/>
      <c r="P34" s="218"/>
      <c r="Q34" s="218"/>
      <c r="R34" s="218"/>
      <c r="S34" s="218"/>
      <c r="T34" s="218"/>
    </row>
    <row r="35" spans="1:22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8"/>
      <c r="M35" s="218"/>
      <c r="N35" s="218"/>
      <c r="O35" s="218"/>
      <c r="P35" s="218"/>
      <c r="Q35" s="218"/>
      <c r="R35" s="218"/>
      <c r="S35" s="218"/>
      <c r="T35" s="218"/>
    </row>
    <row r="36" spans="1:22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8"/>
      <c r="M36" s="218"/>
      <c r="N36" s="218"/>
      <c r="O36" s="218"/>
      <c r="P36" s="218"/>
      <c r="Q36" s="218"/>
      <c r="R36" s="218"/>
      <c r="S36" s="218"/>
      <c r="T36" s="218"/>
    </row>
    <row r="37" spans="1:22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8"/>
      <c r="M37" s="218"/>
      <c r="N37" s="218"/>
      <c r="O37" s="218"/>
      <c r="P37" s="218"/>
      <c r="Q37" s="218"/>
      <c r="R37" s="218"/>
      <c r="S37" s="218"/>
      <c r="T37" s="218"/>
    </row>
    <row r="38" spans="1:22">
      <c r="A38" s="181" t="s">
        <v>346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2"/>
      <c r="M38" s="182"/>
      <c r="N38" s="182"/>
      <c r="O38" s="182"/>
      <c r="P38" s="182"/>
      <c r="Q38" s="182"/>
      <c r="R38" s="182"/>
      <c r="S38" s="182"/>
      <c r="T38" s="182"/>
    </row>
    <row r="39" spans="1:22" customHeight="1" ht="15.75">
      <c r="A39" s="183" t="s">
        <v>347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4"/>
      <c r="O39" s="184"/>
      <c r="P39" s="184"/>
      <c r="Q39" s="184"/>
      <c r="R39" s="184"/>
      <c r="S39" s="184"/>
      <c r="T39" s="184"/>
    </row>
    <row r="40" spans="1:22">
      <c r="A40" s="185" t="s">
        <v>348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6"/>
      <c r="N40" s="186"/>
      <c r="O40" s="186"/>
      <c r="P40" s="186"/>
      <c r="Q40" s="186"/>
      <c r="R40" s="186"/>
      <c r="S40" s="186"/>
      <c r="T40" s="186"/>
    </row>
    <row r="41" spans="1:22" customHeight="1" ht="15.75">
      <c r="A41" s="187" t="s">
        <v>349</v>
      </c>
    </row>
    <row r="42" spans="1:22">
      <c r="A42" s="189"/>
      <c r="B42" s="190"/>
      <c r="C42" s="191" t="s">
        <v>350</v>
      </c>
      <c r="D42" s="192"/>
      <c r="E42" s="193" t="s">
        <v>351</v>
      </c>
      <c r="F42" s="194"/>
      <c r="G42" s="194"/>
      <c r="H42" s="194"/>
      <c r="I42" s="194"/>
      <c r="J42" s="195"/>
      <c r="K42" s="191" t="s">
        <v>352</v>
      </c>
      <c r="L42" s="196"/>
      <c r="M42" s="186"/>
      <c r="N42" s="186"/>
      <c r="O42" s="186"/>
      <c r="P42" s="186"/>
      <c r="Q42" s="186"/>
      <c r="R42" s="186"/>
      <c r="S42" s="186"/>
      <c r="T42" s="186"/>
    </row>
    <row r="43" spans="1:22">
      <c r="A43" s="197" t="s">
        <v>353</v>
      </c>
      <c r="B43" s="198" t="s">
        <v>354</v>
      </c>
      <c r="C43" s="199">
        <v>2023</v>
      </c>
      <c r="D43" s="200"/>
      <c r="E43" s="250" t="s">
        <v>11</v>
      </c>
      <c r="F43" s="251"/>
      <c r="G43" s="250" t="s">
        <v>355</v>
      </c>
      <c r="H43" s="251"/>
      <c r="I43" s="252" t="s">
        <v>356</v>
      </c>
      <c r="J43" s="253"/>
      <c r="K43" s="199">
        <v>2025</v>
      </c>
      <c r="L43" s="205"/>
      <c r="M43" s="186"/>
      <c r="N43" s="186"/>
      <c r="O43" s="186"/>
      <c r="P43" s="186"/>
      <c r="Q43" s="186"/>
      <c r="R43" s="186"/>
      <c r="S43" s="186"/>
      <c r="T43" s="186"/>
    </row>
    <row r="44" spans="1:22" customHeight="1" ht="15.75">
      <c r="A44" s="206"/>
      <c r="B44" s="207"/>
      <c r="C44" s="208" t="s">
        <v>17</v>
      </c>
      <c r="D44" s="209"/>
      <c r="E44" s="208" t="s">
        <v>17</v>
      </c>
      <c r="F44" s="209"/>
      <c r="G44" s="208" t="s">
        <v>18</v>
      </c>
      <c r="H44" s="209"/>
      <c r="I44" s="210"/>
      <c r="J44" s="211"/>
      <c r="K44" s="208" t="s">
        <v>357</v>
      </c>
      <c r="L44" s="212"/>
      <c r="M44" s="186"/>
      <c r="N44" s="186"/>
      <c r="O44" s="186"/>
      <c r="P44" s="186"/>
      <c r="Q44" s="186"/>
      <c r="R44" s="186"/>
      <c r="S44" s="186"/>
      <c r="T44" s="186"/>
    </row>
    <row r="45" spans="1:22">
      <c r="A45" s="225" t="s">
        <v>121</v>
      </c>
      <c r="B45" s="254"/>
      <c r="C45" s="215"/>
      <c r="D45" s="216"/>
      <c r="E45" s="215"/>
      <c r="F45" s="216"/>
      <c r="G45" s="215"/>
      <c r="H45" s="216"/>
      <c r="I45" s="215"/>
      <c r="J45" s="216"/>
      <c r="K45" s="215"/>
      <c r="L45" s="217"/>
      <c r="M45" s="218"/>
      <c r="N45" s="218"/>
      <c r="O45" s="218"/>
      <c r="P45" s="218"/>
      <c r="Q45" s="218"/>
      <c r="R45" s="218"/>
      <c r="S45" s="218"/>
      <c r="T45" s="218"/>
    </row>
    <row r="46" spans="1:22">
      <c r="A46" s="219" t="s">
        <v>122</v>
      </c>
      <c r="B46" s="214" t="s">
        <v>123</v>
      </c>
      <c r="C46" s="215" t="s">
        <v>23</v>
      </c>
      <c r="D46" s="220">
        <v>1224423.81</v>
      </c>
      <c r="E46" s="215" t="s">
        <v>23</v>
      </c>
      <c r="F46" s="220">
        <v>548585.18</v>
      </c>
      <c r="G46" s="215" t="s">
        <v>23</v>
      </c>
      <c r="H46" s="220">
        <f>J46-F46</f>
        <v>351414.82</v>
      </c>
      <c r="I46" s="215" t="s">
        <v>23</v>
      </c>
      <c r="J46" s="222">
        <v>900000</v>
      </c>
      <c r="K46" s="215" t="s">
        <v>23</v>
      </c>
      <c r="L46" s="223">
        <v>1000000</v>
      </c>
      <c r="M46" s="224"/>
      <c r="N46" s="224"/>
      <c r="O46" s="224"/>
      <c r="P46" s="224"/>
      <c r="Q46" s="224"/>
      <c r="R46" s="224"/>
      <c r="S46" s="224"/>
      <c r="T46" s="224"/>
    </row>
    <row r="47" spans="1:22">
      <c r="A47" s="219" t="s">
        <v>124</v>
      </c>
      <c r="B47" s="214" t="s">
        <v>125</v>
      </c>
      <c r="C47" s="215"/>
      <c r="D47" s="235">
        <v>3600</v>
      </c>
      <c r="E47" s="221"/>
      <c r="F47" s="235">
        <v>0</v>
      </c>
      <c r="G47" s="221"/>
      <c r="H47" s="220">
        <f>J47-F47</f>
        <v>200000</v>
      </c>
      <c r="I47" s="221"/>
      <c r="J47" s="236">
        <v>200000</v>
      </c>
      <c r="K47" s="215"/>
      <c r="L47" s="237">
        <v>300000</v>
      </c>
      <c r="M47" s="224"/>
      <c r="N47" s="224"/>
      <c r="O47" s="224"/>
      <c r="P47" s="224"/>
      <c r="Q47" s="224"/>
      <c r="R47" s="224"/>
      <c r="S47" s="224"/>
      <c r="T47" s="224"/>
    </row>
    <row r="48" spans="1:22">
      <c r="A48" s="219" t="s">
        <v>126</v>
      </c>
      <c r="B48" s="214" t="s">
        <v>127</v>
      </c>
      <c r="C48" s="215"/>
      <c r="D48" s="235">
        <v>650000</v>
      </c>
      <c r="E48" s="221"/>
      <c r="F48" s="235">
        <v>418494.86</v>
      </c>
      <c r="G48" s="221"/>
      <c r="H48" s="220">
        <f>J48-F48</f>
        <v>181505.14</v>
      </c>
      <c r="I48" s="221"/>
      <c r="J48" s="236">
        <v>600000</v>
      </c>
      <c r="K48" s="215"/>
      <c r="L48" s="237">
        <v>800000</v>
      </c>
      <c r="M48" s="224"/>
      <c r="N48" s="224"/>
      <c r="O48" s="224"/>
      <c r="P48" s="224"/>
      <c r="Q48" s="224"/>
      <c r="R48" s="224"/>
      <c r="S48" s="224"/>
      <c r="T48" s="224"/>
    </row>
    <row r="49" spans="1:22">
      <c r="A49" s="219" t="s">
        <v>134</v>
      </c>
      <c r="B49" s="214" t="s">
        <v>135</v>
      </c>
      <c r="C49" s="215"/>
      <c r="D49" s="235">
        <v>2772000</v>
      </c>
      <c r="E49" s="221"/>
      <c r="F49" s="235">
        <v>1473686.9</v>
      </c>
      <c r="G49" s="221"/>
      <c r="H49" s="220">
        <f>J49-F49</f>
        <v>1026313.1</v>
      </c>
      <c r="I49" s="221"/>
      <c r="J49" s="236">
        <v>2500000</v>
      </c>
      <c r="K49" s="215"/>
      <c r="L49" s="237">
        <v>3000000</v>
      </c>
      <c r="M49" s="224"/>
      <c r="N49" s="224"/>
      <c r="O49" s="224"/>
      <c r="P49" s="224"/>
      <c r="Q49" s="224"/>
      <c r="R49" s="224"/>
      <c r="S49" s="224"/>
      <c r="T49" s="224"/>
    </row>
    <row r="50" spans="1:22">
      <c r="A50" s="219" t="s">
        <v>138</v>
      </c>
      <c r="B50" s="214" t="s">
        <v>139</v>
      </c>
      <c r="C50" s="215"/>
      <c r="D50" s="235">
        <v>1654057.65</v>
      </c>
      <c r="E50" s="221"/>
      <c r="F50" s="235">
        <v>757561.35</v>
      </c>
      <c r="G50" s="221"/>
      <c r="H50" s="220">
        <f>J50-F50</f>
        <v>242438.65</v>
      </c>
      <c r="I50" s="221"/>
      <c r="J50" s="236">
        <v>1000000</v>
      </c>
      <c r="K50" s="215"/>
      <c r="L50" s="237">
        <v>1400000</v>
      </c>
      <c r="M50" s="224"/>
      <c r="N50" s="224"/>
      <c r="O50" s="224"/>
      <c r="P50" s="224"/>
      <c r="Q50" s="224"/>
      <c r="R50" s="224"/>
      <c r="S50" s="224"/>
      <c r="T50" s="224"/>
    </row>
    <row r="51" spans="1:22">
      <c r="A51" s="219" t="s">
        <v>140</v>
      </c>
      <c r="B51" s="214" t="s">
        <v>141</v>
      </c>
      <c r="C51" s="215"/>
      <c r="D51" s="235">
        <v>4692363.21</v>
      </c>
      <c r="E51" s="221"/>
      <c r="F51" s="235">
        <v>2055156.59</v>
      </c>
      <c r="G51" s="221"/>
      <c r="H51" s="220">
        <f>J51-F51</f>
        <v>3444843.41</v>
      </c>
      <c r="I51" s="221"/>
      <c r="J51" s="236">
        <v>5500000</v>
      </c>
      <c r="K51" s="215"/>
      <c r="L51" s="237">
        <v>5500000</v>
      </c>
      <c r="M51" s="224"/>
      <c r="N51" s="224"/>
      <c r="O51" s="224"/>
      <c r="P51" s="224"/>
      <c r="Q51" s="224"/>
      <c r="R51" s="224"/>
      <c r="T51" s="224"/>
    </row>
    <row r="52" spans="1:22">
      <c r="A52" s="219" t="s">
        <v>142</v>
      </c>
      <c r="B52" s="214" t="s">
        <v>143</v>
      </c>
      <c r="C52" s="215"/>
      <c r="D52" s="235">
        <v>0</v>
      </c>
      <c r="E52" s="221"/>
      <c r="F52" s="235">
        <v>0</v>
      </c>
      <c r="G52" s="221"/>
      <c r="H52" s="220">
        <f>J52-F52</f>
        <v>5000</v>
      </c>
      <c r="I52" s="221"/>
      <c r="J52" s="236">
        <v>5000</v>
      </c>
      <c r="K52" s="215"/>
      <c r="L52" s="237">
        <v>5000</v>
      </c>
      <c r="M52" s="224"/>
      <c r="N52" s="224"/>
      <c r="O52" s="224"/>
      <c r="P52" s="224"/>
      <c r="Q52" s="224"/>
      <c r="R52" s="224"/>
      <c r="S52" s="224"/>
      <c r="T52" s="224"/>
    </row>
    <row r="53" spans="1:22">
      <c r="A53" s="219" t="s">
        <v>144</v>
      </c>
      <c r="B53" s="214" t="s">
        <v>145</v>
      </c>
      <c r="C53" s="215"/>
      <c r="D53" s="235">
        <v>135000</v>
      </c>
      <c r="E53" s="221"/>
      <c r="F53" s="235">
        <v>72000</v>
      </c>
      <c r="G53" s="221"/>
      <c r="H53" s="220">
        <f>J53-F53</f>
        <v>128000</v>
      </c>
      <c r="I53" s="221"/>
      <c r="J53" s="236">
        <v>200000</v>
      </c>
      <c r="K53" s="215"/>
      <c r="L53" s="237">
        <v>120000</v>
      </c>
      <c r="M53" s="224"/>
      <c r="N53" s="224"/>
      <c r="O53" s="224"/>
      <c r="P53" s="224"/>
      <c r="Q53" s="224"/>
      <c r="R53" s="224"/>
      <c r="S53" s="224"/>
      <c r="T53" s="224"/>
    </row>
    <row r="54" spans="1:22">
      <c r="A54" s="219" t="s">
        <v>146</v>
      </c>
      <c r="B54" s="214" t="s">
        <v>147</v>
      </c>
      <c r="C54" s="215"/>
      <c r="D54" s="235">
        <v>38227.67</v>
      </c>
      <c r="E54" s="221"/>
      <c r="F54" s="235">
        <v>40633.63</v>
      </c>
      <c r="G54" s="221"/>
      <c r="H54" s="220">
        <f>J54-F54</f>
        <v>59366.37</v>
      </c>
      <c r="I54" s="221"/>
      <c r="J54" s="236">
        <v>100000</v>
      </c>
      <c r="K54" s="215"/>
      <c r="L54" s="237">
        <v>100000</v>
      </c>
      <c r="M54" s="224"/>
      <c r="N54" s="224"/>
      <c r="O54" s="224"/>
      <c r="P54" s="224"/>
      <c r="Q54" s="224"/>
      <c r="R54" s="224"/>
      <c r="S54" s="224"/>
      <c r="T54" s="224"/>
    </row>
    <row r="55" spans="1:22">
      <c r="A55" s="219" t="s">
        <v>362</v>
      </c>
      <c r="B55" s="214" t="s">
        <v>149</v>
      </c>
      <c r="C55" s="215"/>
      <c r="D55" s="235">
        <v>31508.97</v>
      </c>
      <c r="E55" s="221"/>
      <c r="F55" s="235">
        <v>0</v>
      </c>
      <c r="G55" s="221"/>
      <c r="H55" s="220">
        <f>J55-F55</f>
        <v>54171.1</v>
      </c>
      <c r="I55" s="221"/>
      <c r="J55" s="236">
        <v>54171.1</v>
      </c>
      <c r="K55" s="215"/>
      <c r="L55" s="237">
        <v>51874.56</v>
      </c>
      <c r="M55" s="224"/>
      <c r="N55" s="224"/>
      <c r="O55" s="224"/>
      <c r="P55" s="224"/>
      <c r="Q55" s="224"/>
      <c r="R55" s="224"/>
      <c r="S55" s="224"/>
      <c r="T55" s="224"/>
      <c r="V55" s="237"/>
    </row>
    <row r="56" spans="1:22">
      <c r="A56" s="219" t="s">
        <v>152</v>
      </c>
      <c r="B56" s="214" t="s">
        <v>153</v>
      </c>
      <c r="C56" s="215"/>
      <c r="D56" s="235">
        <v>386000</v>
      </c>
      <c r="E56" s="221"/>
      <c r="F56" s="235">
        <v>140000</v>
      </c>
      <c r="G56" s="221"/>
      <c r="H56" s="220">
        <f>J56-F56</f>
        <v>310000</v>
      </c>
      <c r="I56" s="221"/>
      <c r="J56" s="236">
        <v>450000</v>
      </c>
      <c r="K56" s="215"/>
      <c r="L56" s="237">
        <v>350000</v>
      </c>
      <c r="M56" s="224"/>
      <c r="N56" s="224"/>
      <c r="O56" s="224"/>
      <c r="P56" s="224"/>
      <c r="Q56" s="224"/>
      <c r="R56" s="224"/>
      <c r="S56" s="224"/>
      <c r="T56" s="224"/>
    </row>
    <row r="57" spans="1:22">
      <c r="A57" s="219" t="s">
        <v>154</v>
      </c>
      <c r="B57" s="214" t="s">
        <v>155</v>
      </c>
      <c r="C57" s="215"/>
      <c r="D57" s="235">
        <v>7998902.75</v>
      </c>
      <c r="E57" s="221"/>
      <c r="F57" s="235">
        <v>3796235.5</v>
      </c>
      <c r="G57" s="221"/>
      <c r="H57" s="220">
        <f>J57-F57</f>
        <v>3003764.5</v>
      </c>
      <c r="I57" s="221"/>
      <c r="J57" s="236">
        <v>6800000</v>
      </c>
      <c r="K57" s="215"/>
      <c r="L57" s="237">
        <v>7500000</v>
      </c>
      <c r="M57" s="224"/>
      <c r="N57" s="224"/>
      <c r="O57" s="224"/>
      <c r="P57" s="224"/>
      <c r="Q57" s="224"/>
      <c r="R57" s="224"/>
      <c r="S57" s="224"/>
      <c r="T57" s="224"/>
      <c r="V57" s="249"/>
    </row>
    <row r="58" spans="1:22">
      <c r="A58" s="219" t="s">
        <v>156</v>
      </c>
      <c r="B58" s="214" t="s">
        <v>157</v>
      </c>
      <c r="C58" s="215"/>
      <c r="D58" s="235">
        <v>15000</v>
      </c>
      <c r="E58" s="221"/>
      <c r="F58" s="235">
        <v>31900</v>
      </c>
      <c r="G58" s="221"/>
      <c r="H58" s="220">
        <f>J58-F58</f>
        <v>18100</v>
      </c>
      <c r="I58" s="221"/>
      <c r="J58" s="236">
        <v>50000</v>
      </c>
      <c r="K58" s="215"/>
      <c r="L58" s="237">
        <v>100000</v>
      </c>
      <c r="M58" s="224"/>
      <c r="N58" s="224"/>
      <c r="O58" s="224"/>
      <c r="P58" s="224"/>
      <c r="Q58" s="224"/>
      <c r="R58" s="224"/>
      <c r="S58" s="224"/>
      <c r="T58" s="224"/>
    </row>
    <row r="59" spans="1:22">
      <c r="A59" s="219" t="s">
        <v>363</v>
      </c>
      <c r="B59" s="214" t="s">
        <v>159</v>
      </c>
      <c r="C59" s="215"/>
      <c r="D59" s="235">
        <v>835600</v>
      </c>
      <c r="E59" s="221"/>
      <c r="F59" s="235">
        <v>503486</v>
      </c>
      <c r="G59" s="221"/>
      <c r="H59" s="220">
        <f>J59-F59</f>
        <v>246514</v>
      </c>
      <c r="I59" s="221"/>
      <c r="J59" s="236">
        <v>750000</v>
      </c>
      <c r="K59" s="215"/>
      <c r="L59" s="237">
        <v>800000</v>
      </c>
      <c r="M59" s="224"/>
      <c r="N59" s="224"/>
      <c r="O59" s="224"/>
      <c r="P59" s="224"/>
      <c r="Q59" s="224"/>
      <c r="R59" s="224"/>
      <c r="S59" s="224"/>
      <c r="T59" s="224"/>
    </row>
    <row r="60" spans="1:22">
      <c r="A60" s="219" t="s">
        <v>364</v>
      </c>
      <c r="B60" s="214" t="s">
        <v>163</v>
      </c>
      <c r="C60" s="215"/>
      <c r="D60" s="235">
        <v>52500</v>
      </c>
      <c r="E60" s="215"/>
      <c r="F60" s="235">
        <v>52500</v>
      </c>
      <c r="G60" s="215"/>
      <c r="H60" s="220">
        <f>J60-F60</f>
        <v>7500</v>
      </c>
      <c r="I60" s="215"/>
      <c r="J60" s="236">
        <v>60000</v>
      </c>
      <c r="K60" s="215"/>
      <c r="L60" s="237">
        <v>60000</v>
      </c>
      <c r="M60" s="224"/>
      <c r="N60" s="224"/>
      <c r="O60" s="224"/>
      <c r="P60" s="224"/>
      <c r="Q60" s="224"/>
      <c r="R60" s="224"/>
      <c r="S60" s="224"/>
      <c r="T60" s="224"/>
    </row>
    <row r="61" spans="1:22">
      <c r="A61" s="219" t="s">
        <v>164</v>
      </c>
      <c r="B61" s="214" t="s">
        <v>165</v>
      </c>
      <c r="C61" s="215"/>
      <c r="D61" s="235">
        <v>150000</v>
      </c>
      <c r="E61" s="221"/>
      <c r="F61" s="235">
        <v>70389.33</v>
      </c>
      <c r="G61" s="221"/>
      <c r="H61" s="220">
        <f>J61-F61</f>
        <v>79610.67</v>
      </c>
      <c r="I61" s="221"/>
      <c r="J61" s="236">
        <v>150000</v>
      </c>
      <c r="K61" s="215"/>
      <c r="L61" s="237">
        <v>500000</v>
      </c>
      <c r="M61" s="224"/>
      <c r="N61" s="224"/>
      <c r="O61" s="224"/>
      <c r="P61" s="224"/>
      <c r="Q61" s="224"/>
      <c r="R61" s="224"/>
      <c r="S61" s="224"/>
      <c r="T61" s="224"/>
    </row>
    <row r="62" spans="1:22">
      <c r="A62" s="219" t="s">
        <v>166</v>
      </c>
      <c r="B62" s="214" t="s">
        <v>167</v>
      </c>
      <c r="C62" s="215"/>
      <c r="D62" s="235">
        <v>25000</v>
      </c>
      <c r="E62" s="221"/>
      <c r="F62" s="235">
        <v>30000</v>
      </c>
      <c r="G62" s="221"/>
      <c r="H62" s="220">
        <f>J62-F62</f>
        <v>0</v>
      </c>
      <c r="I62" s="221"/>
      <c r="J62" s="236">
        <v>30000</v>
      </c>
      <c r="K62" s="215"/>
      <c r="L62" s="237">
        <v>100000</v>
      </c>
      <c r="M62" s="224"/>
      <c r="N62" s="224"/>
      <c r="O62" s="224"/>
      <c r="P62" s="224"/>
      <c r="Q62" s="224"/>
      <c r="R62" s="224"/>
      <c r="S62" s="224"/>
      <c r="T62" s="224"/>
    </row>
    <row r="63" spans="1:22">
      <c r="A63" s="219" t="s">
        <v>365</v>
      </c>
      <c r="B63" s="214" t="s">
        <v>366</v>
      </c>
      <c r="C63" s="215"/>
      <c r="D63" s="235">
        <v>0</v>
      </c>
      <c r="E63" s="215"/>
      <c r="F63" s="235">
        <v>0</v>
      </c>
      <c r="G63" s="215"/>
      <c r="H63" s="220">
        <f>J63-F63</f>
        <v>100000</v>
      </c>
      <c r="I63" s="215"/>
      <c r="J63" s="236">
        <v>100000</v>
      </c>
      <c r="K63" s="215"/>
      <c r="L63" s="237">
        <v>0</v>
      </c>
      <c r="M63" s="224"/>
      <c r="N63" s="224"/>
      <c r="O63" s="224"/>
      <c r="P63" s="224"/>
      <c r="Q63" s="224"/>
      <c r="R63" s="224"/>
      <c r="S63" s="224"/>
      <c r="T63" s="224"/>
    </row>
    <row r="64" spans="1:22" customHeight="1" ht="15.75">
      <c r="A64" s="219" t="s">
        <v>169</v>
      </c>
      <c r="B64" s="214" t="s">
        <v>170</v>
      </c>
      <c r="C64" s="215"/>
      <c r="D64" s="239">
        <v>3474303.9</v>
      </c>
      <c r="E64" s="215"/>
      <c r="F64" s="239">
        <v>2252121.1</v>
      </c>
      <c r="G64" s="215"/>
      <c r="H64" s="255">
        <f>J64-F64</f>
        <v>327924.19</v>
      </c>
      <c r="I64" s="215"/>
      <c r="J64" s="256">
        <v>2580045.29</v>
      </c>
      <c r="K64" s="215"/>
      <c r="L64" s="257">
        <f>2323174.26-29925.6+2000000-30000-78095-30000-0.4</f>
        <v>4155153.26</v>
      </c>
      <c r="M64" s="224"/>
      <c r="N64" s="224"/>
      <c r="O64" s="224"/>
      <c r="P64" s="224"/>
      <c r="Q64" s="224"/>
      <c r="R64" s="224"/>
      <c r="S64" s="224"/>
      <c r="T64" s="224"/>
      <c r="V64" s="249"/>
    </row>
    <row r="65" spans="1:22" customHeight="1" ht="15.75">
      <c r="A65" s="242" t="s">
        <v>200</v>
      </c>
      <c r="B65" s="243"/>
      <c r="C65" s="244" t="s">
        <v>23</v>
      </c>
      <c r="D65" s="245">
        <f>SUM(D46:D64)</f>
        <v>24138487.96</v>
      </c>
      <c r="E65" s="246" t="s">
        <v>23</v>
      </c>
      <c r="F65" s="245">
        <f>SUM(F46:F64)</f>
        <v>12242750.44</v>
      </c>
      <c r="G65" s="246" t="s">
        <v>23</v>
      </c>
      <c r="H65" s="245">
        <f>SUM(H46:H64)</f>
        <v>9786465.95</v>
      </c>
      <c r="I65" s="246" t="s">
        <v>23</v>
      </c>
      <c r="J65" s="245">
        <f>SUM(J46:J64)</f>
        <v>22029216.39</v>
      </c>
      <c r="K65" s="246" t="s">
        <v>23</v>
      </c>
      <c r="L65" s="247">
        <f>SUM(L46:L64)</f>
        <v>25842027.82</v>
      </c>
      <c r="M65" s="248"/>
      <c r="N65" s="248"/>
      <c r="O65" s="248"/>
      <c r="P65" s="248"/>
      <c r="Q65" s="248"/>
      <c r="R65" s="248"/>
      <c r="S65" s="248"/>
      <c r="T65" s="248"/>
      <c r="V65" s="249"/>
    </row>
    <row r="66" spans="1:22">
      <c r="A66" s="225" t="s">
        <v>201</v>
      </c>
      <c r="B66" s="254"/>
      <c r="C66" s="215"/>
      <c r="D66" s="226"/>
      <c r="E66" s="215"/>
      <c r="F66" s="226"/>
      <c r="G66" s="215"/>
      <c r="H66" s="226"/>
      <c r="I66" s="215"/>
      <c r="J66" s="226"/>
      <c r="K66" s="215"/>
      <c r="L66" s="228"/>
      <c r="M66" s="224"/>
      <c r="N66" s="224"/>
      <c r="O66" s="224"/>
      <c r="P66" s="224"/>
      <c r="Q66" s="224"/>
      <c r="R66" s="224"/>
      <c r="S66" s="224"/>
      <c r="T66" s="224"/>
    </row>
    <row r="67" spans="1:22">
      <c r="A67" s="219" t="s">
        <v>367</v>
      </c>
      <c r="B67" s="214" t="s">
        <v>209</v>
      </c>
      <c r="C67" s="215" t="s">
        <v>23</v>
      </c>
      <c r="D67" s="220">
        <v>774689</v>
      </c>
      <c r="E67" s="215" t="s">
        <v>23</v>
      </c>
      <c r="F67" s="220">
        <v>421979.4</v>
      </c>
      <c r="G67" s="215" t="s">
        <v>23</v>
      </c>
      <c r="H67" s="220">
        <f>J67-F67</f>
        <v>178020.6</v>
      </c>
      <c r="I67" s="215" t="s">
        <v>23</v>
      </c>
      <c r="J67" s="222">
        <v>600000</v>
      </c>
      <c r="K67" s="215" t="s">
        <v>23</v>
      </c>
      <c r="L67" s="223">
        <v>600000</v>
      </c>
      <c r="M67" s="224"/>
      <c r="N67" s="224"/>
      <c r="O67" s="224"/>
      <c r="P67" s="224"/>
      <c r="Q67" s="224"/>
      <c r="R67" s="224"/>
      <c r="S67" s="224"/>
      <c r="T67" s="224"/>
    </row>
    <row r="68" spans="1:22">
      <c r="A68" s="219" t="s">
        <v>368</v>
      </c>
      <c r="B68" s="214" t="s">
        <v>369</v>
      </c>
      <c r="C68" s="215"/>
      <c r="D68" s="220">
        <v>416720</v>
      </c>
      <c r="E68" s="215"/>
      <c r="F68" s="220"/>
      <c r="G68" s="215"/>
      <c r="H68" s="220">
        <v>0</v>
      </c>
      <c r="I68" s="215"/>
      <c r="J68" s="222">
        <v>0</v>
      </c>
      <c r="K68" s="215"/>
      <c r="L68" s="223">
        <v>0</v>
      </c>
      <c r="M68" s="224"/>
      <c r="N68" s="224"/>
      <c r="O68" s="224"/>
      <c r="P68" s="224"/>
      <c r="Q68" s="224"/>
      <c r="R68" s="224"/>
      <c r="S68" s="224"/>
      <c r="T68" s="224"/>
    </row>
    <row r="69" spans="1:22">
      <c r="A69" s="225" t="s">
        <v>214</v>
      </c>
      <c r="B69" s="214"/>
      <c r="C69" s="258" t="s">
        <v>23</v>
      </c>
      <c r="D69" s="259">
        <f>SUM(D67:D68)</f>
        <v>1191409</v>
      </c>
      <c r="E69" s="258" t="s">
        <v>23</v>
      </c>
      <c r="F69" s="259">
        <f>SUM(F67:F68)</f>
        <v>421979.4</v>
      </c>
      <c r="G69" s="258" t="s">
        <v>23</v>
      </c>
      <c r="H69" s="259">
        <f>SUM(H67:H68)</f>
        <v>178020.6</v>
      </c>
      <c r="I69" s="258" t="s">
        <v>23</v>
      </c>
      <c r="J69" s="259">
        <f>SUM(J67:J68)</f>
        <v>600000</v>
      </c>
      <c r="K69" s="258" t="s">
        <v>23</v>
      </c>
      <c r="L69" s="260">
        <f>SUM(L67:L68)</f>
        <v>600000</v>
      </c>
      <c r="M69" s="261"/>
      <c r="N69" s="261"/>
      <c r="O69" s="261"/>
      <c r="P69" s="261"/>
      <c r="Q69" s="261"/>
      <c r="R69" s="248"/>
      <c r="S69" s="248"/>
      <c r="T69" s="248"/>
    </row>
    <row r="70" spans="1:22" customHeight="1" ht="15.75">
      <c r="A70" s="262" t="s">
        <v>370</v>
      </c>
      <c r="B70" s="263"/>
      <c r="C70" s="264" t="s">
        <v>23</v>
      </c>
      <c r="D70" s="265">
        <f>D31+D65+D69</f>
        <v>30259250.28</v>
      </c>
      <c r="E70" s="266" t="s">
        <v>23</v>
      </c>
      <c r="F70" s="265">
        <f>F31+F65+F69</f>
        <v>15216772.1</v>
      </c>
      <c r="G70" s="266" t="s">
        <v>23</v>
      </c>
      <c r="H70" s="265">
        <f>H31+H65+H69</f>
        <v>13598962.92</v>
      </c>
      <c r="I70" s="266" t="s">
        <v>23</v>
      </c>
      <c r="J70" s="265">
        <f>J31+J65+J69</f>
        <v>28815735.02</v>
      </c>
      <c r="K70" s="266" t="s">
        <v>23</v>
      </c>
      <c r="L70" s="267">
        <f>L31+L65+L69</f>
        <v>34986807.82</v>
      </c>
      <c r="M70" s="248"/>
      <c r="N70" s="248"/>
      <c r="O70" s="248"/>
      <c r="P70" s="248"/>
      <c r="Q70" s="248"/>
      <c r="R70" s="248"/>
      <c r="S70" s="248"/>
      <c r="T70" s="248"/>
    </row>
    <row r="71" spans="1:22" customHeight="1" ht="15.75">
      <c r="A71" s="215" t="s">
        <v>371</v>
      </c>
      <c r="B71" s="215" t="s">
        <v>372</v>
      </c>
      <c r="C71" s="215"/>
      <c r="D71" s="215"/>
      <c r="E71" s="215"/>
      <c r="F71" s="215"/>
      <c r="G71" s="215" t="s">
        <v>373</v>
      </c>
      <c r="H71" s="215"/>
    </row>
    <row r="73" spans="1:22">
      <c r="A73" s="268" t="s">
        <v>326</v>
      </c>
      <c r="B73" s="269" t="s">
        <v>374</v>
      </c>
      <c r="C73" s="269"/>
      <c r="D73" s="269"/>
      <c r="E73" s="269"/>
      <c r="F73" s="269"/>
      <c r="G73" s="270"/>
      <c r="H73" s="269" t="s">
        <v>326</v>
      </c>
      <c r="I73" s="269"/>
      <c r="J73" s="269"/>
      <c r="K73" s="269"/>
      <c r="L73" s="269"/>
      <c r="M73" s="268"/>
      <c r="N73" s="268"/>
      <c r="O73" s="268"/>
      <c r="P73" s="268"/>
      <c r="Q73" s="268"/>
      <c r="R73" s="268"/>
      <c r="S73" s="268"/>
      <c r="T73" s="268"/>
    </row>
    <row r="74" spans="1:22">
      <c r="A74" s="271" t="s">
        <v>327</v>
      </c>
      <c r="B74" s="272" t="s">
        <v>375</v>
      </c>
      <c r="C74" s="272"/>
      <c r="D74" s="272"/>
      <c r="E74" s="272"/>
      <c r="F74" s="272"/>
      <c r="G74" s="215"/>
      <c r="H74" s="272" t="s">
        <v>327</v>
      </c>
      <c r="I74" s="272"/>
      <c r="J74" s="272"/>
      <c r="K74" s="272"/>
      <c r="L74" s="272"/>
      <c r="M74" s="271"/>
      <c r="N74" s="271"/>
      <c r="O74" s="271"/>
      <c r="P74" s="271"/>
      <c r="Q74" s="271"/>
      <c r="R74" s="271"/>
      <c r="S74" s="271"/>
      <c r="T74" s="271"/>
    </row>
    <row r="75" spans="1:22">
      <c r="A75" s="273" t="s">
        <v>346</v>
      </c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4"/>
      <c r="N75" s="274"/>
      <c r="O75" s="274"/>
      <c r="P75" s="274"/>
      <c r="Q75" s="274"/>
      <c r="R75" s="274"/>
      <c r="S75" s="274"/>
      <c r="T75" s="274"/>
    </row>
    <row r="77" spans="1:22" customHeight="1" ht="15.75">
      <c r="A77" s="183" t="s">
        <v>347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4"/>
      <c r="N77" s="184"/>
      <c r="O77" s="184"/>
      <c r="P77" s="184"/>
      <c r="Q77" s="184"/>
      <c r="R77" s="184"/>
      <c r="S77" s="184"/>
      <c r="T77" s="184"/>
    </row>
    <row r="78" spans="1:22">
      <c r="A78" s="185" t="s">
        <v>348</v>
      </c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6"/>
      <c r="N78" s="186"/>
      <c r="O78" s="186"/>
      <c r="P78" s="186"/>
      <c r="Q78" s="186"/>
      <c r="R78" s="186"/>
      <c r="S78" s="186"/>
      <c r="T78" s="186"/>
    </row>
    <row r="80" spans="1:22">
      <c r="A80" s="187" t="s">
        <v>376</v>
      </c>
    </row>
    <row r="81" spans="1:22" customHeight="1" ht="15.75"/>
    <row r="82" spans="1:22">
      <c r="A82" s="189"/>
      <c r="B82" s="190"/>
      <c r="C82" s="191" t="s">
        <v>350</v>
      </c>
      <c r="D82" s="192"/>
      <c r="E82" s="193" t="s">
        <v>351</v>
      </c>
      <c r="F82" s="194"/>
      <c r="G82" s="194"/>
      <c r="H82" s="194"/>
      <c r="I82" s="194"/>
      <c r="J82" s="195"/>
      <c r="K82" s="191" t="s">
        <v>352</v>
      </c>
      <c r="L82" s="196"/>
      <c r="M82" s="186"/>
      <c r="N82" s="186"/>
      <c r="O82" s="186"/>
      <c r="P82" s="186"/>
      <c r="Q82" s="186"/>
      <c r="R82" s="186"/>
      <c r="S82" s="186"/>
      <c r="T82" s="186"/>
    </row>
    <row r="83" spans="1:22">
      <c r="A83" s="197" t="s">
        <v>353</v>
      </c>
      <c r="B83" s="198" t="s">
        <v>354</v>
      </c>
      <c r="C83" s="199">
        <v>2023</v>
      </c>
      <c r="D83" s="200"/>
      <c r="E83" s="250" t="s">
        <v>11</v>
      </c>
      <c r="F83" s="251"/>
      <c r="G83" s="250" t="s">
        <v>355</v>
      </c>
      <c r="H83" s="251"/>
      <c r="I83" s="252" t="s">
        <v>356</v>
      </c>
      <c r="J83" s="253"/>
      <c r="K83" s="199">
        <v>2025</v>
      </c>
      <c r="L83" s="205"/>
      <c r="M83" s="186"/>
      <c r="N83" s="186"/>
      <c r="O83" s="186"/>
      <c r="P83" s="186"/>
      <c r="Q83" s="186"/>
      <c r="R83" s="186"/>
      <c r="S83" s="186"/>
      <c r="T83" s="186"/>
    </row>
    <row r="84" spans="1:22" customHeight="1" ht="15.75">
      <c r="A84" s="206"/>
      <c r="B84" s="207"/>
      <c r="C84" s="208" t="s">
        <v>17</v>
      </c>
      <c r="D84" s="209"/>
      <c r="E84" s="208" t="s">
        <v>17</v>
      </c>
      <c r="F84" s="209"/>
      <c r="G84" s="208" t="s">
        <v>18</v>
      </c>
      <c r="H84" s="209"/>
      <c r="I84" s="210"/>
      <c r="J84" s="211"/>
      <c r="K84" s="208" t="s">
        <v>357</v>
      </c>
      <c r="L84" s="212"/>
      <c r="M84" s="186"/>
      <c r="N84" s="186"/>
      <c r="O84" s="186"/>
      <c r="P84" s="186"/>
      <c r="Q84" s="186"/>
      <c r="R84" s="186"/>
      <c r="S84" s="186"/>
      <c r="T84" s="186"/>
    </row>
    <row r="85" spans="1:22">
      <c r="A85" s="213" t="s">
        <v>80</v>
      </c>
      <c r="B85" s="214"/>
      <c r="C85" s="215"/>
      <c r="D85" s="216"/>
      <c r="E85" s="215"/>
      <c r="F85" s="216"/>
      <c r="G85" s="215"/>
      <c r="H85" s="216"/>
      <c r="I85" s="215"/>
      <c r="J85" s="216"/>
      <c r="K85" s="215"/>
      <c r="L85" s="217"/>
      <c r="M85" s="218"/>
      <c r="N85" s="218"/>
      <c r="O85" s="218"/>
      <c r="P85" s="218"/>
      <c r="Q85" s="218"/>
      <c r="R85" s="218"/>
      <c r="S85" s="218"/>
      <c r="T85" s="218"/>
    </row>
    <row r="86" spans="1:22">
      <c r="A86" s="219" t="s">
        <v>82</v>
      </c>
      <c r="B86" s="214" t="s">
        <v>83</v>
      </c>
      <c r="C86" s="215" t="s">
        <v>23</v>
      </c>
      <c r="D86" s="220">
        <v>652142</v>
      </c>
      <c r="E86" s="215" t="s">
        <v>23</v>
      </c>
      <c r="F86" s="220">
        <v>403302</v>
      </c>
      <c r="G86" s="221" t="s">
        <v>23</v>
      </c>
      <c r="H86" s="220">
        <f>J86-F86</f>
        <v>487956</v>
      </c>
      <c r="I86" s="215" t="s">
        <v>23</v>
      </c>
      <c r="J86" s="220">
        <v>891258</v>
      </c>
      <c r="K86" s="215" t="s">
        <v>23</v>
      </c>
      <c r="L86" s="223">
        <v>1039047</v>
      </c>
      <c r="M86" s="224"/>
      <c r="N86" s="224"/>
      <c r="O86" s="224"/>
      <c r="P86" s="224"/>
      <c r="Q86" s="224"/>
      <c r="R86" s="224"/>
      <c r="S86" s="224"/>
      <c r="T86" s="224"/>
    </row>
    <row r="87" spans="1:22">
      <c r="A87" s="225" t="s">
        <v>338</v>
      </c>
      <c r="B87" s="214"/>
      <c r="C87" s="215"/>
      <c r="D87" s="226"/>
      <c r="E87" s="221"/>
      <c r="F87" s="226"/>
      <c r="G87" s="221"/>
      <c r="H87" s="226"/>
      <c r="I87" s="221"/>
      <c r="J87" s="226"/>
      <c r="K87" s="215"/>
      <c r="L87" s="228"/>
      <c r="M87" s="224"/>
      <c r="N87" s="224"/>
      <c r="O87" s="224"/>
      <c r="P87" s="224"/>
      <c r="Q87" s="224"/>
      <c r="R87" s="224"/>
      <c r="S87" s="224"/>
      <c r="T87" s="224"/>
    </row>
    <row r="88" spans="1:22">
      <c r="A88" s="219" t="s">
        <v>84</v>
      </c>
      <c r="B88" s="214" t="s">
        <v>85</v>
      </c>
      <c r="C88" s="215"/>
      <c r="D88" s="226">
        <v>50000</v>
      </c>
      <c r="E88" s="221"/>
      <c r="F88" s="226">
        <v>36000</v>
      </c>
      <c r="G88" s="221"/>
      <c r="H88" s="220">
        <f>J88-F88</f>
        <v>48000</v>
      </c>
      <c r="I88" s="221"/>
      <c r="J88" s="226">
        <v>84000</v>
      </c>
      <c r="K88" s="215"/>
      <c r="L88" s="228">
        <v>96000</v>
      </c>
      <c r="M88" s="224"/>
      <c r="N88" s="224"/>
      <c r="O88" s="224"/>
      <c r="P88" s="224"/>
      <c r="Q88" s="224"/>
      <c r="R88" s="224"/>
      <c r="S88" s="224"/>
      <c r="T88" s="224"/>
    </row>
    <row r="89" spans="1:22">
      <c r="A89" s="219" t="s">
        <v>90</v>
      </c>
      <c r="B89" s="214" t="s">
        <v>91</v>
      </c>
      <c r="C89" s="215"/>
      <c r="D89" s="235">
        <v>12000</v>
      </c>
      <c r="E89" s="221"/>
      <c r="F89" s="235">
        <v>21000</v>
      </c>
      <c r="G89" s="221"/>
      <c r="H89" s="220">
        <f>J89-F89</f>
        <v>7000</v>
      </c>
      <c r="I89" s="221"/>
      <c r="J89" s="235">
        <v>28000</v>
      </c>
      <c r="K89" s="215"/>
      <c r="L89" s="237">
        <v>28000</v>
      </c>
      <c r="M89" s="224"/>
      <c r="N89" s="224"/>
      <c r="O89" s="224"/>
      <c r="P89" s="224"/>
      <c r="Q89" s="224"/>
      <c r="R89" s="224"/>
      <c r="S89" s="224"/>
      <c r="T89" s="224"/>
    </row>
    <row r="90" spans="1:22">
      <c r="A90" s="219" t="s">
        <v>96</v>
      </c>
      <c r="B90" s="214" t="s">
        <v>97</v>
      </c>
      <c r="C90" s="215"/>
      <c r="D90" s="235">
        <v>10000</v>
      </c>
      <c r="E90" s="221"/>
      <c r="F90" s="235">
        <v>0</v>
      </c>
      <c r="G90" s="221"/>
      <c r="H90" s="220">
        <f>J90-F90</f>
        <v>20000</v>
      </c>
      <c r="I90" s="221"/>
      <c r="J90" s="235">
        <v>20000</v>
      </c>
      <c r="K90" s="215"/>
      <c r="L90" s="237">
        <v>20000</v>
      </c>
      <c r="M90" s="224"/>
      <c r="N90" s="224"/>
      <c r="O90" s="224"/>
      <c r="P90" s="224"/>
      <c r="Q90" s="224"/>
      <c r="R90" s="224"/>
      <c r="S90" s="224"/>
      <c r="T90" s="224"/>
    </row>
    <row r="91" spans="1:22">
      <c r="A91" s="219" t="s">
        <v>358</v>
      </c>
      <c r="B91" s="214" t="s">
        <v>99</v>
      </c>
      <c r="C91" s="215"/>
      <c r="D91" s="235">
        <v>30000</v>
      </c>
      <c r="E91" s="221"/>
      <c r="F91" s="235">
        <v>0</v>
      </c>
      <c r="G91" s="221"/>
      <c r="H91" s="220">
        <f>J91-F91</f>
        <v>40000</v>
      </c>
      <c r="I91" s="221"/>
      <c r="J91" s="235">
        <v>40000</v>
      </c>
      <c r="K91" s="215"/>
      <c r="L91" s="237">
        <f>20000*4</f>
        <v>80000</v>
      </c>
      <c r="M91" s="224"/>
      <c r="N91" s="224"/>
      <c r="O91" s="224"/>
      <c r="P91" s="224"/>
      <c r="Q91" s="224"/>
      <c r="R91" s="224"/>
      <c r="S91" s="224"/>
      <c r="T91" s="224"/>
    </row>
    <row r="92" spans="1:22">
      <c r="A92" s="219" t="s">
        <v>102</v>
      </c>
      <c r="B92" s="214" t="s">
        <v>103</v>
      </c>
      <c r="C92" s="215"/>
      <c r="D92" s="235">
        <v>53175</v>
      </c>
      <c r="E92" s="221"/>
      <c r="F92" s="235">
        <v>0</v>
      </c>
      <c r="G92" s="221"/>
      <c r="H92" s="220">
        <f>J92-F92</f>
        <v>67217</v>
      </c>
      <c r="I92" s="221"/>
      <c r="J92" s="235">
        <v>67217</v>
      </c>
      <c r="K92" s="215"/>
      <c r="L92" s="237">
        <v>89112</v>
      </c>
      <c r="M92" s="224"/>
      <c r="N92" s="224"/>
      <c r="O92" s="224"/>
      <c r="P92" s="224"/>
      <c r="Q92" s="224"/>
      <c r="R92" s="224"/>
      <c r="S92" s="224"/>
      <c r="T92" s="224"/>
    </row>
    <row r="93" spans="1:22">
      <c r="A93" s="219" t="s">
        <v>104</v>
      </c>
      <c r="B93" s="214" t="s">
        <v>105</v>
      </c>
      <c r="C93" s="215"/>
      <c r="D93" s="235">
        <v>10000</v>
      </c>
      <c r="E93" s="221"/>
      <c r="F93" s="235">
        <v>0</v>
      </c>
      <c r="G93" s="221"/>
      <c r="H93" s="220">
        <f>J93-F93</f>
        <v>20000</v>
      </c>
      <c r="I93" s="221"/>
      <c r="J93" s="235">
        <v>20000</v>
      </c>
      <c r="K93" s="215"/>
      <c r="L93" s="237">
        <v>20000</v>
      </c>
      <c r="M93" s="224"/>
      <c r="N93" s="224"/>
      <c r="O93" s="224"/>
      <c r="P93" s="224"/>
      <c r="Q93" s="224"/>
      <c r="R93" s="224"/>
      <c r="S93" s="224"/>
      <c r="T93" s="224"/>
    </row>
    <row r="94" spans="1:22">
      <c r="A94" s="219" t="s">
        <v>106</v>
      </c>
      <c r="B94" s="214" t="s">
        <v>107</v>
      </c>
      <c r="C94" s="215"/>
      <c r="D94" s="235">
        <v>53175</v>
      </c>
      <c r="E94" s="221"/>
      <c r="F94" s="235">
        <v>67217</v>
      </c>
      <c r="G94" s="221"/>
      <c r="H94" s="220">
        <f>J94-F94</f>
        <v>14042</v>
      </c>
      <c r="I94" s="221"/>
      <c r="J94" s="235">
        <v>81259</v>
      </c>
      <c r="K94" s="215"/>
      <c r="L94" s="237">
        <v>85269</v>
      </c>
      <c r="M94" s="224"/>
      <c r="N94" s="224"/>
      <c r="O94" s="224"/>
      <c r="P94" s="224"/>
      <c r="Q94" s="224"/>
      <c r="R94" s="224"/>
      <c r="S94" s="224"/>
      <c r="T94" s="224"/>
    </row>
    <row r="95" spans="1:22">
      <c r="A95" s="225" t="s">
        <v>340</v>
      </c>
      <c r="B95" s="214"/>
      <c r="C95" s="215"/>
      <c r="D95" s="226"/>
      <c r="E95" s="221"/>
      <c r="F95" s="226"/>
      <c r="G95" s="221"/>
      <c r="H95" s="226"/>
      <c r="I95" s="221"/>
      <c r="J95" s="226"/>
      <c r="K95" s="215"/>
      <c r="L95" s="228"/>
      <c r="M95" s="224"/>
      <c r="N95" s="224"/>
      <c r="O95" s="224"/>
      <c r="P95" s="224"/>
      <c r="Q95" s="224"/>
      <c r="R95" s="224"/>
      <c r="S95" s="224"/>
      <c r="T95" s="224"/>
    </row>
    <row r="96" spans="1:22">
      <c r="A96" s="219" t="s">
        <v>108</v>
      </c>
      <c r="B96" s="214" t="s">
        <v>109</v>
      </c>
      <c r="C96" s="215"/>
      <c r="D96" s="226">
        <v>78257.04</v>
      </c>
      <c r="E96" s="221"/>
      <c r="F96" s="226">
        <v>48396.24</v>
      </c>
      <c r="G96" s="221"/>
      <c r="H96" s="220">
        <f>J96-F96</f>
        <v>58554.72</v>
      </c>
      <c r="I96" s="221"/>
      <c r="J96" s="275">
        <v>106950.96</v>
      </c>
      <c r="K96" s="215"/>
      <c r="L96" s="228">
        <v>124687</v>
      </c>
      <c r="M96" s="224"/>
      <c r="N96" s="224"/>
      <c r="O96" s="224"/>
      <c r="P96" s="224"/>
      <c r="Q96" s="224"/>
      <c r="R96" s="224"/>
      <c r="S96" s="224"/>
      <c r="T96" s="224"/>
    </row>
    <row r="97" spans="1:22">
      <c r="A97" s="219" t="s">
        <v>110</v>
      </c>
      <c r="B97" s="214" t="s">
        <v>111</v>
      </c>
      <c r="C97" s="215"/>
      <c r="D97" s="235">
        <v>2500</v>
      </c>
      <c r="E97" s="221"/>
      <c r="F97" s="235">
        <v>3300</v>
      </c>
      <c r="G97" s="221"/>
      <c r="H97" s="220">
        <f>J97-F97</f>
        <v>5700</v>
      </c>
      <c r="I97" s="221"/>
      <c r="J97" s="276">
        <v>9000</v>
      </c>
      <c r="K97" s="215"/>
      <c r="L97" s="237">
        <v>9600</v>
      </c>
      <c r="M97" s="224"/>
      <c r="N97" s="224"/>
      <c r="O97" s="224"/>
      <c r="P97" s="224"/>
      <c r="Q97" s="224"/>
      <c r="R97" s="224"/>
      <c r="S97" s="224"/>
      <c r="T97" s="224"/>
    </row>
    <row r="98" spans="1:22">
      <c r="A98" s="219" t="s">
        <v>112</v>
      </c>
      <c r="B98" s="214" t="s">
        <v>113</v>
      </c>
      <c r="C98" s="215"/>
      <c r="D98" s="235">
        <v>13042.84</v>
      </c>
      <c r="E98" s="221"/>
      <c r="F98" s="235">
        <v>10082.58</v>
      </c>
      <c r="G98" s="221"/>
      <c r="H98" s="220">
        <f>J98-F98</f>
        <v>12198.87</v>
      </c>
      <c r="I98" s="221"/>
      <c r="J98" s="277">
        <v>22281.45</v>
      </c>
      <c r="K98" s="215"/>
      <c r="L98" s="237">
        <v>25977</v>
      </c>
      <c r="M98" s="224"/>
      <c r="N98" s="224"/>
      <c r="O98" s="224"/>
      <c r="P98" s="224"/>
      <c r="Q98" s="224"/>
      <c r="R98" s="224"/>
      <c r="S98" s="224"/>
      <c r="T98" s="224"/>
    </row>
    <row r="99" spans="1:22">
      <c r="A99" s="219" t="s">
        <v>114</v>
      </c>
      <c r="B99" s="214" t="s">
        <v>115</v>
      </c>
      <c r="C99" s="215"/>
      <c r="D99" s="235">
        <v>2500</v>
      </c>
      <c r="E99" s="215"/>
      <c r="F99" s="235">
        <v>1800</v>
      </c>
      <c r="G99" s="215"/>
      <c r="H99" s="220">
        <f>J99-F99</f>
        <v>2400</v>
      </c>
      <c r="I99" s="215"/>
      <c r="J99" s="235">
        <v>4200</v>
      </c>
      <c r="K99" s="215"/>
      <c r="L99" s="237">
        <v>4800</v>
      </c>
      <c r="M99" s="224"/>
      <c r="N99" s="224"/>
      <c r="O99" s="224"/>
      <c r="P99" s="224"/>
      <c r="Q99" s="224"/>
      <c r="R99" s="224"/>
      <c r="S99" s="224"/>
      <c r="T99" s="224"/>
    </row>
    <row r="100" spans="1:22">
      <c r="A100" s="225" t="s">
        <v>359</v>
      </c>
      <c r="B100" s="214"/>
      <c r="C100" s="221"/>
      <c r="D100" s="226"/>
      <c r="E100" s="215"/>
      <c r="F100" s="226"/>
      <c r="G100" s="215"/>
      <c r="H100" s="226"/>
      <c r="I100" s="215"/>
      <c r="J100" s="226"/>
      <c r="K100" s="215"/>
      <c r="L100" s="228"/>
      <c r="M100" s="224"/>
      <c r="N100" s="224"/>
      <c r="O100" s="224"/>
      <c r="P100" s="224"/>
      <c r="Q100" s="224"/>
      <c r="R100" s="224"/>
      <c r="S100" s="224"/>
      <c r="T100" s="224"/>
    </row>
    <row r="101" spans="1:22">
      <c r="A101" s="238" t="s">
        <v>360</v>
      </c>
      <c r="B101" s="214" t="s">
        <v>117</v>
      </c>
      <c r="C101" s="215"/>
      <c r="D101" s="220">
        <v>0</v>
      </c>
      <c r="E101" s="215"/>
      <c r="F101" s="220">
        <v>0</v>
      </c>
      <c r="G101" s="215"/>
      <c r="H101" s="220">
        <v>0</v>
      </c>
      <c r="I101" s="215"/>
      <c r="J101" s="220">
        <v>0</v>
      </c>
      <c r="K101" s="215"/>
      <c r="L101" s="223">
        <v>0</v>
      </c>
      <c r="M101" s="224"/>
      <c r="N101" s="224"/>
      <c r="O101" s="224"/>
      <c r="P101" s="224"/>
      <c r="Q101" s="224"/>
      <c r="R101" s="224"/>
      <c r="S101" s="224"/>
      <c r="T101" s="224"/>
    </row>
    <row r="102" spans="1:22" customHeight="1" ht="15.75">
      <c r="A102" s="238" t="s">
        <v>361</v>
      </c>
      <c r="B102" s="214" t="s">
        <v>119</v>
      </c>
      <c r="C102" s="215"/>
      <c r="D102" s="255">
        <v>0</v>
      </c>
      <c r="E102" s="215"/>
      <c r="F102" s="255">
        <v>0</v>
      </c>
      <c r="G102" s="215"/>
      <c r="H102" s="255">
        <v>0</v>
      </c>
      <c r="I102" s="215"/>
      <c r="J102" s="255">
        <v>0</v>
      </c>
      <c r="K102" s="215"/>
      <c r="L102" s="241">
        <v>28000</v>
      </c>
      <c r="M102" s="224"/>
      <c r="N102" s="224"/>
      <c r="O102" s="224"/>
      <c r="P102" s="224"/>
      <c r="Q102" s="224"/>
      <c r="R102" s="224"/>
      <c r="S102" s="224"/>
      <c r="T102" s="224"/>
    </row>
    <row r="103" spans="1:22" customHeight="1" ht="15.75">
      <c r="A103" s="242" t="s">
        <v>120</v>
      </c>
      <c r="B103" s="243"/>
      <c r="C103" s="244" t="s">
        <v>23</v>
      </c>
      <c r="D103" s="245">
        <f>SUM(D86:D102)</f>
        <v>966791.88</v>
      </c>
      <c r="E103" s="246" t="s">
        <v>23</v>
      </c>
      <c r="F103" s="245">
        <f>SUM(F86:F102)</f>
        <v>591097.82</v>
      </c>
      <c r="G103" s="246" t="s">
        <v>23</v>
      </c>
      <c r="H103" s="245">
        <f>J103-F103</f>
        <v>783068.59</v>
      </c>
      <c r="I103" s="246" t="s">
        <v>23</v>
      </c>
      <c r="J103" s="245">
        <f>SUM(J86:J102)</f>
        <v>1374166.41</v>
      </c>
      <c r="K103" s="246" t="s">
        <v>23</v>
      </c>
      <c r="L103" s="247">
        <f>SUM(L86:L102)</f>
        <v>1650492</v>
      </c>
      <c r="M103" s="248"/>
      <c r="N103" s="248"/>
      <c r="O103" s="248"/>
      <c r="P103" s="248"/>
      <c r="Q103" s="248"/>
      <c r="R103" s="248"/>
      <c r="S103" s="248"/>
      <c r="T103" s="248"/>
    </row>
    <row r="109" spans="1:22">
      <c r="J109" s="215"/>
    </row>
    <row r="112" spans="1:22">
      <c r="A112" s="273" t="s">
        <v>346</v>
      </c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4"/>
      <c r="N112" s="274"/>
      <c r="O112" s="274"/>
      <c r="P112" s="274"/>
      <c r="Q112" s="274"/>
      <c r="R112" s="274"/>
      <c r="S112" s="274"/>
      <c r="T112" s="274"/>
    </row>
    <row r="114" spans="1:22" customHeight="1" ht="15.75">
      <c r="A114" s="183" t="s">
        <v>347</v>
      </c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4"/>
      <c r="N114" s="184"/>
      <c r="O114" s="184"/>
      <c r="P114" s="184"/>
      <c r="Q114" s="184"/>
      <c r="R114" s="184"/>
      <c r="S114" s="184"/>
      <c r="T114" s="184"/>
    </row>
    <row r="115" spans="1:22">
      <c r="A115" s="185" t="s">
        <v>348</v>
      </c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6"/>
      <c r="N115" s="186"/>
      <c r="O115" s="186"/>
      <c r="P115" s="186"/>
      <c r="Q115" s="186"/>
      <c r="R115" s="186"/>
      <c r="S115" s="186"/>
      <c r="T115" s="186"/>
    </row>
    <row r="117" spans="1:22">
      <c r="A117" s="187" t="s">
        <v>376</v>
      </c>
    </row>
    <row r="118" spans="1:22" customHeight="1" ht="15.75"/>
    <row r="119" spans="1:22">
      <c r="A119" s="189"/>
      <c r="B119" s="190"/>
      <c r="C119" s="191" t="s">
        <v>350</v>
      </c>
      <c r="D119" s="192"/>
      <c r="E119" s="193" t="s">
        <v>351</v>
      </c>
      <c r="F119" s="194"/>
      <c r="G119" s="194"/>
      <c r="H119" s="194"/>
      <c r="I119" s="194"/>
      <c r="J119" s="195"/>
      <c r="K119" s="191" t="s">
        <v>352</v>
      </c>
      <c r="L119" s="196"/>
      <c r="M119" s="186"/>
      <c r="N119" s="186"/>
      <c r="O119" s="186"/>
      <c r="P119" s="186"/>
      <c r="Q119" s="186"/>
      <c r="R119" s="186"/>
      <c r="S119" s="186"/>
      <c r="T119" s="186"/>
    </row>
    <row r="120" spans="1:22">
      <c r="A120" s="197" t="s">
        <v>353</v>
      </c>
      <c r="B120" s="198" t="s">
        <v>354</v>
      </c>
      <c r="C120" s="199">
        <v>2023</v>
      </c>
      <c r="D120" s="200"/>
      <c r="E120" s="201" t="s">
        <v>11</v>
      </c>
      <c r="F120" s="251"/>
      <c r="G120" s="201" t="s">
        <v>355</v>
      </c>
      <c r="H120" s="251"/>
      <c r="I120" s="203" t="s">
        <v>356</v>
      </c>
      <c r="J120" s="253"/>
      <c r="K120" s="199">
        <v>2025</v>
      </c>
      <c r="L120" s="205"/>
      <c r="M120" s="186"/>
      <c r="N120" s="186"/>
      <c r="O120" s="186"/>
      <c r="P120" s="186"/>
      <c r="Q120" s="186"/>
      <c r="R120" s="186"/>
      <c r="S120" s="186"/>
      <c r="T120" s="186"/>
    </row>
    <row r="121" spans="1:22" customHeight="1" ht="15.75">
      <c r="A121" s="206"/>
      <c r="B121" s="207"/>
      <c r="C121" s="208" t="s">
        <v>17</v>
      </c>
      <c r="D121" s="209"/>
      <c r="E121" s="208" t="s">
        <v>17</v>
      </c>
      <c r="F121" s="209"/>
      <c r="G121" s="208" t="s">
        <v>18</v>
      </c>
      <c r="H121" s="209"/>
      <c r="I121" s="210"/>
      <c r="J121" s="211"/>
      <c r="K121" s="208" t="s">
        <v>357</v>
      </c>
      <c r="L121" s="212"/>
      <c r="M121" s="186"/>
      <c r="N121" s="186"/>
      <c r="O121" s="186"/>
      <c r="P121" s="186"/>
      <c r="Q121" s="186"/>
      <c r="R121" s="186"/>
      <c r="S121" s="186"/>
      <c r="T121" s="186"/>
    </row>
    <row r="122" spans="1:22">
      <c r="A122" s="225" t="s">
        <v>121</v>
      </c>
      <c r="B122" s="254"/>
      <c r="C122" s="215"/>
      <c r="D122" s="216"/>
      <c r="E122" s="215"/>
      <c r="F122" s="216"/>
      <c r="G122" s="215"/>
      <c r="H122" s="216"/>
      <c r="I122" s="215"/>
      <c r="J122" s="216"/>
      <c r="K122" s="215"/>
      <c r="L122" s="278"/>
      <c r="M122" s="218"/>
      <c r="N122" s="218"/>
      <c r="O122" s="218"/>
      <c r="P122" s="218"/>
      <c r="Q122" s="218"/>
      <c r="R122" s="218"/>
      <c r="S122" s="218"/>
      <c r="T122" s="218"/>
    </row>
    <row r="123" spans="1:22">
      <c r="A123" s="219" t="s">
        <v>122</v>
      </c>
      <c r="B123" s="214" t="s">
        <v>123</v>
      </c>
      <c r="C123" s="215" t="s">
        <v>23</v>
      </c>
      <c r="D123" s="226">
        <v>57999.99</v>
      </c>
      <c r="E123" s="215" t="s">
        <v>23</v>
      </c>
      <c r="F123" s="226">
        <v>54913.2</v>
      </c>
      <c r="G123" s="215" t="s">
        <v>23</v>
      </c>
      <c r="H123" s="220">
        <f>J123-F123</f>
        <v>15086.8</v>
      </c>
      <c r="I123" s="215" t="s">
        <v>23</v>
      </c>
      <c r="J123" s="226">
        <v>70000</v>
      </c>
      <c r="K123" s="215" t="s">
        <v>23</v>
      </c>
      <c r="L123" s="228">
        <v>90000</v>
      </c>
      <c r="M123" s="224"/>
      <c r="N123" s="224"/>
      <c r="O123" s="224"/>
      <c r="P123" s="224"/>
      <c r="Q123" s="224"/>
      <c r="R123" s="224"/>
      <c r="S123" s="224"/>
      <c r="T123" s="224"/>
    </row>
    <row r="124" spans="1:22">
      <c r="A124" s="219" t="s">
        <v>126</v>
      </c>
      <c r="B124" s="214" t="s">
        <v>127</v>
      </c>
      <c r="C124" s="215"/>
      <c r="D124" s="229">
        <v>74693.9</v>
      </c>
      <c r="E124" s="215"/>
      <c r="F124" s="229">
        <v>28794.99</v>
      </c>
      <c r="G124" s="215"/>
      <c r="H124" s="229">
        <f>J124-F124</f>
        <v>21205.01</v>
      </c>
      <c r="I124" s="215"/>
      <c r="J124" s="229">
        <v>50000</v>
      </c>
      <c r="K124" s="215"/>
      <c r="L124" s="231">
        <v>70000</v>
      </c>
      <c r="M124" s="224"/>
      <c r="N124" s="224"/>
      <c r="O124" s="224"/>
      <c r="P124" s="224"/>
      <c r="Q124" s="224"/>
      <c r="R124" s="224"/>
      <c r="S124" s="224"/>
      <c r="T124" s="224"/>
    </row>
    <row r="125" spans="1:22">
      <c r="A125" s="219" t="s">
        <v>144</v>
      </c>
      <c r="B125" s="214" t="s">
        <v>145</v>
      </c>
      <c r="C125" s="215"/>
      <c r="D125" s="229">
        <v>36000</v>
      </c>
      <c r="E125" s="215"/>
      <c r="F125" s="229">
        <v>20000</v>
      </c>
      <c r="G125" s="215"/>
      <c r="H125" s="229">
        <f>J125-F125</f>
        <v>28000</v>
      </c>
      <c r="I125" s="215"/>
      <c r="J125" s="229">
        <v>48000</v>
      </c>
      <c r="K125" s="215"/>
      <c r="L125" s="231">
        <v>18000</v>
      </c>
      <c r="M125" s="224"/>
      <c r="N125" s="224"/>
      <c r="O125" s="224"/>
      <c r="P125" s="224"/>
      <c r="Q125" s="224"/>
      <c r="R125" s="224"/>
      <c r="S125" s="224"/>
      <c r="T125" s="224"/>
    </row>
    <row r="126" spans="1:22">
      <c r="A126" s="219" t="s">
        <v>146</v>
      </c>
      <c r="B126" s="214" t="s">
        <v>147</v>
      </c>
      <c r="C126" s="215"/>
      <c r="D126" s="229">
        <v>24500.11</v>
      </c>
      <c r="E126" s="215"/>
      <c r="F126" s="229">
        <v>12000.06</v>
      </c>
      <c r="G126" s="215"/>
      <c r="H126" s="229">
        <f>J126-F126</f>
        <v>12999.94</v>
      </c>
      <c r="I126" s="215"/>
      <c r="J126" s="229">
        <v>25000</v>
      </c>
      <c r="K126" s="215"/>
      <c r="L126" s="231">
        <v>25000</v>
      </c>
      <c r="M126" s="224"/>
      <c r="N126" s="224"/>
      <c r="O126" s="224"/>
      <c r="P126" s="224"/>
      <c r="Q126" s="224"/>
      <c r="R126" s="224"/>
      <c r="S126" s="224"/>
      <c r="T126" s="224"/>
    </row>
    <row r="127" spans="1:22">
      <c r="A127" s="219" t="s">
        <v>156</v>
      </c>
      <c r="B127" s="214" t="s">
        <v>157</v>
      </c>
      <c r="C127" s="215"/>
      <c r="D127" s="229">
        <v>3000</v>
      </c>
      <c r="E127" s="215"/>
      <c r="F127" s="229">
        <v>2400</v>
      </c>
      <c r="G127" s="215"/>
      <c r="H127" s="229">
        <f>J127-F127</f>
        <v>7600</v>
      </c>
      <c r="I127" s="215"/>
      <c r="J127" s="229">
        <v>10000</v>
      </c>
      <c r="K127" s="215"/>
      <c r="L127" s="231">
        <v>10000</v>
      </c>
      <c r="M127" s="224"/>
      <c r="N127" s="224"/>
      <c r="O127" s="224"/>
      <c r="P127" s="224"/>
      <c r="Q127" s="224"/>
      <c r="R127" s="224"/>
      <c r="S127" s="224"/>
      <c r="T127" s="224"/>
    </row>
    <row r="128" spans="1:22" customHeight="1" ht="15.75">
      <c r="A128" s="219" t="s">
        <v>169</v>
      </c>
      <c r="B128" s="214" t="s">
        <v>170</v>
      </c>
      <c r="C128" s="215"/>
      <c r="D128" s="239">
        <v>9669.01</v>
      </c>
      <c r="E128" s="215"/>
      <c r="F128" s="239">
        <v>0</v>
      </c>
      <c r="G128" s="215"/>
      <c r="H128" s="279">
        <f>J128-F128</f>
        <v>14360</v>
      </c>
      <c r="I128" s="215"/>
      <c r="J128" s="239">
        <v>14360</v>
      </c>
      <c r="K128" s="215"/>
      <c r="L128" s="257">
        <v>54360</v>
      </c>
      <c r="M128" s="224"/>
      <c r="N128" s="224"/>
      <c r="O128" s="224"/>
      <c r="P128" s="224"/>
      <c r="Q128" s="224"/>
      <c r="R128" s="224"/>
      <c r="S128" s="224"/>
      <c r="T128" s="224"/>
    </row>
    <row r="129" spans="1:22" customHeight="1" ht="15.75">
      <c r="A129" s="225" t="s">
        <v>200</v>
      </c>
      <c r="B129" s="254"/>
      <c r="C129" s="258" t="s">
        <v>23</v>
      </c>
      <c r="D129" s="245">
        <f>SUM(D123:D128)</f>
        <v>205863.01</v>
      </c>
      <c r="E129" s="258" t="s">
        <v>23</v>
      </c>
      <c r="F129" s="245">
        <f>SUM(F123:F128)</f>
        <v>118108.25</v>
      </c>
      <c r="G129" s="258" t="s">
        <v>23</v>
      </c>
      <c r="H129" s="245">
        <f>SUM(H123:H128)</f>
        <v>99251.75</v>
      </c>
      <c r="I129" s="258" t="s">
        <v>23</v>
      </c>
      <c r="J129" s="245">
        <f>SUM(J123:J128)</f>
        <v>217360</v>
      </c>
      <c r="K129" s="258" t="s">
        <v>23</v>
      </c>
      <c r="L129" s="247">
        <f>SUM(L123:L128)</f>
        <v>267360</v>
      </c>
      <c r="M129" s="248"/>
      <c r="N129" s="248"/>
      <c r="O129" s="248"/>
      <c r="P129" s="248"/>
      <c r="Q129" s="248"/>
      <c r="R129" s="248"/>
      <c r="S129" s="248"/>
      <c r="T129" s="248"/>
    </row>
    <row r="130" spans="1:22">
      <c r="A130" s="225" t="s">
        <v>201</v>
      </c>
      <c r="B130" s="254"/>
      <c r="C130" s="215"/>
      <c r="D130" s="280"/>
      <c r="E130" s="215"/>
      <c r="F130" s="280"/>
      <c r="G130" s="215"/>
      <c r="H130" s="280"/>
      <c r="I130" s="215"/>
      <c r="J130" s="280"/>
      <c r="K130" s="215"/>
      <c r="L130" s="281"/>
      <c r="M130" s="224"/>
      <c r="N130" s="224"/>
      <c r="O130" s="224"/>
      <c r="P130" s="224"/>
      <c r="Q130" s="224"/>
      <c r="R130" s="224"/>
      <c r="S130" s="224"/>
      <c r="T130" s="224"/>
    </row>
    <row r="131" spans="1:22" customHeight="1" ht="15.75">
      <c r="A131" s="219" t="s">
        <v>367</v>
      </c>
      <c r="B131" s="214" t="s">
        <v>209</v>
      </c>
      <c r="C131" s="215" t="s">
        <v>23</v>
      </c>
      <c r="D131" s="226">
        <v>0</v>
      </c>
      <c r="E131" s="215" t="s">
        <v>23</v>
      </c>
      <c r="F131" s="226">
        <v>0</v>
      </c>
      <c r="G131" s="215" t="s">
        <v>23</v>
      </c>
      <c r="H131" s="226">
        <v>0</v>
      </c>
      <c r="I131" s="215" t="s">
        <v>23</v>
      </c>
      <c r="J131" s="226">
        <v>0</v>
      </c>
      <c r="K131" s="215" t="s">
        <v>23</v>
      </c>
      <c r="L131" s="228">
        <v>0</v>
      </c>
      <c r="M131" s="224"/>
      <c r="N131" s="224"/>
      <c r="O131" s="224"/>
      <c r="P131" s="224"/>
      <c r="Q131" s="224"/>
      <c r="R131" s="224"/>
      <c r="S131" s="224"/>
      <c r="T131" s="224"/>
    </row>
    <row r="132" spans="1:22" customHeight="1" ht="15.75">
      <c r="A132" s="225" t="s">
        <v>214</v>
      </c>
      <c r="B132" s="214"/>
      <c r="C132" s="258" t="s">
        <v>23</v>
      </c>
      <c r="D132" s="282">
        <f>SUM(D131)</f>
        <v>0</v>
      </c>
      <c r="E132" s="258" t="s">
        <v>23</v>
      </c>
      <c r="F132" s="282">
        <f>SUM(F131)</f>
        <v>0</v>
      </c>
      <c r="G132" s="258" t="s">
        <v>23</v>
      </c>
      <c r="H132" s="282">
        <f>SUM(H131)</f>
        <v>0</v>
      </c>
      <c r="I132" s="258" t="s">
        <v>23</v>
      </c>
      <c r="J132" s="282">
        <f>SUM(J131)</f>
        <v>0</v>
      </c>
      <c r="K132" s="258" t="s">
        <v>23</v>
      </c>
      <c r="L132" s="283">
        <f>SUM(L131)</f>
        <v>0</v>
      </c>
      <c r="M132" s="248"/>
      <c r="N132" s="248"/>
      <c r="O132" s="248"/>
      <c r="P132" s="248"/>
      <c r="Q132" s="248"/>
      <c r="R132" s="248"/>
      <c r="S132" s="248"/>
      <c r="T132" s="248"/>
    </row>
    <row r="133" spans="1:22" customHeight="1" ht="15.75">
      <c r="A133" s="284" t="s">
        <v>370</v>
      </c>
      <c r="B133" s="285"/>
      <c r="C133" s="286" t="s">
        <v>23</v>
      </c>
      <c r="D133" s="287">
        <f>D103+D129+D132</f>
        <v>1172654.89</v>
      </c>
      <c r="E133" s="288" t="s">
        <v>23</v>
      </c>
      <c r="F133" s="287">
        <f>F103+F129+F132</f>
        <v>709206.07</v>
      </c>
      <c r="G133" s="288" t="s">
        <v>23</v>
      </c>
      <c r="H133" s="287">
        <f>H103+H129+H132</f>
        <v>882320.34</v>
      </c>
      <c r="I133" s="288" t="s">
        <v>23</v>
      </c>
      <c r="J133" s="287">
        <f>J103+J129+J132</f>
        <v>1591526.41</v>
      </c>
      <c r="K133" s="288" t="s">
        <v>23</v>
      </c>
      <c r="L133" s="289">
        <f>L103+L129+L132</f>
        <v>1917852</v>
      </c>
      <c r="M133" s="248"/>
      <c r="N133" s="248"/>
      <c r="O133" s="248"/>
      <c r="P133" s="248"/>
      <c r="Q133" s="248"/>
      <c r="R133" s="248"/>
      <c r="S133" s="248"/>
      <c r="T133" s="248"/>
    </row>
    <row r="134" spans="1:22" customHeight="1" ht="15.75">
      <c r="A134" s="187"/>
      <c r="C134" s="258"/>
      <c r="D134" s="261"/>
      <c r="E134" s="258"/>
      <c r="F134" s="261"/>
      <c r="G134" s="258"/>
      <c r="H134" s="261"/>
      <c r="I134" s="258"/>
      <c r="J134" s="261"/>
      <c r="K134" s="258"/>
      <c r="L134" s="248"/>
      <c r="M134" s="248"/>
      <c r="N134" s="248"/>
      <c r="O134" s="248"/>
      <c r="P134" s="248"/>
      <c r="Q134" s="248"/>
      <c r="R134" s="248"/>
      <c r="S134" s="248"/>
      <c r="T134" s="248"/>
    </row>
    <row r="135" spans="1:22">
      <c r="A135" s="215" t="s">
        <v>371</v>
      </c>
      <c r="B135" s="215" t="s">
        <v>372</v>
      </c>
      <c r="C135" s="215"/>
      <c r="D135" s="215"/>
      <c r="E135" s="215"/>
      <c r="F135" s="215"/>
      <c r="G135" s="215" t="s">
        <v>373</v>
      </c>
      <c r="H135" s="215"/>
    </row>
    <row r="138" spans="1:22">
      <c r="A138" s="268" t="s">
        <v>377</v>
      </c>
      <c r="B138" s="269" t="s">
        <v>374</v>
      </c>
      <c r="C138" s="269"/>
      <c r="D138" s="269"/>
      <c r="E138" s="269"/>
      <c r="F138" s="269"/>
      <c r="G138" s="270"/>
      <c r="H138" s="269" t="s">
        <v>326</v>
      </c>
      <c r="I138" s="269"/>
      <c r="J138" s="269"/>
      <c r="K138" s="269"/>
      <c r="L138" s="269"/>
      <c r="M138" s="268"/>
      <c r="N138" s="268"/>
      <c r="O138" s="268"/>
      <c r="P138" s="268"/>
      <c r="Q138" s="268"/>
      <c r="R138" s="268"/>
      <c r="S138" s="268"/>
      <c r="T138" s="268"/>
    </row>
    <row r="139" spans="1:22">
      <c r="A139" s="271" t="s">
        <v>378</v>
      </c>
      <c r="B139" s="272" t="s">
        <v>375</v>
      </c>
      <c r="C139" s="272"/>
      <c r="D139" s="272"/>
      <c r="E139" s="272"/>
      <c r="F139" s="272"/>
      <c r="G139" s="215"/>
      <c r="H139" s="272" t="s">
        <v>327</v>
      </c>
      <c r="I139" s="272"/>
      <c r="J139" s="272"/>
      <c r="K139" s="272"/>
      <c r="L139" s="272"/>
      <c r="M139" s="271"/>
      <c r="N139" s="271"/>
      <c r="O139" s="271"/>
      <c r="P139" s="271"/>
      <c r="Q139" s="271"/>
      <c r="R139" s="271"/>
      <c r="S139" s="271"/>
      <c r="T139" s="271"/>
    </row>
    <row r="141" spans="1:22">
      <c r="J141" s="215"/>
    </row>
    <row r="144" spans="1:22">
      <c r="J144" s="215"/>
    </row>
    <row r="145" spans="1:22">
      <c r="J145" s="215"/>
    </row>
    <row r="146" spans="1:22">
      <c r="J146" s="215"/>
    </row>
    <row r="147" spans="1:22">
      <c r="J147" s="215"/>
    </row>
    <row r="148" spans="1:22">
      <c r="J148" s="215"/>
    </row>
    <row r="149" spans="1:22">
      <c r="A149" s="273" t="s">
        <v>346</v>
      </c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4"/>
      <c r="N149" s="274"/>
      <c r="O149" s="274"/>
      <c r="P149" s="274"/>
      <c r="Q149" s="274"/>
      <c r="R149" s="274"/>
      <c r="S149" s="274"/>
      <c r="T149" s="274"/>
    </row>
    <row r="151" spans="1:22" customHeight="1" ht="15.75">
      <c r="A151" s="183" t="s">
        <v>347</v>
      </c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4"/>
      <c r="N151" s="184"/>
      <c r="O151" s="184"/>
      <c r="P151" s="184"/>
      <c r="Q151" s="184"/>
      <c r="R151" s="184"/>
      <c r="S151" s="184"/>
      <c r="T151" s="184"/>
    </row>
    <row r="152" spans="1:22">
      <c r="A152" s="185" t="s">
        <v>348</v>
      </c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6"/>
      <c r="N152" s="186"/>
      <c r="O152" s="186"/>
      <c r="P152" s="186"/>
      <c r="Q152" s="186"/>
      <c r="R152" s="186"/>
      <c r="S152" s="186"/>
      <c r="T152" s="186"/>
    </row>
    <row r="154" spans="1:22">
      <c r="A154" s="187" t="s">
        <v>379</v>
      </c>
    </row>
    <row r="155" spans="1:22" customHeight="1" ht="15.75"/>
    <row r="156" spans="1:22">
      <c r="A156" s="189"/>
      <c r="B156" s="190"/>
      <c r="C156" s="191" t="s">
        <v>350</v>
      </c>
      <c r="D156" s="192"/>
      <c r="E156" s="193" t="s">
        <v>351</v>
      </c>
      <c r="F156" s="194"/>
      <c r="G156" s="194"/>
      <c r="H156" s="194"/>
      <c r="I156" s="194"/>
      <c r="J156" s="195"/>
      <c r="K156" s="191" t="s">
        <v>352</v>
      </c>
      <c r="L156" s="196"/>
      <c r="M156" s="186"/>
      <c r="N156" s="186"/>
      <c r="O156" s="186"/>
      <c r="P156" s="186"/>
      <c r="Q156" s="186"/>
      <c r="R156" s="186"/>
      <c r="S156" s="186"/>
      <c r="T156" s="186"/>
    </row>
    <row r="157" spans="1:22">
      <c r="A157" s="197" t="s">
        <v>353</v>
      </c>
      <c r="B157" s="198" t="s">
        <v>354</v>
      </c>
      <c r="C157" s="199">
        <v>2023</v>
      </c>
      <c r="D157" s="200"/>
      <c r="E157" s="201" t="s">
        <v>11</v>
      </c>
      <c r="F157" s="251"/>
      <c r="G157" s="201" t="s">
        <v>355</v>
      </c>
      <c r="H157" s="251"/>
      <c r="I157" s="203" t="s">
        <v>356</v>
      </c>
      <c r="J157" s="253"/>
      <c r="K157" s="199">
        <v>2025</v>
      </c>
      <c r="L157" s="205"/>
      <c r="M157" s="186"/>
      <c r="N157" s="186"/>
      <c r="O157" s="186"/>
      <c r="P157" s="186"/>
      <c r="Q157" s="186"/>
      <c r="R157" s="186"/>
      <c r="S157" s="186"/>
      <c r="T157" s="186"/>
    </row>
    <row r="158" spans="1:22" customHeight="1" ht="15.75">
      <c r="A158" s="206"/>
      <c r="B158" s="207"/>
      <c r="C158" s="208" t="s">
        <v>17</v>
      </c>
      <c r="D158" s="209"/>
      <c r="E158" s="208" t="s">
        <v>17</v>
      </c>
      <c r="F158" s="209"/>
      <c r="G158" s="208" t="s">
        <v>18</v>
      </c>
      <c r="H158" s="209"/>
      <c r="I158" s="210"/>
      <c r="J158" s="211"/>
      <c r="K158" s="208" t="s">
        <v>357</v>
      </c>
      <c r="L158" s="212"/>
      <c r="M158" s="186"/>
      <c r="N158" s="186"/>
      <c r="O158" s="186"/>
      <c r="P158" s="186"/>
      <c r="Q158" s="186"/>
      <c r="R158" s="186"/>
      <c r="S158" s="186"/>
      <c r="T158" s="186"/>
    </row>
    <row r="159" spans="1:22">
      <c r="A159" s="213" t="s">
        <v>80</v>
      </c>
      <c r="B159" s="214"/>
      <c r="C159" s="215"/>
      <c r="D159" s="216"/>
      <c r="E159" s="215"/>
      <c r="F159" s="216"/>
      <c r="G159" s="215"/>
      <c r="H159" s="216"/>
      <c r="I159" s="215"/>
      <c r="J159" s="216"/>
      <c r="K159" s="215"/>
      <c r="L159" s="217"/>
      <c r="M159" s="218"/>
      <c r="N159" s="218"/>
      <c r="O159" s="218"/>
      <c r="P159" s="218"/>
      <c r="Q159" s="218"/>
      <c r="R159" s="218"/>
      <c r="S159" s="218"/>
      <c r="T159" s="218"/>
    </row>
    <row r="160" spans="1:22">
      <c r="A160" s="219" t="s">
        <v>82</v>
      </c>
      <c r="B160" s="214" t="s">
        <v>83</v>
      </c>
      <c r="C160" s="215" t="s">
        <v>23</v>
      </c>
      <c r="D160" s="220">
        <v>2452680</v>
      </c>
      <c r="E160" s="215" t="s">
        <v>23</v>
      </c>
      <c r="F160" s="220">
        <v>1230038.48</v>
      </c>
      <c r="G160" s="215" t="s">
        <v>23</v>
      </c>
      <c r="H160" s="220">
        <f>J160-F160</f>
        <v>1234116.52</v>
      </c>
      <c r="I160" s="215" t="s">
        <v>23</v>
      </c>
      <c r="J160" s="220">
        <v>2464155</v>
      </c>
      <c r="K160" s="215" t="s">
        <v>23</v>
      </c>
      <c r="L160" s="223">
        <v>2610245</v>
      </c>
      <c r="M160" s="224"/>
      <c r="N160" s="224"/>
      <c r="O160" s="224"/>
      <c r="P160" s="224"/>
      <c r="Q160" s="224"/>
      <c r="R160" s="224"/>
      <c r="S160" s="224"/>
      <c r="T160" s="224"/>
    </row>
    <row r="161" spans="1:22">
      <c r="A161" s="225" t="s">
        <v>338</v>
      </c>
      <c r="B161" s="214"/>
      <c r="C161" s="215"/>
      <c r="D161" s="226"/>
      <c r="E161" s="215"/>
      <c r="F161" s="226"/>
      <c r="G161" s="215"/>
      <c r="H161" s="226"/>
      <c r="I161" s="215"/>
      <c r="J161" s="226"/>
      <c r="K161" s="215"/>
      <c r="L161" s="228"/>
      <c r="M161" s="224"/>
      <c r="N161" s="224"/>
      <c r="O161" s="224"/>
      <c r="P161" s="224"/>
      <c r="Q161" s="224"/>
      <c r="R161" s="224"/>
      <c r="S161" s="224"/>
      <c r="T161" s="224"/>
    </row>
    <row r="162" spans="1:22">
      <c r="A162" s="219" t="s">
        <v>84</v>
      </c>
      <c r="B162" s="214" t="s">
        <v>85</v>
      </c>
      <c r="C162" s="215"/>
      <c r="D162" s="220">
        <v>120000</v>
      </c>
      <c r="E162" s="215"/>
      <c r="F162" s="226">
        <v>60000</v>
      </c>
      <c r="G162" s="215"/>
      <c r="H162" s="220">
        <f>J162-F162</f>
        <v>60000</v>
      </c>
      <c r="I162" s="215"/>
      <c r="J162" s="226">
        <v>120000</v>
      </c>
      <c r="K162" s="215"/>
      <c r="L162" s="228">
        <v>120000</v>
      </c>
      <c r="M162" s="224"/>
      <c r="N162" s="224"/>
      <c r="O162" s="224"/>
      <c r="P162" s="224"/>
      <c r="Q162" s="224"/>
      <c r="R162" s="224"/>
      <c r="S162" s="224"/>
      <c r="T162" s="224"/>
    </row>
    <row r="163" spans="1:22">
      <c r="A163" s="219" t="s">
        <v>86</v>
      </c>
      <c r="B163" s="214" t="s">
        <v>87</v>
      </c>
      <c r="C163" s="215"/>
      <c r="D163" s="229">
        <v>153600</v>
      </c>
      <c r="E163" s="215"/>
      <c r="F163" s="229">
        <v>86400</v>
      </c>
      <c r="G163" s="215"/>
      <c r="H163" s="220">
        <f>J163-F163</f>
        <v>76800</v>
      </c>
      <c r="I163" s="215"/>
      <c r="J163" s="229">
        <v>163200</v>
      </c>
      <c r="K163" s="215"/>
      <c r="L163" s="231">
        <v>172800</v>
      </c>
      <c r="M163" s="224"/>
      <c r="N163" s="224"/>
      <c r="O163" s="224"/>
      <c r="P163" s="224"/>
      <c r="Q163" s="224"/>
      <c r="R163" s="224"/>
      <c r="S163" s="224"/>
      <c r="T163" s="224"/>
    </row>
    <row r="164" spans="1:22">
      <c r="A164" s="219" t="s">
        <v>88</v>
      </c>
      <c r="B164" s="214" t="s">
        <v>89</v>
      </c>
      <c r="C164" s="215"/>
      <c r="D164" s="229">
        <v>153600</v>
      </c>
      <c r="E164" s="215"/>
      <c r="F164" s="229">
        <v>86400</v>
      </c>
      <c r="G164" s="215"/>
      <c r="H164" s="220">
        <f>J164-F164</f>
        <v>76800</v>
      </c>
      <c r="I164" s="215"/>
      <c r="J164" s="229">
        <v>163200</v>
      </c>
      <c r="K164" s="215"/>
      <c r="L164" s="231">
        <v>172800</v>
      </c>
      <c r="M164" s="224"/>
      <c r="N164" s="224"/>
      <c r="O164" s="224"/>
      <c r="P164" s="224"/>
      <c r="Q164" s="224"/>
      <c r="R164" s="224"/>
      <c r="S164" s="224"/>
      <c r="T164" s="224"/>
    </row>
    <row r="165" spans="1:22">
      <c r="A165" s="219" t="s">
        <v>90</v>
      </c>
      <c r="B165" s="214" t="s">
        <v>91</v>
      </c>
      <c r="C165" s="215"/>
      <c r="D165" s="229">
        <v>30000</v>
      </c>
      <c r="E165" s="215"/>
      <c r="F165" s="229">
        <v>35000</v>
      </c>
      <c r="G165" s="215"/>
      <c r="H165" s="220">
        <f>J165-F165</f>
        <v>0</v>
      </c>
      <c r="I165" s="215"/>
      <c r="J165" s="229">
        <v>35000</v>
      </c>
      <c r="K165" s="215"/>
      <c r="L165" s="231">
        <v>35000</v>
      </c>
      <c r="M165" s="224"/>
      <c r="N165" s="224"/>
      <c r="O165" s="224"/>
      <c r="P165" s="224"/>
      <c r="Q165" s="224"/>
      <c r="R165" s="224"/>
      <c r="S165" s="224"/>
      <c r="T165" s="224"/>
    </row>
    <row r="166" spans="1:22">
      <c r="A166" s="219" t="s">
        <v>96</v>
      </c>
      <c r="B166" s="214" t="s">
        <v>97</v>
      </c>
      <c r="C166" s="215"/>
      <c r="D166" s="229">
        <v>25000</v>
      </c>
      <c r="E166" s="215"/>
      <c r="F166" s="229">
        <v>0</v>
      </c>
      <c r="G166" s="215"/>
      <c r="H166" s="220">
        <f>J166-F166</f>
        <v>25000</v>
      </c>
      <c r="I166" s="215"/>
      <c r="J166" s="290">
        <v>25000</v>
      </c>
      <c r="K166" s="215"/>
      <c r="L166" s="291">
        <v>25000</v>
      </c>
      <c r="M166" s="292"/>
      <c r="N166" s="292"/>
      <c r="O166" s="292"/>
      <c r="P166" s="292"/>
      <c r="Q166" s="292"/>
      <c r="R166" s="292"/>
      <c r="S166" s="292"/>
      <c r="T166" s="292"/>
    </row>
    <row r="167" spans="1:22" customHeight="1" ht="14.25">
      <c r="A167" s="219" t="s">
        <v>358</v>
      </c>
      <c r="B167" s="214" t="s">
        <v>99</v>
      </c>
      <c r="C167" s="215"/>
      <c r="D167" s="229">
        <v>75000</v>
      </c>
      <c r="E167" s="215"/>
      <c r="F167" s="229">
        <v>0</v>
      </c>
      <c r="G167" s="215"/>
      <c r="H167" s="220">
        <f>J167-F167</f>
        <v>50000</v>
      </c>
      <c r="I167" s="215"/>
      <c r="J167" s="290">
        <v>50000</v>
      </c>
      <c r="K167" s="215"/>
      <c r="L167" s="291">
        <v>100000</v>
      </c>
      <c r="M167" s="292"/>
      <c r="N167" s="292"/>
      <c r="O167" s="292"/>
      <c r="P167" s="292"/>
      <c r="Q167" s="292"/>
      <c r="R167" s="292"/>
      <c r="S167" s="292"/>
      <c r="T167" s="292"/>
    </row>
    <row r="168" spans="1:22" customHeight="1" ht="14.25">
      <c r="A168" s="219" t="s">
        <v>102</v>
      </c>
      <c r="B168" s="214" t="s">
        <v>103</v>
      </c>
      <c r="C168" s="215"/>
      <c r="D168" s="229">
        <v>204390</v>
      </c>
      <c r="E168" s="215"/>
      <c r="F168" s="229">
        <v>0</v>
      </c>
      <c r="G168" s="215"/>
      <c r="H168" s="220">
        <f>J168-F168</f>
        <v>205665</v>
      </c>
      <c r="I168" s="215"/>
      <c r="J168" s="229">
        <v>205665</v>
      </c>
      <c r="K168" s="215"/>
      <c r="L168" s="231">
        <v>284445</v>
      </c>
      <c r="M168" s="224"/>
      <c r="N168" s="224"/>
      <c r="O168" s="224"/>
      <c r="P168" s="224"/>
      <c r="Q168" s="224"/>
      <c r="R168" s="224"/>
      <c r="S168" s="224"/>
      <c r="T168" s="224"/>
    </row>
    <row r="169" spans="1:22" customHeight="1" ht="14.25">
      <c r="A169" s="219" t="s">
        <v>104</v>
      </c>
      <c r="B169" s="214" t="s">
        <v>105</v>
      </c>
      <c r="C169" s="215"/>
      <c r="D169" s="229">
        <v>25000</v>
      </c>
      <c r="E169" s="215"/>
      <c r="F169" s="229">
        <v>0</v>
      </c>
      <c r="G169" s="215"/>
      <c r="H169" s="220">
        <f>J169-F169</f>
        <v>25000</v>
      </c>
      <c r="I169" s="215"/>
      <c r="J169" s="229">
        <v>25000</v>
      </c>
      <c r="K169" s="215"/>
      <c r="L169" s="231">
        <v>25000</v>
      </c>
      <c r="M169" s="224"/>
      <c r="N169" s="224"/>
      <c r="O169" s="224"/>
      <c r="P169" s="224"/>
      <c r="Q169" s="224"/>
      <c r="R169" s="224"/>
      <c r="S169" s="224"/>
      <c r="T169" s="224"/>
    </row>
    <row r="170" spans="1:22">
      <c r="A170" s="219" t="s">
        <v>106</v>
      </c>
      <c r="B170" s="214" t="s">
        <v>107</v>
      </c>
      <c r="C170" s="215"/>
      <c r="D170" s="229">
        <v>204390</v>
      </c>
      <c r="E170" s="215"/>
      <c r="F170" s="229">
        <v>205665</v>
      </c>
      <c r="G170" s="215"/>
      <c r="H170" s="220">
        <f>J170-F170</f>
        <v>0</v>
      </c>
      <c r="I170" s="215"/>
      <c r="J170" s="229">
        <v>205665</v>
      </c>
      <c r="K170" s="215"/>
      <c r="L170" s="231">
        <v>213630</v>
      </c>
      <c r="M170" s="224"/>
      <c r="N170" s="224"/>
      <c r="O170" s="224"/>
      <c r="P170" s="224"/>
      <c r="Q170" s="224"/>
      <c r="R170" s="224"/>
      <c r="S170" s="224"/>
      <c r="T170" s="224"/>
    </row>
    <row r="171" spans="1:22">
      <c r="A171" s="225" t="s">
        <v>340</v>
      </c>
      <c r="B171" s="214"/>
      <c r="C171" s="215"/>
      <c r="D171" s="226"/>
      <c r="E171" s="215"/>
      <c r="F171" s="226"/>
      <c r="G171" s="215"/>
      <c r="H171" s="226"/>
      <c r="I171" s="215"/>
      <c r="J171" s="226"/>
      <c r="K171" s="215"/>
      <c r="L171" s="228"/>
      <c r="M171" s="224"/>
      <c r="N171" s="224"/>
      <c r="O171" s="224"/>
      <c r="P171" s="224"/>
      <c r="Q171" s="224"/>
      <c r="R171" s="224"/>
      <c r="S171" s="224"/>
      <c r="T171" s="224"/>
    </row>
    <row r="172" spans="1:22">
      <c r="A172" s="219" t="s">
        <v>108</v>
      </c>
      <c r="B172" s="214" t="s">
        <v>109</v>
      </c>
      <c r="C172" s="215"/>
      <c r="D172" s="226">
        <v>294321.6</v>
      </c>
      <c r="E172" s="215"/>
      <c r="F172" s="226">
        <v>147604.62</v>
      </c>
      <c r="G172" s="215"/>
      <c r="H172" s="220">
        <f>J172-F172</f>
        <v>148093.98</v>
      </c>
      <c r="I172" s="215"/>
      <c r="J172" s="226">
        <v>295698.6</v>
      </c>
      <c r="K172" s="215"/>
      <c r="L172" s="228">
        <v>313230</v>
      </c>
      <c r="M172" s="224"/>
      <c r="N172" s="224"/>
      <c r="O172" s="224"/>
      <c r="P172" s="224"/>
      <c r="Q172" s="224"/>
      <c r="R172" s="224"/>
      <c r="S172" s="224"/>
      <c r="T172" s="224"/>
    </row>
    <row r="173" spans="1:22">
      <c r="A173" s="219" t="s">
        <v>110</v>
      </c>
      <c r="B173" s="214" t="s">
        <v>111</v>
      </c>
      <c r="C173" s="215"/>
      <c r="D173" s="229">
        <v>6000</v>
      </c>
      <c r="E173" s="215"/>
      <c r="F173" s="229">
        <v>5500</v>
      </c>
      <c r="G173" s="215"/>
      <c r="H173" s="220">
        <f>J173-F173</f>
        <v>6500</v>
      </c>
      <c r="I173" s="215"/>
      <c r="J173" s="229">
        <v>12000</v>
      </c>
      <c r="K173" s="215"/>
      <c r="L173" s="231">
        <v>12000</v>
      </c>
      <c r="M173" s="224"/>
      <c r="N173" s="224"/>
      <c r="O173" s="224"/>
      <c r="P173" s="224"/>
      <c r="Q173" s="224"/>
      <c r="R173" s="224"/>
      <c r="S173" s="224"/>
      <c r="T173" s="224"/>
    </row>
    <row r="174" spans="1:22">
      <c r="A174" s="219" t="s">
        <v>112</v>
      </c>
      <c r="B174" s="214" t="s">
        <v>113</v>
      </c>
      <c r="C174" s="215"/>
      <c r="D174" s="229">
        <v>48537.12</v>
      </c>
      <c r="E174" s="215"/>
      <c r="F174" s="229">
        <v>30751.01</v>
      </c>
      <c r="G174" s="215"/>
      <c r="H174" s="220">
        <f>J174-F174</f>
        <v>30852.87</v>
      </c>
      <c r="I174" s="215"/>
      <c r="J174" s="229">
        <v>61603.88</v>
      </c>
      <c r="K174" s="215"/>
      <c r="L174" s="231">
        <v>65257</v>
      </c>
      <c r="M174" s="224"/>
      <c r="N174" s="224"/>
      <c r="O174" s="224"/>
      <c r="P174" s="224"/>
      <c r="Q174" s="224"/>
      <c r="R174" s="224"/>
      <c r="S174" s="224"/>
      <c r="T174" s="224"/>
    </row>
    <row r="175" spans="1:22">
      <c r="A175" s="219" t="s">
        <v>114</v>
      </c>
      <c r="B175" s="214" t="s">
        <v>115</v>
      </c>
      <c r="C175" s="215"/>
      <c r="D175" s="229">
        <v>6000</v>
      </c>
      <c r="E175" s="215"/>
      <c r="F175" s="229">
        <v>3000</v>
      </c>
      <c r="G175" s="215"/>
      <c r="H175" s="220">
        <f>J175-F175</f>
        <v>3000</v>
      </c>
      <c r="I175" s="215"/>
      <c r="J175" s="229">
        <v>6000</v>
      </c>
      <c r="K175" s="215"/>
      <c r="L175" s="231">
        <v>6000</v>
      </c>
      <c r="M175" s="224"/>
      <c r="N175" s="224"/>
      <c r="O175" s="224"/>
      <c r="P175" s="224"/>
      <c r="Q175" s="224"/>
      <c r="R175" s="224"/>
      <c r="S175" s="224"/>
      <c r="T175" s="224"/>
    </row>
    <row r="176" spans="1:22">
      <c r="A176" s="225" t="s">
        <v>359</v>
      </c>
      <c r="B176" s="214"/>
      <c r="C176" s="221"/>
      <c r="D176" s="226"/>
      <c r="E176" s="215"/>
      <c r="F176" s="226"/>
      <c r="G176" s="215"/>
      <c r="H176" s="293"/>
      <c r="I176" s="215"/>
      <c r="J176" s="226"/>
      <c r="K176" s="215"/>
      <c r="L176" s="228"/>
      <c r="M176" s="224"/>
      <c r="N176" s="224"/>
      <c r="O176" s="224"/>
      <c r="P176" s="224"/>
      <c r="Q176" s="224"/>
      <c r="R176" s="224"/>
      <c r="S176" s="224"/>
      <c r="T176" s="224"/>
    </row>
    <row r="177" spans="1:22">
      <c r="A177" s="238" t="s">
        <v>360</v>
      </c>
      <c r="B177" s="214" t="s">
        <v>117</v>
      </c>
      <c r="C177" s="215"/>
      <c r="D177" s="220"/>
      <c r="E177" s="215"/>
      <c r="F177" s="220">
        <v>0</v>
      </c>
      <c r="G177" s="215"/>
      <c r="H177" s="220">
        <v>0</v>
      </c>
      <c r="I177" s="215"/>
      <c r="J177" s="220">
        <v>0</v>
      </c>
      <c r="K177" s="215"/>
      <c r="L177" s="223">
        <v>371997</v>
      </c>
      <c r="M177" s="224"/>
      <c r="N177" s="224"/>
      <c r="O177" s="224"/>
      <c r="P177" s="224"/>
      <c r="Q177" s="224"/>
      <c r="R177" s="224"/>
      <c r="S177" s="224"/>
      <c r="T177" s="224"/>
    </row>
    <row r="178" spans="1:22" customHeight="1" ht="15.75">
      <c r="A178" s="238" t="s">
        <v>361</v>
      </c>
      <c r="B178" s="214" t="s">
        <v>119</v>
      </c>
      <c r="C178" s="215"/>
      <c r="D178" s="239"/>
      <c r="E178" s="215"/>
      <c r="F178" s="239">
        <v>0</v>
      </c>
      <c r="G178" s="215"/>
      <c r="H178" s="239">
        <v>0</v>
      </c>
      <c r="I178" s="215"/>
      <c r="J178" s="239">
        <v>0</v>
      </c>
      <c r="K178" s="215"/>
      <c r="L178" s="257">
        <v>35000</v>
      </c>
      <c r="M178" s="224"/>
      <c r="N178" s="224"/>
      <c r="O178" s="224"/>
      <c r="P178" s="224"/>
      <c r="Q178" s="224"/>
      <c r="R178" s="224"/>
      <c r="S178" s="224"/>
      <c r="T178" s="224"/>
    </row>
    <row r="179" spans="1:22" customHeight="1" ht="15.75">
      <c r="A179" s="242" t="s">
        <v>120</v>
      </c>
      <c r="B179" s="243"/>
      <c r="C179" s="244" t="s">
        <v>23</v>
      </c>
      <c r="D179" s="245">
        <f>SUM(D160:D178)</f>
        <v>3798518.72</v>
      </c>
      <c r="E179" s="246" t="s">
        <v>23</v>
      </c>
      <c r="F179" s="245">
        <f>SUM(F160:F178)</f>
        <v>1890359.11</v>
      </c>
      <c r="G179" s="246" t="s">
        <v>23</v>
      </c>
      <c r="H179" s="245">
        <f>SUM(H160:H178)</f>
        <v>1941828.37</v>
      </c>
      <c r="I179" s="246" t="s">
        <v>23</v>
      </c>
      <c r="J179" s="245">
        <f>SUM(J160:J178)</f>
        <v>3832187.48</v>
      </c>
      <c r="K179" s="246" t="s">
        <v>23</v>
      </c>
      <c r="L179" s="247">
        <f>SUM(L160:L178)</f>
        <v>4562404</v>
      </c>
      <c r="M179" s="248"/>
      <c r="N179" s="248"/>
      <c r="O179" s="248"/>
      <c r="P179" s="248"/>
      <c r="Q179" s="248"/>
      <c r="R179" s="248"/>
      <c r="S179" s="248"/>
      <c r="T179" s="248"/>
    </row>
    <row r="186" spans="1:22">
      <c r="A186" s="273" t="s">
        <v>346</v>
      </c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4"/>
      <c r="N186" s="274"/>
      <c r="O186" s="274"/>
      <c r="P186" s="274"/>
      <c r="Q186" s="274"/>
      <c r="R186" s="274"/>
      <c r="S186" s="274"/>
      <c r="T186" s="274"/>
    </row>
    <row r="188" spans="1:22" customHeight="1" ht="15.75">
      <c r="A188" s="183" t="s">
        <v>347</v>
      </c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4"/>
      <c r="N188" s="184"/>
      <c r="O188" s="184"/>
      <c r="P188" s="184"/>
      <c r="Q188" s="184"/>
      <c r="R188" s="184"/>
      <c r="S188" s="184"/>
      <c r="T188" s="184"/>
    </row>
    <row r="189" spans="1:22">
      <c r="A189" s="185" t="s">
        <v>348</v>
      </c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6"/>
      <c r="N189" s="186"/>
      <c r="O189" s="186"/>
      <c r="P189" s="186"/>
      <c r="Q189" s="186"/>
      <c r="R189" s="186"/>
      <c r="S189" s="186"/>
      <c r="T189" s="186"/>
    </row>
    <row r="191" spans="1:22" customHeight="1" ht="15.75">
      <c r="A191" s="187" t="s">
        <v>379</v>
      </c>
    </row>
    <row r="192" spans="1:22">
      <c r="A192" s="189"/>
      <c r="B192" s="190"/>
      <c r="C192" s="191" t="s">
        <v>350</v>
      </c>
      <c r="D192" s="192"/>
      <c r="E192" s="193" t="s">
        <v>351</v>
      </c>
      <c r="F192" s="194"/>
      <c r="G192" s="194"/>
      <c r="H192" s="194"/>
      <c r="I192" s="194"/>
      <c r="J192" s="195"/>
      <c r="K192" s="191" t="s">
        <v>352</v>
      </c>
      <c r="L192" s="196"/>
      <c r="M192" s="186"/>
      <c r="N192" s="186"/>
      <c r="O192" s="186"/>
      <c r="P192" s="186"/>
      <c r="Q192" s="186"/>
      <c r="R192" s="186"/>
      <c r="S192" s="186"/>
      <c r="T192" s="186"/>
    </row>
    <row r="193" spans="1:22">
      <c r="A193" s="197" t="s">
        <v>353</v>
      </c>
      <c r="B193" s="198" t="s">
        <v>354</v>
      </c>
      <c r="C193" s="199">
        <v>2023</v>
      </c>
      <c r="D193" s="200"/>
      <c r="E193" s="201" t="s">
        <v>11</v>
      </c>
      <c r="F193" s="251"/>
      <c r="G193" s="201" t="s">
        <v>355</v>
      </c>
      <c r="H193" s="251"/>
      <c r="I193" s="203" t="s">
        <v>356</v>
      </c>
      <c r="J193" s="253"/>
      <c r="K193" s="199">
        <v>2025</v>
      </c>
      <c r="L193" s="205"/>
      <c r="M193" s="186"/>
      <c r="N193" s="186"/>
      <c r="O193" s="186"/>
      <c r="P193" s="186"/>
      <c r="Q193" s="186"/>
      <c r="R193" s="186"/>
      <c r="S193" s="186"/>
      <c r="T193" s="186"/>
    </row>
    <row r="194" spans="1:22" customHeight="1" ht="15.75">
      <c r="A194" s="206"/>
      <c r="B194" s="207"/>
      <c r="C194" s="208" t="s">
        <v>17</v>
      </c>
      <c r="D194" s="209"/>
      <c r="E194" s="208" t="s">
        <v>17</v>
      </c>
      <c r="F194" s="209"/>
      <c r="G194" s="208" t="s">
        <v>18</v>
      </c>
      <c r="H194" s="209"/>
      <c r="I194" s="210"/>
      <c r="J194" s="211"/>
      <c r="K194" s="208" t="s">
        <v>357</v>
      </c>
      <c r="L194" s="212"/>
      <c r="M194" s="186"/>
      <c r="N194" s="186"/>
      <c r="O194" s="186"/>
      <c r="P194" s="186"/>
      <c r="Q194" s="186"/>
      <c r="R194" s="186"/>
      <c r="S194" s="186"/>
      <c r="T194" s="186"/>
    </row>
    <row r="195" spans="1:22">
      <c r="A195" s="225" t="s">
        <v>121</v>
      </c>
      <c r="B195" s="254"/>
      <c r="C195" s="215"/>
      <c r="D195" s="216"/>
      <c r="E195" s="215"/>
      <c r="F195" s="216"/>
      <c r="G195" s="215"/>
      <c r="H195" s="216"/>
      <c r="I195" s="215"/>
      <c r="J195" s="216"/>
      <c r="K195" s="215"/>
      <c r="L195" s="217"/>
      <c r="M195" s="218"/>
      <c r="N195" s="218"/>
      <c r="O195" s="218"/>
      <c r="P195" s="218"/>
      <c r="Q195" s="218"/>
      <c r="R195" s="218"/>
      <c r="S195" s="218"/>
      <c r="T195" s="218"/>
    </row>
    <row r="196" spans="1:22">
      <c r="A196" s="219" t="s">
        <v>122</v>
      </c>
      <c r="B196" s="214" t="s">
        <v>123</v>
      </c>
      <c r="C196" s="215" t="s">
        <v>23</v>
      </c>
      <c r="D196" s="226">
        <v>260350</v>
      </c>
      <c r="E196" s="215" t="s">
        <v>23</v>
      </c>
      <c r="F196" s="226">
        <v>173320</v>
      </c>
      <c r="G196" s="215" t="s">
        <v>23</v>
      </c>
      <c r="H196" s="220">
        <f>J196-F196</f>
        <v>76680</v>
      </c>
      <c r="I196" s="215" t="s">
        <v>23</v>
      </c>
      <c r="J196" s="227">
        <v>250000</v>
      </c>
      <c r="K196" s="215" t="s">
        <v>23</v>
      </c>
      <c r="L196" s="228">
        <v>250000</v>
      </c>
      <c r="M196" s="224"/>
      <c r="N196" s="224"/>
      <c r="O196" s="224"/>
      <c r="P196" s="224"/>
      <c r="Q196" s="224"/>
      <c r="R196" s="224"/>
      <c r="S196" s="224"/>
      <c r="T196" s="224"/>
    </row>
    <row r="197" spans="1:22">
      <c r="A197" s="219" t="s">
        <v>124</v>
      </c>
      <c r="B197" s="214" t="s">
        <v>125</v>
      </c>
      <c r="C197" s="215"/>
      <c r="D197" s="229">
        <v>0</v>
      </c>
      <c r="E197" s="215"/>
      <c r="F197" s="229">
        <v>22000</v>
      </c>
      <c r="G197" s="215"/>
      <c r="H197" s="220">
        <f>J197-F197</f>
        <v>0</v>
      </c>
      <c r="I197" s="215"/>
      <c r="J197" s="230">
        <v>22000</v>
      </c>
      <c r="K197" s="215"/>
      <c r="L197" s="231">
        <v>50000</v>
      </c>
      <c r="M197" s="224"/>
      <c r="N197" s="224"/>
      <c r="O197" s="224"/>
      <c r="P197" s="224"/>
      <c r="Q197" s="224"/>
      <c r="R197" s="224"/>
      <c r="S197" s="224"/>
      <c r="T197" s="224"/>
    </row>
    <row r="198" spans="1:22">
      <c r="A198" s="219" t="s">
        <v>126</v>
      </c>
      <c r="B198" s="214" t="s">
        <v>127</v>
      </c>
      <c r="C198" s="215"/>
      <c r="D198" s="229">
        <v>300000</v>
      </c>
      <c r="E198" s="215"/>
      <c r="F198" s="229">
        <v>176653.05</v>
      </c>
      <c r="G198" s="215"/>
      <c r="H198" s="220">
        <f>J198-F198</f>
        <v>23346.95</v>
      </c>
      <c r="I198" s="215"/>
      <c r="J198" s="230">
        <v>200000</v>
      </c>
      <c r="K198" s="215"/>
      <c r="L198" s="231">
        <v>340000</v>
      </c>
      <c r="M198" s="224"/>
      <c r="N198" s="224"/>
      <c r="O198" s="224"/>
      <c r="P198" s="224"/>
      <c r="Q198" s="224"/>
      <c r="R198" s="224"/>
      <c r="S198" s="224"/>
      <c r="T198" s="224"/>
    </row>
    <row r="199" spans="1:22">
      <c r="A199" s="219" t="s">
        <v>134</v>
      </c>
      <c r="B199" s="214" t="s">
        <v>135</v>
      </c>
      <c r="C199" s="215"/>
      <c r="D199" s="229">
        <v>52174</v>
      </c>
      <c r="E199" s="215"/>
      <c r="F199" s="229">
        <v>0</v>
      </c>
      <c r="G199" s="215"/>
      <c r="H199" s="220">
        <f>J199-F199</f>
        <v>300000</v>
      </c>
      <c r="I199" s="215"/>
      <c r="J199" s="230">
        <v>300000</v>
      </c>
      <c r="K199" s="215"/>
      <c r="L199" s="231">
        <v>300000</v>
      </c>
      <c r="M199" s="224"/>
      <c r="N199" s="224"/>
      <c r="O199" s="224"/>
      <c r="P199" s="224"/>
      <c r="Q199" s="224"/>
      <c r="R199" s="224"/>
      <c r="S199" s="224"/>
      <c r="T199" s="224"/>
    </row>
    <row r="200" spans="1:22">
      <c r="A200" s="219" t="s">
        <v>142</v>
      </c>
      <c r="B200" s="214" t="s">
        <v>143</v>
      </c>
      <c r="C200" s="215"/>
      <c r="D200" s="229">
        <v>0</v>
      </c>
      <c r="E200" s="215"/>
      <c r="F200" s="229">
        <v>0</v>
      </c>
      <c r="G200" s="215"/>
      <c r="H200" s="220">
        <f>J200-F200</f>
        <v>5000</v>
      </c>
      <c r="I200" s="215"/>
      <c r="J200" s="230">
        <v>5000</v>
      </c>
      <c r="K200" s="215"/>
      <c r="L200" s="231">
        <v>10000</v>
      </c>
      <c r="M200" s="224"/>
      <c r="N200" s="224"/>
      <c r="O200" s="224"/>
      <c r="P200" s="224"/>
      <c r="Q200" s="224"/>
      <c r="R200" s="224"/>
      <c r="S200" s="224"/>
      <c r="T200" s="224"/>
    </row>
    <row r="201" spans="1:22">
      <c r="A201" s="219" t="s">
        <v>144</v>
      </c>
      <c r="B201" s="214" t="s">
        <v>145</v>
      </c>
      <c r="C201" s="215"/>
      <c r="D201" s="229">
        <v>128942.35</v>
      </c>
      <c r="E201" s="215"/>
      <c r="F201" s="229">
        <v>66000</v>
      </c>
      <c r="G201" s="215"/>
      <c r="H201" s="220">
        <f>J201-F201</f>
        <v>126000</v>
      </c>
      <c r="I201" s="215"/>
      <c r="J201" s="230">
        <v>192000</v>
      </c>
      <c r="K201" s="215"/>
      <c r="L201" s="294">
        <v>48000</v>
      </c>
      <c r="M201" s="295"/>
      <c r="N201" s="295"/>
      <c r="O201" s="295"/>
      <c r="P201" s="295"/>
      <c r="Q201" s="295"/>
      <c r="R201" s="224"/>
      <c r="S201" s="224"/>
      <c r="T201" s="224"/>
    </row>
    <row r="202" spans="1:22">
      <c r="A202" s="219" t="s">
        <v>146</v>
      </c>
      <c r="B202" s="214" t="s">
        <v>147</v>
      </c>
      <c r="C202" s="215"/>
      <c r="D202" s="229">
        <v>30625.68</v>
      </c>
      <c r="E202" s="215"/>
      <c r="F202" s="229">
        <v>16573.12</v>
      </c>
      <c r="G202" s="215"/>
      <c r="H202" s="220">
        <f>J202-F202</f>
        <v>33426.88</v>
      </c>
      <c r="I202" s="215"/>
      <c r="J202" s="230">
        <v>50000</v>
      </c>
      <c r="K202" s="215"/>
      <c r="L202" s="231">
        <v>50000</v>
      </c>
      <c r="M202" s="224"/>
      <c r="N202" s="224"/>
      <c r="O202" s="224"/>
      <c r="P202" s="224"/>
      <c r="Q202" s="224"/>
      <c r="R202" s="224"/>
      <c r="S202" s="224"/>
      <c r="T202" s="224"/>
    </row>
    <row r="203" spans="1:22">
      <c r="A203" s="219" t="s">
        <v>152</v>
      </c>
      <c r="B203" s="214" t="s">
        <v>153</v>
      </c>
      <c r="C203" s="215"/>
      <c r="D203" s="229">
        <v>96000</v>
      </c>
      <c r="E203" s="215"/>
      <c r="F203" s="229">
        <v>32000</v>
      </c>
      <c r="G203" s="215"/>
      <c r="H203" s="220">
        <f>J203-F203</f>
        <v>64000</v>
      </c>
      <c r="I203" s="215"/>
      <c r="J203" s="230">
        <v>96000</v>
      </c>
      <c r="K203" s="215"/>
      <c r="L203" s="231">
        <v>100000</v>
      </c>
      <c r="M203" s="224"/>
      <c r="N203" s="224"/>
      <c r="O203" s="224"/>
      <c r="P203" s="224"/>
      <c r="Q203" s="224"/>
      <c r="R203" s="224"/>
      <c r="S203" s="224"/>
      <c r="T203" s="224"/>
    </row>
    <row r="204" spans="1:22">
      <c r="A204" s="219" t="s">
        <v>154</v>
      </c>
      <c r="B204" s="214" t="s">
        <v>155</v>
      </c>
      <c r="C204" s="215"/>
      <c r="D204" s="229">
        <v>611400</v>
      </c>
      <c r="E204" s="215"/>
      <c r="F204" s="229">
        <v>291900</v>
      </c>
      <c r="G204" s="215"/>
      <c r="H204" s="220">
        <f>J204-F204</f>
        <v>318740</v>
      </c>
      <c r="I204" s="215"/>
      <c r="J204" s="230">
        <v>610640</v>
      </c>
      <c r="K204" s="215"/>
      <c r="L204" s="231">
        <v>700000</v>
      </c>
      <c r="M204" s="224"/>
      <c r="N204" s="224"/>
      <c r="O204" s="224"/>
      <c r="P204" s="224"/>
      <c r="Q204" s="224"/>
      <c r="R204" s="224"/>
      <c r="S204" s="224"/>
      <c r="T204" s="224"/>
    </row>
    <row r="205" spans="1:22">
      <c r="A205" s="219" t="s">
        <v>156</v>
      </c>
      <c r="B205" s="214" t="s">
        <v>157</v>
      </c>
      <c r="C205" s="215"/>
      <c r="D205" s="229">
        <v>26805</v>
      </c>
      <c r="E205" s="215"/>
      <c r="F205" s="229">
        <v>13500</v>
      </c>
      <c r="G205" s="215"/>
      <c r="H205" s="220">
        <f>J205-F205</f>
        <v>36500</v>
      </c>
      <c r="I205" s="215"/>
      <c r="J205" s="230">
        <v>50000</v>
      </c>
      <c r="K205" s="215"/>
      <c r="L205" s="231">
        <v>100000</v>
      </c>
      <c r="M205" s="224"/>
      <c r="N205" s="224"/>
      <c r="O205" s="224"/>
      <c r="P205" s="224"/>
      <c r="Q205" s="224"/>
      <c r="R205" s="224"/>
      <c r="S205" s="224"/>
      <c r="T205" s="224"/>
    </row>
    <row r="206" spans="1:22">
      <c r="A206" s="219" t="s">
        <v>363</v>
      </c>
      <c r="B206" s="214" t="s">
        <v>159</v>
      </c>
      <c r="C206" s="215"/>
      <c r="D206" s="229">
        <v>14130</v>
      </c>
      <c r="E206" s="215"/>
      <c r="F206" s="229">
        <v>0</v>
      </c>
      <c r="G206" s="215"/>
      <c r="H206" s="220">
        <f>J206-F206</f>
        <v>60000</v>
      </c>
      <c r="I206" s="215"/>
      <c r="J206" s="230">
        <v>60000</v>
      </c>
      <c r="K206" s="215"/>
      <c r="L206" s="231">
        <v>50000</v>
      </c>
      <c r="M206" s="224"/>
      <c r="N206" s="224"/>
      <c r="O206" s="224"/>
      <c r="P206" s="224"/>
      <c r="Q206" s="224"/>
      <c r="R206" s="224"/>
      <c r="S206" s="224"/>
      <c r="T206" s="224"/>
    </row>
    <row r="207" spans="1:22">
      <c r="A207" s="219" t="s">
        <v>364</v>
      </c>
      <c r="B207" s="214" t="s">
        <v>163</v>
      </c>
      <c r="C207" s="215"/>
      <c r="D207" s="229">
        <v>52500</v>
      </c>
      <c r="E207" s="215"/>
      <c r="F207" s="229">
        <v>52500</v>
      </c>
      <c r="G207" s="215"/>
      <c r="H207" s="220">
        <f>J207-F207</f>
        <v>7500</v>
      </c>
      <c r="I207" s="215"/>
      <c r="J207" s="230">
        <v>60000</v>
      </c>
      <c r="K207" s="215"/>
      <c r="L207" s="231">
        <v>50000</v>
      </c>
      <c r="M207" s="224"/>
      <c r="N207" s="224"/>
      <c r="O207" s="224"/>
      <c r="P207" s="224"/>
      <c r="Q207" s="224"/>
      <c r="R207" s="224"/>
      <c r="S207" s="224"/>
      <c r="T207" s="224"/>
    </row>
    <row r="208" spans="1:22">
      <c r="A208" s="219" t="s">
        <v>164</v>
      </c>
      <c r="B208" s="214" t="s">
        <v>165</v>
      </c>
      <c r="C208" s="215"/>
      <c r="D208" s="229"/>
      <c r="E208" s="221"/>
      <c r="F208" s="229">
        <v>0</v>
      </c>
      <c r="G208" s="221"/>
      <c r="H208" s="220">
        <f>J208-F208</f>
        <v>30000</v>
      </c>
      <c r="I208" s="221"/>
      <c r="J208" s="230">
        <v>30000</v>
      </c>
      <c r="K208" s="215"/>
      <c r="L208" s="231">
        <v>30000</v>
      </c>
      <c r="M208" s="224"/>
      <c r="N208" s="224"/>
      <c r="O208" s="224"/>
      <c r="P208" s="224"/>
      <c r="Q208" s="224"/>
      <c r="R208" s="224"/>
      <c r="S208" s="224"/>
      <c r="T208" s="224"/>
    </row>
    <row r="209" spans="1:22">
      <c r="A209" s="219" t="s">
        <v>365</v>
      </c>
      <c r="B209" s="214" t="s">
        <v>366</v>
      </c>
      <c r="C209" s="215"/>
      <c r="D209" s="229">
        <v>0</v>
      </c>
      <c r="E209" s="215"/>
      <c r="F209" s="229">
        <v>0</v>
      </c>
      <c r="G209" s="215"/>
      <c r="H209" s="220">
        <f>J209-F209</f>
        <v>100000</v>
      </c>
      <c r="I209" s="215"/>
      <c r="J209" s="230">
        <v>100000</v>
      </c>
      <c r="K209" s="215"/>
      <c r="L209" s="231">
        <v>200000</v>
      </c>
      <c r="M209" s="224"/>
      <c r="N209" s="224"/>
      <c r="O209" s="224"/>
      <c r="P209" s="224"/>
      <c r="Q209" s="224"/>
      <c r="R209" s="224"/>
      <c r="S209" s="224"/>
      <c r="T209" s="224"/>
    </row>
    <row r="210" spans="1:22" customHeight="1" ht="15.75">
      <c r="A210" s="219" t="s">
        <v>169</v>
      </c>
      <c r="B210" s="214" t="s">
        <v>170</v>
      </c>
      <c r="C210" s="215"/>
      <c r="D210" s="239">
        <v>211496.16</v>
      </c>
      <c r="E210" s="215"/>
      <c r="F210" s="239">
        <v>146940</v>
      </c>
      <c r="G210" s="215"/>
      <c r="H210" s="220">
        <f>J210-F210</f>
        <v>53060</v>
      </c>
      <c r="I210" s="215"/>
      <c r="J210" s="256">
        <v>200000</v>
      </c>
      <c r="K210" s="215"/>
      <c r="L210" s="257">
        <f>435640+12000</f>
        <v>447640</v>
      </c>
      <c r="M210" s="224"/>
      <c r="N210" s="224"/>
      <c r="O210" s="224"/>
      <c r="P210" s="224"/>
      <c r="Q210" s="224"/>
      <c r="R210" s="224"/>
      <c r="S210" s="224"/>
      <c r="T210" s="224"/>
    </row>
    <row r="211" spans="1:22" customHeight="1" ht="15.75">
      <c r="A211" s="225" t="s">
        <v>200</v>
      </c>
      <c r="B211" s="254"/>
      <c r="C211" s="258" t="s">
        <v>23</v>
      </c>
      <c r="D211" s="245">
        <f>SUM(D196:D210)</f>
        <v>1784423.19</v>
      </c>
      <c r="E211" s="258" t="s">
        <v>23</v>
      </c>
      <c r="F211" s="245">
        <f>SUM(F196:F210)</f>
        <v>991386.17</v>
      </c>
      <c r="G211" s="258" t="s">
        <v>23</v>
      </c>
      <c r="H211" s="245">
        <f>SUM(H196:H210)</f>
        <v>1234253.83</v>
      </c>
      <c r="I211" s="258" t="s">
        <v>23</v>
      </c>
      <c r="J211" s="245">
        <f>SUM(J196:J210)</f>
        <v>2225640</v>
      </c>
      <c r="K211" s="258" t="s">
        <v>23</v>
      </c>
      <c r="L211" s="247">
        <f>SUM(L196:L210)</f>
        <v>2725640</v>
      </c>
      <c r="M211" s="248"/>
      <c r="N211" s="248"/>
      <c r="O211" s="248"/>
      <c r="P211" s="248"/>
      <c r="Q211" s="248"/>
      <c r="R211" s="248"/>
      <c r="S211" s="248"/>
      <c r="T211" s="248"/>
    </row>
    <row r="212" spans="1:22">
      <c r="A212" s="225" t="s">
        <v>201</v>
      </c>
      <c r="B212" s="254"/>
      <c r="C212" s="215"/>
      <c r="D212" s="280"/>
      <c r="E212" s="215"/>
      <c r="F212" s="280"/>
      <c r="G212" s="215"/>
      <c r="H212" s="280"/>
      <c r="I212" s="215"/>
      <c r="J212" s="280"/>
      <c r="K212" s="215"/>
      <c r="L212" s="281"/>
      <c r="M212" s="224"/>
      <c r="N212" s="224"/>
      <c r="O212" s="224"/>
      <c r="P212" s="224"/>
      <c r="Q212" s="224"/>
      <c r="R212" s="224"/>
      <c r="S212" s="224"/>
      <c r="T212" s="224"/>
    </row>
    <row r="213" spans="1:22">
      <c r="A213" s="219" t="s">
        <v>367</v>
      </c>
      <c r="B213" s="214" t="s">
        <v>209</v>
      </c>
      <c r="C213" s="215" t="s">
        <v>23</v>
      </c>
      <c r="D213" s="220">
        <v>263500</v>
      </c>
      <c r="E213" s="215" t="s">
        <v>23</v>
      </c>
      <c r="F213" s="220">
        <v>0</v>
      </c>
      <c r="G213" s="215" t="s">
        <v>23</v>
      </c>
      <c r="H213" s="220">
        <f>J213-F213</f>
        <v>0</v>
      </c>
      <c r="I213" s="215" t="s">
        <v>23</v>
      </c>
      <c r="J213" s="220">
        <v>0</v>
      </c>
      <c r="K213" s="215" t="s">
        <v>23</v>
      </c>
      <c r="L213" s="223">
        <v>200000</v>
      </c>
      <c r="M213" s="224"/>
      <c r="N213" s="224"/>
      <c r="O213" s="224"/>
      <c r="P213" s="224"/>
      <c r="Q213" s="224"/>
      <c r="R213" s="224"/>
      <c r="S213" s="224"/>
      <c r="T213" s="224"/>
    </row>
    <row r="214" spans="1:22">
      <c r="A214" s="219" t="s">
        <v>202</v>
      </c>
      <c r="B214" s="214" t="s">
        <v>203</v>
      </c>
      <c r="C214" s="215"/>
      <c r="D214" s="229">
        <v>0</v>
      </c>
      <c r="E214" s="215"/>
      <c r="F214" s="229">
        <v>0</v>
      </c>
      <c r="G214" s="215"/>
      <c r="H214" s="229">
        <v>0</v>
      </c>
      <c r="I214" s="215"/>
      <c r="J214" s="229">
        <v>0</v>
      </c>
      <c r="K214" s="215"/>
      <c r="L214" s="231">
        <v>400000</v>
      </c>
      <c r="M214" s="224"/>
      <c r="N214" s="224"/>
      <c r="O214" s="224"/>
      <c r="P214" s="224"/>
      <c r="Q214" s="224"/>
      <c r="R214" s="224"/>
      <c r="S214" s="224"/>
      <c r="T214" s="224"/>
    </row>
    <row r="215" spans="1:22" customHeight="1" ht="15.75">
      <c r="A215" s="219" t="s">
        <v>212</v>
      </c>
      <c r="B215" s="214" t="s">
        <v>213</v>
      </c>
      <c r="C215" s="215"/>
      <c r="D215" s="226">
        <v>0</v>
      </c>
      <c r="E215" s="215"/>
      <c r="F215" s="226">
        <v>0</v>
      </c>
      <c r="G215" s="215"/>
      <c r="H215" s="226">
        <v>0</v>
      </c>
      <c r="I215" s="215"/>
      <c r="J215" s="226">
        <v>1400000</v>
      </c>
      <c r="K215" s="215"/>
      <c r="L215" s="228">
        <v>0</v>
      </c>
      <c r="M215" s="224"/>
      <c r="N215" s="224"/>
      <c r="O215" s="224"/>
      <c r="P215" s="224"/>
      <c r="Q215" s="224"/>
      <c r="R215" s="224"/>
      <c r="S215" s="224"/>
      <c r="T215" s="224"/>
    </row>
    <row r="216" spans="1:22" customHeight="1" ht="15.75">
      <c r="A216" s="225" t="s">
        <v>214</v>
      </c>
      <c r="B216" s="214"/>
      <c r="C216" s="258" t="s">
        <v>23</v>
      </c>
      <c r="D216" s="282">
        <f>SUM(D213:D213)</f>
        <v>263500</v>
      </c>
      <c r="E216" s="258" t="s">
        <v>23</v>
      </c>
      <c r="F216" s="282">
        <f>SUM(F213)</f>
        <v>0</v>
      </c>
      <c r="G216" s="258" t="s">
        <v>23</v>
      </c>
      <c r="H216" s="282">
        <f>SUM(H213:H213)</f>
        <v>0</v>
      </c>
      <c r="I216" s="258" t="s">
        <v>23</v>
      </c>
      <c r="J216" s="282">
        <f>SUM(J213:J213)</f>
        <v>0</v>
      </c>
      <c r="K216" s="258" t="s">
        <v>23</v>
      </c>
      <c r="L216" s="282">
        <f>SUM(L213:L215)</f>
        <v>600000</v>
      </c>
      <c r="M216" s="261"/>
      <c r="N216" s="261"/>
      <c r="O216" s="261"/>
      <c r="P216" s="261"/>
      <c r="Q216" s="261"/>
      <c r="R216" s="261"/>
      <c r="S216" s="261"/>
      <c r="T216" s="261"/>
    </row>
    <row r="217" spans="1:22" customHeight="1" ht="15.75">
      <c r="A217" s="284" t="s">
        <v>370</v>
      </c>
      <c r="B217" s="285"/>
      <c r="C217" s="286" t="s">
        <v>23</v>
      </c>
      <c r="D217" s="287">
        <f>D179+D211+D216</f>
        <v>5846441.91</v>
      </c>
      <c r="E217" s="288" t="s">
        <v>23</v>
      </c>
      <c r="F217" s="287">
        <f>F179+F211+F216</f>
        <v>2881745.28</v>
      </c>
      <c r="G217" s="288" t="s">
        <v>23</v>
      </c>
      <c r="H217" s="287">
        <f>H179+H211+H216</f>
        <v>3176082.2</v>
      </c>
      <c r="I217" s="288" t="s">
        <v>23</v>
      </c>
      <c r="J217" s="287">
        <f>J179+J211+J216</f>
        <v>6057827.48</v>
      </c>
      <c r="K217" s="288" t="s">
        <v>23</v>
      </c>
      <c r="L217" s="289">
        <f>L179+L211+L216</f>
        <v>7888044</v>
      </c>
      <c r="M217" s="248"/>
      <c r="N217" s="248"/>
      <c r="O217" s="248"/>
      <c r="P217" s="248"/>
      <c r="Q217" s="248"/>
      <c r="R217" s="248"/>
      <c r="S217" s="248"/>
      <c r="T217" s="248"/>
      <c r="V217" s="249"/>
    </row>
    <row r="218" spans="1:22" customHeight="1" ht="15.75">
      <c r="A218" s="215" t="s">
        <v>371</v>
      </c>
      <c r="B218" s="215" t="s">
        <v>372</v>
      </c>
      <c r="C218" s="215"/>
      <c r="D218" s="215"/>
      <c r="E218" s="215"/>
      <c r="F218" s="215"/>
      <c r="G218" s="215" t="s">
        <v>373</v>
      </c>
      <c r="H218" s="215"/>
    </row>
    <row r="220" spans="1:22">
      <c r="A220" s="268" t="s">
        <v>380</v>
      </c>
      <c r="B220" s="269" t="s">
        <v>374</v>
      </c>
      <c r="C220" s="269"/>
      <c r="D220" s="269"/>
      <c r="E220" s="269"/>
      <c r="F220" s="269"/>
      <c r="G220" s="270"/>
      <c r="H220" s="269" t="s">
        <v>326</v>
      </c>
      <c r="I220" s="269"/>
      <c r="J220" s="269"/>
      <c r="K220" s="269"/>
      <c r="L220" s="269"/>
      <c r="M220" s="268"/>
      <c r="N220" s="268"/>
      <c r="O220" s="268"/>
      <c r="P220" s="268"/>
      <c r="Q220" s="268"/>
      <c r="R220" s="268"/>
      <c r="S220" s="268"/>
      <c r="T220" s="268"/>
    </row>
    <row r="221" spans="1:22">
      <c r="A221" s="271" t="s">
        <v>381</v>
      </c>
      <c r="B221" s="272" t="s">
        <v>375</v>
      </c>
      <c r="C221" s="272"/>
      <c r="D221" s="272"/>
      <c r="E221" s="272"/>
      <c r="F221" s="272"/>
      <c r="G221" s="215"/>
      <c r="H221" s="272" t="s">
        <v>327</v>
      </c>
      <c r="I221" s="272"/>
      <c r="J221" s="272"/>
      <c r="K221" s="272"/>
      <c r="L221" s="272"/>
      <c r="M221" s="271"/>
      <c r="N221" s="271"/>
      <c r="O221" s="271"/>
      <c r="P221" s="271"/>
      <c r="Q221" s="271"/>
      <c r="R221" s="271"/>
      <c r="S221" s="271"/>
      <c r="T221" s="271"/>
    </row>
    <row r="223" spans="1:22">
      <c r="A223" s="273" t="s">
        <v>346</v>
      </c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4"/>
      <c r="N223" s="274"/>
      <c r="O223" s="274"/>
      <c r="P223" s="274"/>
      <c r="Q223" s="274"/>
      <c r="R223" s="274"/>
      <c r="S223" s="274"/>
      <c r="T223" s="274"/>
    </row>
    <row r="225" spans="1:22" customHeight="1" ht="15.75">
      <c r="A225" s="183" t="s">
        <v>347</v>
      </c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4"/>
      <c r="N225" s="184"/>
      <c r="O225" s="184"/>
      <c r="P225" s="184"/>
      <c r="Q225" s="184"/>
      <c r="R225" s="184"/>
      <c r="S225" s="184"/>
      <c r="T225" s="184"/>
    </row>
    <row r="226" spans="1:22">
      <c r="A226" s="185" t="s">
        <v>348</v>
      </c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6"/>
      <c r="N226" s="186"/>
      <c r="O226" s="186"/>
      <c r="P226" s="186"/>
      <c r="Q226" s="186"/>
      <c r="R226" s="186"/>
      <c r="S226" s="186"/>
      <c r="T226" s="186"/>
    </row>
    <row r="228" spans="1:22">
      <c r="A228" s="187" t="s">
        <v>382</v>
      </c>
    </row>
    <row r="229" spans="1:22" customHeight="1" ht="15.75"/>
    <row r="230" spans="1:22">
      <c r="A230" s="189"/>
      <c r="B230" s="190"/>
      <c r="C230" s="191" t="s">
        <v>350</v>
      </c>
      <c r="D230" s="192"/>
      <c r="E230" s="193" t="s">
        <v>351</v>
      </c>
      <c r="F230" s="194"/>
      <c r="G230" s="194"/>
      <c r="H230" s="194"/>
      <c r="I230" s="194"/>
      <c r="J230" s="195"/>
      <c r="K230" s="191" t="s">
        <v>352</v>
      </c>
      <c r="L230" s="196"/>
      <c r="M230" s="186"/>
      <c r="N230" s="186"/>
      <c r="O230" s="186"/>
      <c r="P230" s="186"/>
      <c r="Q230" s="186"/>
      <c r="R230" s="186"/>
      <c r="S230" s="186"/>
      <c r="T230" s="186"/>
    </row>
    <row r="231" spans="1:22">
      <c r="A231" s="197" t="s">
        <v>353</v>
      </c>
      <c r="B231" s="198" t="s">
        <v>354</v>
      </c>
      <c r="C231" s="199">
        <v>2023</v>
      </c>
      <c r="D231" s="200"/>
      <c r="E231" s="201" t="s">
        <v>11</v>
      </c>
      <c r="F231" s="251"/>
      <c r="G231" s="201" t="s">
        <v>355</v>
      </c>
      <c r="H231" s="251"/>
      <c r="I231" s="203" t="s">
        <v>356</v>
      </c>
      <c r="J231" s="253"/>
      <c r="K231" s="199">
        <v>2025</v>
      </c>
      <c r="L231" s="205"/>
      <c r="M231" s="186"/>
      <c r="N231" s="186"/>
      <c r="O231" s="186"/>
      <c r="P231" s="186"/>
      <c r="Q231" s="186"/>
      <c r="R231" s="186"/>
      <c r="S231" s="186"/>
      <c r="T231" s="186"/>
    </row>
    <row r="232" spans="1:22" customHeight="1" ht="15">
      <c r="A232" s="206"/>
      <c r="B232" s="207"/>
      <c r="C232" s="208" t="s">
        <v>17</v>
      </c>
      <c r="D232" s="209"/>
      <c r="E232" s="208" t="s">
        <v>17</v>
      </c>
      <c r="F232" s="209"/>
      <c r="G232" s="208" t="s">
        <v>18</v>
      </c>
      <c r="H232" s="209"/>
      <c r="I232" s="210"/>
      <c r="J232" s="211"/>
      <c r="K232" s="208" t="s">
        <v>357</v>
      </c>
      <c r="L232" s="212"/>
      <c r="M232" s="186"/>
      <c r="N232" s="186"/>
      <c r="O232" s="186"/>
      <c r="P232" s="186"/>
      <c r="Q232" s="186"/>
      <c r="R232" s="186"/>
      <c r="S232" s="186"/>
      <c r="T232" s="186"/>
    </row>
    <row r="233" spans="1:22">
      <c r="A233" s="213" t="s">
        <v>80</v>
      </c>
      <c r="B233" s="214"/>
      <c r="C233" s="215"/>
      <c r="D233" s="216"/>
      <c r="E233" s="215"/>
      <c r="F233" s="216"/>
      <c r="G233" s="215"/>
      <c r="H233" s="216"/>
      <c r="I233" s="215"/>
      <c r="J233" s="216"/>
      <c r="K233" s="215"/>
      <c r="L233" s="217"/>
      <c r="M233" s="218"/>
      <c r="N233" s="218"/>
      <c r="O233" s="218"/>
      <c r="P233" s="218"/>
      <c r="Q233" s="218"/>
      <c r="R233" s="218"/>
      <c r="S233" s="218"/>
      <c r="T233" s="218"/>
    </row>
    <row r="234" spans="1:22">
      <c r="A234" s="219" t="s">
        <v>82</v>
      </c>
      <c r="B234" s="214" t="s">
        <v>83</v>
      </c>
      <c r="C234" s="215" t="s">
        <v>23</v>
      </c>
      <c r="D234" s="220">
        <v>8572624.67</v>
      </c>
      <c r="E234" s="215" t="s">
        <v>23</v>
      </c>
      <c r="F234" s="220">
        <v>4326411.35</v>
      </c>
      <c r="G234" s="215" t="s">
        <v>23</v>
      </c>
      <c r="H234" s="220">
        <f>J234-F234</f>
        <v>4363604.65</v>
      </c>
      <c r="I234" s="215" t="s">
        <v>23</v>
      </c>
      <c r="J234" s="220">
        <v>8690016</v>
      </c>
      <c r="K234" s="215" t="s">
        <v>23</v>
      </c>
      <c r="L234" s="223">
        <v>9270228</v>
      </c>
      <c r="M234" s="224"/>
      <c r="N234" s="224"/>
      <c r="O234" s="224"/>
      <c r="P234" s="224"/>
      <c r="Q234" s="224"/>
      <c r="R234" s="224"/>
      <c r="S234" s="224"/>
      <c r="T234" s="224"/>
    </row>
    <row r="235" spans="1:22">
      <c r="A235" s="225" t="s">
        <v>338</v>
      </c>
      <c r="B235" s="214"/>
      <c r="C235" s="215"/>
      <c r="D235" s="226"/>
      <c r="E235" s="215"/>
      <c r="F235" s="226"/>
      <c r="G235" s="215"/>
      <c r="H235" s="226"/>
      <c r="I235" s="215"/>
      <c r="J235" s="226"/>
      <c r="K235" s="215"/>
      <c r="L235" s="228"/>
      <c r="M235" s="224"/>
      <c r="N235" s="224"/>
      <c r="O235" s="224"/>
      <c r="P235" s="224"/>
      <c r="Q235" s="224"/>
      <c r="R235" s="224"/>
      <c r="S235" s="224"/>
      <c r="T235" s="224"/>
    </row>
    <row r="236" spans="1:22">
      <c r="A236" s="219" t="s">
        <v>84</v>
      </c>
      <c r="B236" s="214" t="s">
        <v>85</v>
      </c>
      <c r="C236" s="215"/>
      <c r="D236" s="226">
        <v>239774.19</v>
      </c>
      <c r="E236" s="215"/>
      <c r="F236" s="226">
        <v>120000</v>
      </c>
      <c r="G236" s="215"/>
      <c r="H236" s="220">
        <f>J236-F236</f>
        <v>120000</v>
      </c>
      <c r="I236" s="215"/>
      <c r="J236" s="226">
        <v>240000</v>
      </c>
      <c r="K236" s="215"/>
      <c r="L236" s="228">
        <v>240000</v>
      </c>
      <c r="M236" s="224"/>
      <c r="N236" s="224"/>
      <c r="O236" s="224"/>
      <c r="P236" s="224"/>
      <c r="Q236" s="224"/>
      <c r="R236" s="224"/>
      <c r="S236" s="224"/>
      <c r="T236" s="224"/>
    </row>
    <row r="237" spans="1:22">
      <c r="A237" s="219" t="s">
        <v>86</v>
      </c>
      <c r="B237" s="214" t="s">
        <v>87</v>
      </c>
      <c r="C237" s="215"/>
      <c r="D237" s="229">
        <v>713322.58</v>
      </c>
      <c r="E237" s="215"/>
      <c r="F237" s="229">
        <v>408000</v>
      </c>
      <c r="G237" s="215"/>
      <c r="H237" s="220">
        <f>J237-F237</f>
        <v>408000</v>
      </c>
      <c r="I237" s="215"/>
      <c r="J237" s="229">
        <v>816000</v>
      </c>
      <c r="K237" s="215"/>
      <c r="L237" s="231">
        <v>816000</v>
      </c>
      <c r="M237" s="224"/>
      <c r="N237" s="224"/>
      <c r="O237" s="224"/>
      <c r="P237" s="224"/>
      <c r="Q237" s="224"/>
      <c r="R237" s="224"/>
      <c r="S237" s="224"/>
      <c r="T237" s="224"/>
    </row>
    <row r="238" spans="1:22">
      <c r="A238" s="219" t="s">
        <v>88</v>
      </c>
      <c r="B238" s="214" t="s">
        <v>89</v>
      </c>
      <c r="C238" s="215"/>
      <c r="D238" s="229">
        <v>713322.58</v>
      </c>
      <c r="E238" s="215"/>
      <c r="F238" s="229">
        <v>408000</v>
      </c>
      <c r="G238" s="215"/>
      <c r="H238" s="220">
        <f>J238-F238</f>
        <v>408000</v>
      </c>
      <c r="I238" s="215"/>
      <c r="J238" s="229">
        <v>816000</v>
      </c>
      <c r="K238" s="215"/>
      <c r="L238" s="231">
        <v>816000</v>
      </c>
      <c r="M238" s="224"/>
      <c r="N238" s="224"/>
      <c r="O238" s="224"/>
      <c r="P238" s="224"/>
      <c r="Q238" s="224"/>
      <c r="R238" s="224"/>
      <c r="S238" s="224"/>
      <c r="T238" s="224"/>
    </row>
    <row r="239" spans="1:22">
      <c r="A239" s="219" t="s">
        <v>90</v>
      </c>
      <c r="B239" s="214" t="s">
        <v>91</v>
      </c>
      <c r="C239" s="215"/>
      <c r="D239" s="229">
        <v>60000</v>
      </c>
      <c r="E239" s="215"/>
      <c r="F239" s="229">
        <v>70000</v>
      </c>
      <c r="G239" s="215"/>
      <c r="H239" s="220">
        <f>J239-F239</f>
        <v>0</v>
      </c>
      <c r="I239" s="215"/>
      <c r="J239" s="229">
        <v>70000</v>
      </c>
      <c r="K239" s="215"/>
      <c r="L239" s="231">
        <v>70000</v>
      </c>
      <c r="M239" s="224"/>
      <c r="N239" s="224"/>
      <c r="O239" s="224"/>
      <c r="P239" s="224"/>
      <c r="Q239" s="224"/>
      <c r="R239" s="224"/>
      <c r="S239" s="224"/>
      <c r="T239" s="224"/>
    </row>
    <row r="240" spans="1:22">
      <c r="A240" s="219" t="s">
        <v>96</v>
      </c>
      <c r="B240" s="214" t="s">
        <v>97</v>
      </c>
      <c r="C240" s="215"/>
      <c r="D240" s="229">
        <v>41000</v>
      </c>
      <c r="E240" s="215"/>
      <c r="F240" s="229">
        <v>0</v>
      </c>
      <c r="G240" s="215"/>
      <c r="H240" s="220">
        <f>J240-F240</f>
        <v>50000</v>
      </c>
      <c r="I240" s="215"/>
      <c r="J240" s="229">
        <v>50000</v>
      </c>
      <c r="K240" s="215"/>
      <c r="L240" s="231">
        <v>50000</v>
      </c>
      <c r="M240" s="224"/>
      <c r="N240" s="224"/>
      <c r="O240" s="224"/>
      <c r="P240" s="224"/>
      <c r="Q240" s="224"/>
      <c r="R240" s="224"/>
      <c r="S240" s="224"/>
      <c r="T240" s="224"/>
    </row>
    <row r="241" spans="1:22">
      <c r="A241" s="219" t="s">
        <v>358</v>
      </c>
      <c r="B241" s="214" t="s">
        <v>99</v>
      </c>
      <c r="C241" s="215"/>
      <c r="D241" s="229">
        <v>121500</v>
      </c>
      <c r="E241" s="215"/>
      <c r="F241" s="229">
        <v>0</v>
      </c>
      <c r="G241" s="215"/>
      <c r="H241" s="220">
        <f>J241-F241</f>
        <v>100000</v>
      </c>
      <c r="I241" s="215"/>
      <c r="J241" s="229">
        <v>100000</v>
      </c>
      <c r="K241" s="215"/>
      <c r="L241" s="231">
        <v>200000</v>
      </c>
      <c r="M241" s="224"/>
      <c r="N241" s="224"/>
      <c r="O241" s="224"/>
      <c r="P241" s="224"/>
      <c r="Q241" s="224"/>
      <c r="R241" s="224"/>
      <c r="S241" s="224"/>
      <c r="T241" s="224"/>
    </row>
    <row r="242" spans="1:22">
      <c r="A242" s="219" t="s">
        <v>102</v>
      </c>
      <c r="B242" s="214" t="s">
        <v>103</v>
      </c>
      <c r="C242" s="215"/>
      <c r="D242" s="229">
        <v>724168</v>
      </c>
      <c r="E242" s="215"/>
      <c r="F242" s="229">
        <v>0</v>
      </c>
      <c r="G242" s="215"/>
      <c r="H242" s="220">
        <f>J242-F242</f>
        <v>724168</v>
      </c>
      <c r="I242" s="215"/>
      <c r="J242" s="229">
        <v>724168</v>
      </c>
      <c r="K242" s="215"/>
      <c r="L242" s="231">
        <v>1223411</v>
      </c>
      <c r="M242" s="224"/>
      <c r="N242" s="224"/>
      <c r="O242" s="224"/>
      <c r="P242" s="224"/>
      <c r="Q242" s="224"/>
      <c r="R242" s="224"/>
      <c r="S242" s="224"/>
      <c r="T242" s="224"/>
    </row>
    <row r="243" spans="1:22">
      <c r="A243" s="219" t="s">
        <v>104</v>
      </c>
      <c r="B243" s="214" t="s">
        <v>105</v>
      </c>
      <c r="C243" s="215"/>
      <c r="D243" s="229">
        <v>50000</v>
      </c>
      <c r="E243" s="215"/>
      <c r="F243" s="229">
        <v>0</v>
      </c>
      <c r="G243" s="215"/>
      <c r="H243" s="220">
        <f>J243-F243</f>
        <v>50000</v>
      </c>
      <c r="I243" s="215"/>
      <c r="J243" s="229">
        <v>50000</v>
      </c>
      <c r="K243" s="215"/>
      <c r="L243" s="231">
        <v>50000</v>
      </c>
      <c r="M243" s="224"/>
      <c r="N243" s="224"/>
      <c r="O243" s="224"/>
      <c r="P243" s="224"/>
      <c r="Q243" s="224"/>
      <c r="R243" s="224"/>
      <c r="S243" s="224"/>
      <c r="T243" s="224"/>
    </row>
    <row r="244" spans="1:22">
      <c r="A244" s="219" t="s">
        <v>106</v>
      </c>
      <c r="B244" s="214" t="s">
        <v>107</v>
      </c>
      <c r="C244" s="215"/>
      <c r="D244" s="229">
        <v>724168</v>
      </c>
      <c r="E244" s="215"/>
      <c r="F244" s="229">
        <v>724168</v>
      </c>
      <c r="G244" s="215"/>
      <c r="H244" s="220">
        <f>J244-F244</f>
        <v>0</v>
      </c>
      <c r="I244" s="215"/>
      <c r="J244" s="229">
        <v>724168</v>
      </c>
      <c r="K244" s="215"/>
      <c r="L244" s="231">
        <v>756766</v>
      </c>
      <c r="M244" s="224"/>
      <c r="N244" s="224"/>
      <c r="O244" s="224"/>
      <c r="P244" s="224"/>
      <c r="Q244" s="224"/>
      <c r="R244" s="224"/>
      <c r="S244" s="224"/>
      <c r="T244" s="224"/>
    </row>
    <row r="245" spans="1:22">
      <c r="A245" s="225" t="s">
        <v>340</v>
      </c>
      <c r="B245" s="214"/>
      <c r="C245" s="215"/>
      <c r="D245" s="226"/>
      <c r="E245" s="215"/>
      <c r="F245" s="226"/>
      <c r="G245" s="215"/>
      <c r="H245" s="226"/>
      <c r="I245" s="215"/>
      <c r="J245" s="226"/>
      <c r="K245" s="215"/>
      <c r="L245" s="228"/>
      <c r="M245" s="224"/>
      <c r="N245" s="224"/>
      <c r="O245" s="224"/>
      <c r="P245" s="224"/>
      <c r="Q245" s="224"/>
      <c r="R245" s="224"/>
      <c r="S245" s="224"/>
      <c r="T245" s="224"/>
    </row>
    <row r="246" spans="1:22">
      <c r="A246" s="219" t="s">
        <v>108</v>
      </c>
      <c r="B246" s="214" t="s">
        <v>109</v>
      </c>
      <c r="C246" s="215"/>
      <c r="D246" s="226">
        <v>1041825.6</v>
      </c>
      <c r="E246" s="215"/>
      <c r="F246" s="226">
        <v>521400.96</v>
      </c>
      <c r="G246" s="215"/>
      <c r="H246" s="220">
        <f>J246-F246</f>
        <v>521400.96</v>
      </c>
      <c r="I246" s="215"/>
      <c r="J246" s="226">
        <v>1042801.92</v>
      </c>
      <c r="K246" s="215"/>
      <c r="L246" s="228">
        <v>1112424</v>
      </c>
      <c r="M246" s="224"/>
      <c r="N246" s="224"/>
      <c r="O246" s="224"/>
      <c r="P246" s="224"/>
      <c r="Q246" s="224"/>
      <c r="R246" s="224"/>
      <c r="S246" s="224"/>
      <c r="T246" s="224"/>
    </row>
    <row r="247" spans="1:22">
      <c r="A247" s="219" t="s">
        <v>110</v>
      </c>
      <c r="B247" s="214" t="s">
        <v>111</v>
      </c>
      <c r="C247" s="215"/>
      <c r="D247" s="229">
        <v>12000</v>
      </c>
      <c r="E247" s="215"/>
      <c r="F247" s="229">
        <v>11000</v>
      </c>
      <c r="G247" s="215"/>
      <c r="H247" s="220">
        <f>J247-F247</f>
        <v>13000</v>
      </c>
      <c r="I247" s="215"/>
      <c r="J247" s="229">
        <v>24000</v>
      </c>
      <c r="K247" s="215"/>
      <c r="L247" s="231">
        <v>24000</v>
      </c>
      <c r="M247" s="224"/>
      <c r="N247" s="224"/>
      <c r="O247" s="224"/>
      <c r="P247" s="224"/>
      <c r="Q247" s="224"/>
      <c r="R247" s="224"/>
      <c r="S247" s="224"/>
      <c r="T247" s="224"/>
    </row>
    <row r="248" spans="1:22">
      <c r="A248" s="219" t="s">
        <v>112</v>
      </c>
      <c r="B248" s="214" t="s">
        <v>113</v>
      </c>
      <c r="C248" s="215"/>
      <c r="D248" s="229">
        <v>172916.98</v>
      </c>
      <c r="E248" s="215"/>
      <c r="F248" s="229">
        <v>108625.2</v>
      </c>
      <c r="G248" s="215"/>
      <c r="H248" s="220">
        <f>J248-F248</f>
        <v>108625.2</v>
      </c>
      <c r="I248" s="215"/>
      <c r="J248" s="229">
        <v>217250.4</v>
      </c>
      <c r="K248" s="215"/>
      <c r="L248" s="231">
        <v>231761</v>
      </c>
      <c r="M248" s="224"/>
      <c r="N248" s="224"/>
      <c r="O248" s="224"/>
      <c r="P248" s="224"/>
      <c r="Q248" s="224"/>
      <c r="R248" s="224"/>
      <c r="S248" s="224"/>
      <c r="T248" s="224"/>
    </row>
    <row r="249" spans="1:22">
      <c r="A249" s="219" t="s">
        <v>114</v>
      </c>
      <c r="B249" s="214" t="s">
        <v>115</v>
      </c>
      <c r="C249" s="215"/>
      <c r="D249" s="229">
        <v>12000</v>
      </c>
      <c r="E249" s="215"/>
      <c r="F249" s="229">
        <v>6000</v>
      </c>
      <c r="G249" s="215"/>
      <c r="H249" s="220">
        <f>J249-F249</f>
        <v>6000</v>
      </c>
      <c r="I249" s="215"/>
      <c r="J249" s="229">
        <v>12000</v>
      </c>
      <c r="K249" s="215"/>
      <c r="L249" s="231">
        <v>12000</v>
      </c>
      <c r="M249" s="224"/>
      <c r="N249" s="224"/>
      <c r="O249" s="224"/>
      <c r="P249" s="224"/>
      <c r="Q249" s="224"/>
      <c r="R249" s="224"/>
      <c r="S249" s="224"/>
      <c r="T249" s="224"/>
    </row>
    <row r="250" spans="1:22">
      <c r="A250" s="225" t="s">
        <v>359</v>
      </c>
      <c r="B250" s="214"/>
      <c r="C250" s="221"/>
      <c r="D250" s="226"/>
      <c r="E250" s="215"/>
      <c r="F250" s="226"/>
      <c r="G250" s="215"/>
      <c r="H250" s="226"/>
      <c r="I250" s="215"/>
      <c r="J250" s="226"/>
      <c r="K250" s="215"/>
      <c r="L250" s="228"/>
      <c r="M250" s="224"/>
      <c r="N250" s="224"/>
      <c r="O250" s="224"/>
      <c r="P250" s="224"/>
      <c r="Q250" s="224"/>
      <c r="R250" s="224"/>
      <c r="S250" s="224"/>
      <c r="T250" s="224"/>
    </row>
    <row r="251" spans="1:22">
      <c r="A251" s="238" t="s">
        <v>360</v>
      </c>
      <c r="B251" s="214" t="s">
        <v>117</v>
      </c>
      <c r="C251" s="215"/>
      <c r="D251" s="220">
        <v>524686.99</v>
      </c>
      <c r="E251" s="215"/>
      <c r="F251" s="220">
        <v>410089.47</v>
      </c>
      <c r="G251" s="215"/>
      <c r="H251" s="220">
        <f>J251-F251</f>
        <v>15336.17</v>
      </c>
      <c r="I251" s="215"/>
      <c r="J251" s="220">
        <v>425425.64</v>
      </c>
      <c r="K251" s="215"/>
      <c r="L251" s="223">
        <v>3327270</v>
      </c>
      <c r="M251" s="224"/>
      <c r="N251" s="224"/>
      <c r="O251" s="224"/>
      <c r="P251" s="224"/>
      <c r="Q251" s="224"/>
      <c r="R251" s="224"/>
      <c r="S251" s="224"/>
      <c r="T251" s="224"/>
    </row>
    <row r="252" spans="1:22" customHeight="1" ht="15.75">
      <c r="A252" s="238" t="s">
        <v>361</v>
      </c>
      <c r="B252" s="214" t="s">
        <v>119</v>
      </c>
      <c r="C252" s="215"/>
      <c r="D252" s="239">
        <v>0</v>
      </c>
      <c r="E252" s="215"/>
      <c r="F252" s="239">
        <v>0</v>
      </c>
      <c r="G252" s="215"/>
      <c r="H252" s="239">
        <v>0</v>
      </c>
      <c r="I252" s="215"/>
      <c r="J252" s="239">
        <v>0</v>
      </c>
      <c r="K252" s="215"/>
      <c r="L252" s="257">
        <v>70000</v>
      </c>
      <c r="M252" s="224"/>
      <c r="N252" s="224"/>
      <c r="O252" s="224"/>
      <c r="P252" s="224"/>
      <c r="Q252" s="224"/>
      <c r="R252" s="224"/>
      <c r="S252" s="224"/>
      <c r="T252" s="224"/>
    </row>
    <row r="253" spans="1:22" customHeight="1" ht="15.75">
      <c r="A253" s="242" t="s">
        <v>120</v>
      </c>
      <c r="B253" s="243"/>
      <c r="C253" s="244" t="s">
        <v>23</v>
      </c>
      <c r="D253" s="245">
        <f>SUM(D234:D252)</f>
        <v>13723309.59</v>
      </c>
      <c r="E253" s="246" t="s">
        <v>23</v>
      </c>
      <c r="F253" s="245">
        <f>SUM(F234:F252)</f>
        <v>7113694.98</v>
      </c>
      <c r="G253" s="246" t="s">
        <v>23</v>
      </c>
      <c r="H253" s="245">
        <f>SUM(H234:H252)</f>
        <v>6888134.98</v>
      </c>
      <c r="I253" s="246" t="s">
        <v>23</v>
      </c>
      <c r="J253" s="245">
        <f>SUM(J234:J252)</f>
        <v>14001829.96</v>
      </c>
      <c r="K253" s="246" t="s">
        <v>23</v>
      </c>
      <c r="L253" s="247">
        <f>SUM(L234:L252)</f>
        <v>18269860</v>
      </c>
      <c r="M253" s="248"/>
      <c r="N253" s="248"/>
      <c r="O253" s="248"/>
      <c r="P253" s="248"/>
      <c r="Q253" s="248"/>
      <c r="R253" s="248"/>
      <c r="S253" s="248"/>
      <c r="T253" s="248"/>
    </row>
    <row r="257" spans="1:22">
      <c r="J257" s="215"/>
    </row>
    <row r="260" spans="1:22">
      <c r="A260" s="273" t="s">
        <v>346</v>
      </c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3"/>
      <c r="M260" s="274"/>
      <c r="N260" s="274"/>
      <c r="O260" s="274"/>
      <c r="P260" s="274"/>
      <c r="Q260" s="274"/>
      <c r="R260" s="274"/>
      <c r="S260" s="274"/>
      <c r="T260" s="274"/>
    </row>
    <row r="262" spans="1:22" customHeight="1" ht="15.75">
      <c r="A262" s="183" t="s">
        <v>347</v>
      </c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4"/>
      <c r="N262" s="184"/>
      <c r="O262" s="184"/>
      <c r="P262" s="184"/>
      <c r="Q262" s="184"/>
      <c r="R262" s="184"/>
      <c r="S262" s="184"/>
      <c r="T262" s="184"/>
    </row>
    <row r="263" spans="1:22">
      <c r="A263" s="185" t="s">
        <v>348</v>
      </c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6"/>
      <c r="N263" s="186"/>
      <c r="O263" s="186"/>
      <c r="P263" s="186"/>
      <c r="Q263" s="186"/>
      <c r="R263" s="186"/>
      <c r="S263" s="186"/>
      <c r="T263" s="186"/>
    </row>
    <row r="265" spans="1:22">
      <c r="A265" s="187" t="s">
        <v>382</v>
      </c>
    </row>
    <row r="266" spans="1:22" customHeight="1" ht="15.75"/>
    <row r="267" spans="1:22">
      <c r="A267" s="189"/>
      <c r="B267" s="190"/>
      <c r="C267" s="191" t="s">
        <v>350</v>
      </c>
      <c r="D267" s="192"/>
      <c r="E267" s="193" t="s">
        <v>351</v>
      </c>
      <c r="F267" s="194"/>
      <c r="G267" s="194"/>
      <c r="H267" s="194"/>
      <c r="I267" s="194"/>
      <c r="J267" s="195"/>
      <c r="K267" s="191" t="s">
        <v>352</v>
      </c>
      <c r="L267" s="196"/>
      <c r="M267" s="186"/>
      <c r="N267" s="186"/>
      <c r="O267" s="186"/>
      <c r="P267" s="186"/>
      <c r="Q267" s="186"/>
      <c r="R267" s="186"/>
      <c r="S267" s="186"/>
      <c r="T267" s="186"/>
    </row>
    <row r="268" spans="1:22">
      <c r="A268" s="197" t="s">
        <v>353</v>
      </c>
      <c r="B268" s="198" t="s">
        <v>354</v>
      </c>
      <c r="C268" s="199">
        <v>2023</v>
      </c>
      <c r="D268" s="200"/>
      <c r="E268" s="201" t="s">
        <v>11</v>
      </c>
      <c r="F268" s="251"/>
      <c r="G268" s="201" t="s">
        <v>355</v>
      </c>
      <c r="H268" s="251"/>
      <c r="I268" s="203" t="s">
        <v>356</v>
      </c>
      <c r="J268" s="253"/>
      <c r="K268" s="199">
        <v>2025</v>
      </c>
      <c r="L268" s="205"/>
      <c r="M268" s="186"/>
      <c r="N268" s="186"/>
      <c r="O268" s="186"/>
      <c r="P268" s="186"/>
      <c r="Q268" s="186"/>
      <c r="R268" s="186"/>
      <c r="S268" s="186"/>
      <c r="T268" s="186"/>
    </row>
    <row r="269" spans="1:22" customHeight="1" ht="15.75">
      <c r="A269" s="206"/>
      <c r="B269" s="207"/>
      <c r="C269" s="208" t="s">
        <v>17</v>
      </c>
      <c r="D269" s="209"/>
      <c r="E269" s="208" t="s">
        <v>17</v>
      </c>
      <c r="F269" s="209"/>
      <c r="G269" s="208" t="s">
        <v>18</v>
      </c>
      <c r="H269" s="209"/>
      <c r="I269" s="210"/>
      <c r="J269" s="211"/>
      <c r="K269" s="208" t="s">
        <v>357</v>
      </c>
      <c r="L269" s="212"/>
      <c r="M269" s="186"/>
      <c r="N269" s="186"/>
      <c r="O269" s="186"/>
      <c r="P269" s="186"/>
      <c r="Q269" s="186"/>
      <c r="R269" s="186"/>
      <c r="S269" s="186"/>
      <c r="T269" s="186"/>
    </row>
    <row r="270" spans="1:22">
      <c r="A270" s="225" t="s">
        <v>121</v>
      </c>
      <c r="B270" s="254"/>
      <c r="C270" s="215"/>
      <c r="D270" s="216"/>
      <c r="E270" s="215"/>
      <c r="F270" s="216"/>
      <c r="G270" s="215"/>
      <c r="H270" s="216"/>
      <c r="I270" s="215"/>
      <c r="J270" s="216"/>
      <c r="K270" s="215"/>
      <c r="L270" s="217"/>
      <c r="M270" s="218"/>
      <c r="N270" s="218"/>
      <c r="O270" s="218"/>
      <c r="P270" s="218"/>
      <c r="Q270" s="218"/>
      <c r="R270" s="218"/>
      <c r="S270" s="218"/>
      <c r="T270" s="218"/>
    </row>
    <row r="271" spans="1:22">
      <c r="A271" s="219" t="s">
        <v>122</v>
      </c>
      <c r="B271" s="214" t="s">
        <v>123</v>
      </c>
      <c r="C271" s="215" t="s">
        <v>23</v>
      </c>
      <c r="D271" s="226">
        <v>892900</v>
      </c>
      <c r="E271" s="215" t="s">
        <v>23</v>
      </c>
      <c r="F271" s="226">
        <v>1036114.56</v>
      </c>
      <c r="G271" s="215" t="s">
        <v>23</v>
      </c>
      <c r="H271" s="220">
        <f>J271-F271</f>
        <v>163885.44</v>
      </c>
      <c r="I271" s="215" t="s">
        <v>23</v>
      </c>
      <c r="J271" s="227">
        <v>1200000</v>
      </c>
      <c r="K271" s="215" t="s">
        <v>23</v>
      </c>
      <c r="L271" s="228">
        <v>1000000</v>
      </c>
      <c r="M271" s="224"/>
      <c r="N271" s="224"/>
      <c r="O271" s="224"/>
      <c r="P271" s="224"/>
      <c r="Q271" s="224"/>
      <c r="R271" s="224"/>
      <c r="S271" s="224"/>
      <c r="T271" s="224"/>
    </row>
    <row r="272" spans="1:22">
      <c r="A272" s="219" t="s">
        <v>126</v>
      </c>
      <c r="B272" s="214" t="s">
        <v>127</v>
      </c>
      <c r="C272" s="215"/>
      <c r="D272" s="229">
        <v>590000</v>
      </c>
      <c r="E272" s="215"/>
      <c r="F272" s="229">
        <v>0</v>
      </c>
      <c r="G272" s="215"/>
      <c r="H272" s="220">
        <f>J272-F272</f>
        <v>74500</v>
      </c>
      <c r="I272" s="215"/>
      <c r="J272" s="230">
        <v>74500</v>
      </c>
      <c r="K272" s="215"/>
      <c r="L272" s="231">
        <v>330000</v>
      </c>
      <c r="M272" s="224"/>
      <c r="N272" s="224"/>
      <c r="O272" s="224"/>
      <c r="P272" s="224"/>
      <c r="Q272" s="224"/>
      <c r="R272" s="224"/>
      <c r="S272" s="224"/>
      <c r="T272" s="224"/>
    </row>
    <row r="273" spans="1:22">
      <c r="A273" s="219" t="s">
        <v>144</v>
      </c>
      <c r="B273" s="214" t="s">
        <v>145</v>
      </c>
      <c r="C273" s="215"/>
      <c r="D273" s="229">
        <v>1600</v>
      </c>
      <c r="E273" s="215"/>
      <c r="F273" s="229">
        <v>300000</v>
      </c>
      <c r="G273" s="215"/>
      <c r="H273" s="220">
        <f>J273-F273</f>
        <v>300000</v>
      </c>
      <c r="I273" s="215"/>
      <c r="J273" s="230">
        <v>600000</v>
      </c>
      <c r="K273" s="215"/>
      <c r="L273" s="231">
        <f>24000*10</f>
        <v>240000</v>
      </c>
      <c r="M273" s="224"/>
      <c r="N273" s="224"/>
      <c r="O273" s="224"/>
      <c r="P273" s="224"/>
      <c r="Q273" s="224"/>
      <c r="R273" s="224"/>
      <c r="S273" s="224"/>
      <c r="T273" s="224"/>
    </row>
    <row r="274" spans="1:22">
      <c r="A274" s="219" t="s">
        <v>383</v>
      </c>
      <c r="B274" s="214" t="s">
        <v>157</v>
      </c>
      <c r="C274" s="215"/>
      <c r="D274" s="229">
        <v>0</v>
      </c>
      <c r="E274" s="215"/>
      <c r="F274" s="229">
        <v>0</v>
      </c>
      <c r="G274" s="215"/>
      <c r="H274" s="220">
        <f>J274-F274</f>
        <v>20000</v>
      </c>
      <c r="I274" s="215"/>
      <c r="J274" s="230">
        <v>20000</v>
      </c>
      <c r="K274" s="215"/>
      <c r="L274" s="231">
        <f>54500-30000</f>
        <v>24500</v>
      </c>
      <c r="M274" s="224"/>
      <c r="N274" s="224"/>
      <c r="O274" s="224"/>
      <c r="P274" s="224"/>
      <c r="Q274" s="224"/>
      <c r="R274" s="224"/>
      <c r="S274" s="224"/>
      <c r="T274" s="224"/>
    </row>
    <row r="275" spans="1:22" customHeight="1" ht="15.75">
      <c r="A275" s="219" t="s">
        <v>169</v>
      </c>
      <c r="B275" s="214" t="s">
        <v>170</v>
      </c>
      <c r="C275" s="215"/>
      <c r="D275" s="239">
        <v>699282</v>
      </c>
      <c r="E275" s="215"/>
      <c r="F275" s="239">
        <v>99903.4</v>
      </c>
      <c r="G275" s="215"/>
      <c r="H275" s="296">
        <f>J275-F275</f>
        <v>300096.6</v>
      </c>
      <c r="I275" s="215"/>
      <c r="J275" s="256">
        <v>400000</v>
      </c>
      <c r="K275" s="215"/>
      <c r="L275" s="257">
        <v>400000</v>
      </c>
      <c r="M275" s="224"/>
      <c r="N275" s="224"/>
      <c r="O275" s="224"/>
      <c r="P275" s="224"/>
      <c r="Q275" s="224"/>
      <c r="R275" s="224"/>
      <c r="S275" s="224"/>
      <c r="T275" s="224"/>
    </row>
    <row r="276" spans="1:22" customHeight="1" ht="15.75">
      <c r="A276" s="225" t="s">
        <v>200</v>
      </c>
      <c r="B276" s="254"/>
      <c r="C276" s="258" t="s">
        <v>23</v>
      </c>
      <c r="D276" s="245">
        <f>SUM(D271:D275)</f>
        <v>2183782</v>
      </c>
      <c r="E276" s="258" t="s">
        <v>23</v>
      </c>
      <c r="F276" s="245">
        <f>SUM(F271:F275)</f>
        <v>1436017.96</v>
      </c>
      <c r="G276" s="258" t="s">
        <v>23</v>
      </c>
      <c r="H276" s="245">
        <f>SUM(H271:H275)</f>
        <v>858482.04</v>
      </c>
      <c r="I276" s="258" t="s">
        <v>23</v>
      </c>
      <c r="J276" s="245">
        <f>SUM(J271:J275)</f>
        <v>2294500</v>
      </c>
      <c r="K276" s="258" t="s">
        <v>23</v>
      </c>
      <c r="L276" s="247">
        <f>SUM(L271:L275)</f>
        <v>1994500</v>
      </c>
      <c r="M276" s="248"/>
      <c r="N276" s="248"/>
      <c r="O276" s="248"/>
      <c r="P276" s="248"/>
      <c r="Q276" s="248"/>
      <c r="R276" s="248"/>
      <c r="S276" s="248"/>
      <c r="T276" s="248"/>
    </row>
    <row r="277" spans="1:22">
      <c r="A277" s="225" t="s">
        <v>201</v>
      </c>
      <c r="B277" s="254"/>
      <c r="C277" s="215"/>
      <c r="D277" s="280"/>
      <c r="E277" s="215"/>
      <c r="F277" s="280"/>
      <c r="G277" s="215"/>
      <c r="H277" s="280"/>
      <c r="I277" s="215"/>
      <c r="J277" s="280"/>
      <c r="K277" s="215"/>
      <c r="L277" s="281"/>
      <c r="M277" s="224"/>
      <c r="N277" s="224"/>
      <c r="O277" s="224"/>
      <c r="P277" s="224"/>
      <c r="Q277" s="224"/>
      <c r="R277" s="224"/>
      <c r="S277" s="224"/>
      <c r="T277" s="224"/>
    </row>
    <row r="278" spans="1:22" customHeight="1" ht="15.75">
      <c r="A278" s="219" t="s">
        <v>367</v>
      </c>
      <c r="B278" s="214" t="s">
        <v>209</v>
      </c>
      <c r="C278" s="215" t="s">
        <v>23</v>
      </c>
      <c r="D278" s="226">
        <v>270000</v>
      </c>
      <c r="E278" s="215" t="s">
        <v>23</v>
      </c>
      <c r="F278" s="226">
        <v>0</v>
      </c>
      <c r="G278" s="215" t="s">
        <v>23</v>
      </c>
      <c r="H278" s="226">
        <v>0</v>
      </c>
      <c r="I278" s="215" t="s">
        <v>23</v>
      </c>
      <c r="J278" s="226">
        <v>0</v>
      </c>
      <c r="K278" s="215" t="s">
        <v>23</v>
      </c>
      <c r="L278" s="228">
        <v>0</v>
      </c>
      <c r="M278" s="224"/>
      <c r="N278" s="224"/>
      <c r="O278" s="224"/>
      <c r="P278" s="224"/>
      <c r="Q278" s="224"/>
      <c r="R278" s="224"/>
      <c r="S278" s="224"/>
      <c r="T278" s="224"/>
    </row>
    <row r="279" spans="1:22" customHeight="1" ht="15.75">
      <c r="A279" s="225" t="s">
        <v>214</v>
      </c>
      <c r="B279" s="214"/>
      <c r="C279" s="258" t="s">
        <v>23</v>
      </c>
      <c r="D279" s="282">
        <f>SUM(D278)</f>
        <v>270000</v>
      </c>
      <c r="E279" s="258" t="s">
        <v>23</v>
      </c>
      <c r="F279" s="282">
        <f>SUM(F278)</f>
        <v>0</v>
      </c>
      <c r="G279" s="258" t="s">
        <v>23</v>
      </c>
      <c r="H279" s="282">
        <f>SUM(H278)</f>
        <v>0</v>
      </c>
      <c r="I279" s="258" t="s">
        <v>23</v>
      </c>
      <c r="J279" s="282">
        <f>SUM(J278)</f>
        <v>0</v>
      </c>
      <c r="K279" s="258" t="s">
        <v>23</v>
      </c>
      <c r="L279" s="283">
        <f>SUM(L278)</f>
        <v>0</v>
      </c>
      <c r="M279" s="248"/>
      <c r="N279" s="248"/>
      <c r="O279" s="248"/>
      <c r="P279" s="248"/>
      <c r="Q279" s="248"/>
      <c r="R279" s="248"/>
      <c r="S279" s="248"/>
      <c r="T279" s="248"/>
    </row>
    <row r="280" spans="1:22" customHeight="1" ht="15.75">
      <c r="A280" s="284" t="s">
        <v>370</v>
      </c>
      <c r="B280" s="297"/>
      <c r="C280" s="286" t="s">
        <v>23</v>
      </c>
      <c r="D280" s="287">
        <f>D253+D276+D279</f>
        <v>16177091.59</v>
      </c>
      <c r="E280" s="288" t="s">
        <v>23</v>
      </c>
      <c r="F280" s="287">
        <f>F253+F276+F279</f>
        <v>8549712.94</v>
      </c>
      <c r="G280" s="288" t="s">
        <v>23</v>
      </c>
      <c r="H280" s="287">
        <f>H253+H276+H279</f>
        <v>7746617.02</v>
      </c>
      <c r="I280" s="288" t="s">
        <v>23</v>
      </c>
      <c r="J280" s="287">
        <f>J253+J276+J279</f>
        <v>16296329.96</v>
      </c>
      <c r="K280" s="288" t="s">
        <v>23</v>
      </c>
      <c r="L280" s="289">
        <f>L253+L276+L279</f>
        <v>20264360</v>
      </c>
      <c r="M280" s="248"/>
      <c r="N280" s="248"/>
      <c r="O280" s="248"/>
      <c r="P280" s="248"/>
      <c r="Q280" s="248"/>
      <c r="R280" s="248"/>
      <c r="S280" s="248"/>
      <c r="T280" s="248"/>
    </row>
    <row r="281" spans="1:22" customHeight="1" ht="15.75">
      <c r="A281" s="187"/>
      <c r="B281" s="215"/>
      <c r="C281" s="258"/>
      <c r="D281" s="261"/>
      <c r="E281" s="258"/>
      <c r="F281" s="261"/>
      <c r="G281" s="258"/>
      <c r="H281" s="261"/>
      <c r="I281" s="258"/>
      <c r="J281" s="261"/>
      <c r="K281" s="258"/>
      <c r="L281" s="248"/>
      <c r="M281" s="248"/>
      <c r="N281" s="248"/>
      <c r="O281" s="248"/>
      <c r="P281" s="248"/>
      <c r="Q281" s="248"/>
      <c r="R281" s="248"/>
      <c r="S281" s="248"/>
      <c r="T281" s="248"/>
    </row>
    <row r="282" spans="1:22">
      <c r="A282" s="215" t="s">
        <v>371</v>
      </c>
      <c r="B282" s="215" t="s">
        <v>372</v>
      </c>
      <c r="C282" s="215"/>
      <c r="D282" s="215"/>
      <c r="E282" s="215"/>
      <c r="F282" s="215"/>
      <c r="G282" s="215" t="s">
        <v>373</v>
      </c>
      <c r="H282" s="215"/>
    </row>
    <row r="285" spans="1:22">
      <c r="A285" s="268" t="s">
        <v>380</v>
      </c>
      <c r="B285" s="269" t="s">
        <v>374</v>
      </c>
      <c r="C285" s="269"/>
      <c r="D285" s="269"/>
      <c r="E285" s="269"/>
      <c r="F285" s="269"/>
      <c r="G285" s="270"/>
      <c r="H285" s="269" t="s">
        <v>326</v>
      </c>
      <c r="I285" s="269"/>
      <c r="J285" s="269"/>
      <c r="K285" s="269"/>
      <c r="L285" s="269"/>
      <c r="M285" s="268"/>
      <c r="N285" s="268"/>
      <c r="O285" s="268"/>
      <c r="P285" s="268"/>
      <c r="Q285" s="268"/>
      <c r="R285" s="268"/>
      <c r="S285" s="268"/>
      <c r="T285" s="268"/>
    </row>
    <row r="286" spans="1:22">
      <c r="A286" s="271" t="s">
        <v>381</v>
      </c>
      <c r="B286" s="272" t="s">
        <v>375</v>
      </c>
      <c r="C286" s="272"/>
      <c r="D286" s="272"/>
      <c r="E286" s="272"/>
      <c r="F286" s="272"/>
      <c r="G286" s="215"/>
      <c r="H286" s="272" t="s">
        <v>327</v>
      </c>
      <c r="I286" s="272"/>
      <c r="J286" s="272"/>
      <c r="K286" s="272"/>
      <c r="L286" s="272"/>
      <c r="M286" s="271"/>
      <c r="N286" s="271"/>
      <c r="O286" s="271"/>
      <c r="P286" s="271"/>
      <c r="Q286" s="271"/>
      <c r="R286" s="271"/>
      <c r="S286" s="271"/>
      <c r="T286" s="271"/>
    </row>
    <row r="291" spans="1:22">
      <c r="J291" s="215"/>
    </row>
    <row r="297" spans="1:22">
      <c r="A297" s="273" t="s">
        <v>346</v>
      </c>
      <c r="B297" s="273"/>
      <c r="C297" s="273"/>
      <c r="D297" s="273"/>
      <c r="E297" s="273"/>
      <c r="F297" s="273"/>
      <c r="G297" s="273"/>
      <c r="H297" s="273"/>
      <c r="I297" s="273"/>
      <c r="J297" s="273"/>
      <c r="K297" s="273"/>
      <c r="L297" s="273"/>
      <c r="M297" s="274"/>
      <c r="N297" s="274"/>
      <c r="O297" s="274"/>
      <c r="P297" s="274"/>
      <c r="Q297" s="274"/>
      <c r="R297" s="274"/>
      <c r="S297" s="274"/>
      <c r="T297" s="274"/>
    </row>
    <row r="299" spans="1:22" customHeight="1" ht="15.75">
      <c r="A299" s="183" t="s">
        <v>347</v>
      </c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4"/>
      <c r="N299" s="184"/>
      <c r="O299" s="184"/>
      <c r="P299" s="184"/>
      <c r="Q299" s="184"/>
      <c r="R299" s="184"/>
      <c r="S299" s="184"/>
      <c r="T299" s="184"/>
    </row>
    <row r="300" spans="1:22">
      <c r="A300" s="185" t="s">
        <v>348</v>
      </c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6"/>
      <c r="N300" s="186"/>
      <c r="O300" s="186"/>
      <c r="P300" s="186"/>
      <c r="Q300" s="186"/>
      <c r="R300" s="186"/>
      <c r="S300" s="186"/>
      <c r="T300" s="186"/>
    </row>
    <row r="302" spans="1:22">
      <c r="A302" s="187" t="s">
        <v>384</v>
      </c>
    </row>
    <row r="303" spans="1:22" customHeight="1" ht="15.75"/>
    <row r="304" spans="1:22">
      <c r="A304" s="189"/>
      <c r="B304" s="190"/>
      <c r="C304" s="191" t="s">
        <v>350</v>
      </c>
      <c r="D304" s="192"/>
      <c r="E304" s="193" t="s">
        <v>351</v>
      </c>
      <c r="F304" s="194"/>
      <c r="G304" s="194"/>
      <c r="H304" s="194"/>
      <c r="I304" s="194"/>
      <c r="J304" s="195"/>
      <c r="K304" s="191" t="s">
        <v>352</v>
      </c>
      <c r="L304" s="196"/>
      <c r="M304" s="186"/>
      <c r="N304" s="186"/>
      <c r="O304" s="186"/>
      <c r="P304" s="186"/>
      <c r="Q304" s="186"/>
      <c r="R304" s="186"/>
      <c r="S304" s="186"/>
      <c r="T304" s="186"/>
    </row>
    <row r="305" spans="1:22">
      <c r="A305" s="197" t="s">
        <v>353</v>
      </c>
      <c r="B305" s="198" t="s">
        <v>354</v>
      </c>
      <c r="C305" s="199">
        <v>2023</v>
      </c>
      <c r="D305" s="200"/>
      <c r="E305" s="201" t="s">
        <v>11</v>
      </c>
      <c r="F305" s="251"/>
      <c r="G305" s="201" t="s">
        <v>355</v>
      </c>
      <c r="H305" s="251"/>
      <c r="I305" s="203" t="s">
        <v>356</v>
      </c>
      <c r="J305" s="253"/>
      <c r="K305" s="199">
        <v>2025</v>
      </c>
      <c r="L305" s="205"/>
      <c r="M305" s="186"/>
      <c r="N305" s="186"/>
      <c r="O305" s="186"/>
      <c r="P305" s="186"/>
      <c r="Q305" s="186"/>
      <c r="R305" s="186"/>
      <c r="S305" s="186"/>
      <c r="T305" s="186"/>
    </row>
    <row r="306" spans="1:22" customHeight="1" ht="15.75">
      <c r="A306" s="206"/>
      <c r="B306" s="207"/>
      <c r="C306" s="208" t="s">
        <v>17</v>
      </c>
      <c r="D306" s="209"/>
      <c r="E306" s="208" t="s">
        <v>17</v>
      </c>
      <c r="F306" s="209"/>
      <c r="G306" s="208" t="s">
        <v>18</v>
      </c>
      <c r="H306" s="209"/>
      <c r="I306" s="210"/>
      <c r="J306" s="211"/>
      <c r="K306" s="208" t="s">
        <v>357</v>
      </c>
      <c r="L306" s="212"/>
      <c r="M306" s="186"/>
      <c r="N306" s="186"/>
      <c r="O306" s="186"/>
      <c r="P306" s="186"/>
      <c r="Q306" s="186"/>
      <c r="R306" s="186"/>
      <c r="S306" s="186"/>
      <c r="T306" s="186"/>
    </row>
    <row r="307" spans="1:22">
      <c r="A307" s="213" t="s">
        <v>80</v>
      </c>
      <c r="B307" s="214"/>
      <c r="C307" s="215"/>
      <c r="D307" s="216"/>
      <c r="E307" s="215"/>
      <c r="F307" s="216"/>
      <c r="G307" s="215"/>
      <c r="H307" s="216"/>
      <c r="I307" s="215"/>
      <c r="J307" s="216"/>
      <c r="K307" s="215"/>
      <c r="L307" s="217"/>
      <c r="M307" s="218"/>
      <c r="N307" s="218"/>
      <c r="O307" s="218"/>
      <c r="P307" s="218"/>
      <c r="Q307" s="218"/>
      <c r="R307" s="218"/>
      <c r="S307" s="218"/>
      <c r="T307" s="218"/>
    </row>
    <row r="308" spans="1:22">
      <c r="A308" s="219" t="s">
        <v>82</v>
      </c>
      <c r="B308" s="214" t="s">
        <v>83</v>
      </c>
      <c r="C308" s="215" t="s">
        <v>23</v>
      </c>
      <c r="D308" s="220">
        <v>1181728.38</v>
      </c>
      <c r="E308" s="215" t="s">
        <v>23</v>
      </c>
      <c r="F308" s="220">
        <v>590904</v>
      </c>
      <c r="G308" s="215" t="s">
        <v>23</v>
      </c>
      <c r="H308" s="220">
        <f>J308-F308</f>
        <v>590904</v>
      </c>
      <c r="I308" s="215" t="s">
        <v>23</v>
      </c>
      <c r="J308" s="220">
        <v>1181808</v>
      </c>
      <c r="K308" s="215" t="s">
        <v>23</v>
      </c>
      <c r="L308" s="223">
        <v>1257241</v>
      </c>
      <c r="M308" s="224"/>
      <c r="N308" s="224"/>
      <c r="O308" s="224"/>
      <c r="P308" s="224"/>
      <c r="Q308" s="224"/>
      <c r="R308" s="224"/>
      <c r="S308" s="224"/>
      <c r="T308" s="224"/>
    </row>
    <row r="309" spans="1:22">
      <c r="A309" s="225" t="s">
        <v>338</v>
      </c>
      <c r="B309" s="214"/>
      <c r="C309" s="215"/>
      <c r="D309" s="226"/>
      <c r="E309" s="215"/>
      <c r="F309" s="226"/>
      <c r="G309" s="215"/>
      <c r="H309" s="226"/>
      <c r="I309" s="215"/>
      <c r="J309" s="226"/>
      <c r="K309" s="215"/>
      <c r="L309" s="228"/>
      <c r="M309" s="224"/>
      <c r="N309" s="224"/>
      <c r="O309" s="224"/>
      <c r="P309" s="224"/>
      <c r="Q309" s="224"/>
      <c r="R309" s="224"/>
      <c r="S309" s="224"/>
      <c r="T309" s="224"/>
    </row>
    <row r="310" spans="1:22">
      <c r="A310" s="219" t="s">
        <v>84</v>
      </c>
      <c r="B310" s="214" t="s">
        <v>85</v>
      </c>
      <c r="C310" s="215"/>
      <c r="D310" s="226">
        <v>48000</v>
      </c>
      <c r="E310" s="215"/>
      <c r="F310" s="226">
        <v>24000</v>
      </c>
      <c r="G310" s="215"/>
      <c r="H310" s="220">
        <f>J310-F310</f>
        <v>24000</v>
      </c>
      <c r="I310" s="215"/>
      <c r="J310" s="226">
        <v>48000</v>
      </c>
      <c r="K310" s="215"/>
      <c r="L310" s="228">
        <v>48000</v>
      </c>
      <c r="M310" s="224"/>
      <c r="N310" s="224"/>
      <c r="O310" s="224"/>
      <c r="P310" s="224"/>
      <c r="Q310" s="224"/>
      <c r="R310" s="224"/>
      <c r="S310" s="224"/>
      <c r="T310" s="224"/>
    </row>
    <row r="311" spans="1:22">
      <c r="A311" s="219" t="s">
        <v>86</v>
      </c>
      <c r="B311" s="214" t="s">
        <v>87</v>
      </c>
      <c r="C311" s="215"/>
      <c r="D311" s="229">
        <v>72000</v>
      </c>
      <c r="E311" s="215"/>
      <c r="F311" s="229">
        <v>40800</v>
      </c>
      <c r="G311" s="215"/>
      <c r="H311" s="220">
        <f>J311-F311</f>
        <v>40800</v>
      </c>
      <c r="I311" s="215"/>
      <c r="J311" s="229">
        <v>81600</v>
      </c>
      <c r="K311" s="215"/>
      <c r="L311" s="231">
        <v>81600</v>
      </c>
      <c r="M311" s="224"/>
      <c r="N311" s="224"/>
      <c r="O311" s="224"/>
      <c r="P311" s="224"/>
      <c r="Q311" s="224"/>
      <c r="R311" s="224"/>
      <c r="S311" s="224"/>
      <c r="T311" s="224"/>
    </row>
    <row r="312" spans="1:22">
      <c r="A312" s="219" t="s">
        <v>88</v>
      </c>
      <c r="B312" s="214" t="s">
        <v>89</v>
      </c>
      <c r="C312" s="215"/>
      <c r="D312" s="229">
        <v>72000</v>
      </c>
      <c r="E312" s="215"/>
      <c r="F312" s="229">
        <v>40800</v>
      </c>
      <c r="G312" s="215"/>
      <c r="H312" s="220">
        <f>J312-F312</f>
        <v>40800</v>
      </c>
      <c r="I312" s="215"/>
      <c r="J312" s="229">
        <v>81600</v>
      </c>
      <c r="K312" s="215"/>
      <c r="L312" s="231">
        <v>81600</v>
      </c>
      <c r="M312" s="224"/>
      <c r="N312" s="224"/>
      <c r="O312" s="224"/>
      <c r="P312" s="224"/>
      <c r="Q312" s="224"/>
      <c r="R312" s="224"/>
      <c r="S312" s="224"/>
      <c r="T312" s="224"/>
    </row>
    <row r="313" spans="1:22">
      <c r="A313" s="219" t="s">
        <v>90</v>
      </c>
      <c r="B313" s="214" t="s">
        <v>91</v>
      </c>
      <c r="C313" s="215"/>
      <c r="D313" s="229">
        <v>12000</v>
      </c>
      <c r="E313" s="215"/>
      <c r="F313" s="229">
        <v>14000</v>
      </c>
      <c r="G313" s="215"/>
      <c r="H313" s="220">
        <f>J313-F313</f>
        <v>0</v>
      </c>
      <c r="I313" s="215"/>
      <c r="J313" s="229">
        <v>14000</v>
      </c>
      <c r="K313" s="215"/>
      <c r="L313" s="231">
        <v>14000</v>
      </c>
      <c r="M313" s="224"/>
      <c r="N313" s="224"/>
      <c r="O313" s="224"/>
      <c r="P313" s="224"/>
      <c r="Q313" s="224"/>
      <c r="R313" s="224"/>
      <c r="S313" s="224"/>
      <c r="T313" s="224"/>
    </row>
    <row r="314" spans="1:22">
      <c r="A314" s="219" t="s">
        <v>96</v>
      </c>
      <c r="B314" s="214" t="s">
        <v>97</v>
      </c>
      <c r="C314" s="215"/>
      <c r="D314" s="229">
        <v>10000</v>
      </c>
      <c r="E314" s="215"/>
      <c r="F314" s="229">
        <v>0</v>
      </c>
      <c r="G314" s="215"/>
      <c r="H314" s="220">
        <f>J314-F314</f>
        <v>10000</v>
      </c>
      <c r="I314" s="215"/>
      <c r="J314" s="229">
        <v>10000</v>
      </c>
      <c r="K314" s="215"/>
      <c r="L314" s="231">
        <v>10000</v>
      </c>
      <c r="M314" s="224"/>
      <c r="N314" s="224"/>
      <c r="O314" s="224"/>
      <c r="P314" s="224"/>
      <c r="Q314" s="224"/>
      <c r="R314" s="224"/>
      <c r="S314" s="224"/>
      <c r="T314" s="224"/>
    </row>
    <row r="315" spans="1:22">
      <c r="A315" s="219" t="s">
        <v>358</v>
      </c>
      <c r="B315" s="214" t="s">
        <v>99</v>
      </c>
      <c r="C315" s="215"/>
      <c r="D315" s="229">
        <v>30000</v>
      </c>
      <c r="E315" s="215"/>
      <c r="F315" s="229">
        <v>0</v>
      </c>
      <c r="G315" s="215"/>
      <c r="H315" s="220">
        <f>J315-F315</f>
        <v>20000</v>
      </c>
      <c r="I315" s="215"/>
      <c r="J315" s="229">
        <v>20000</v>
      </c>
      <c r="K315" s="215"/>
      <c r="L315" s="231">
        <v>40000</v>
      </c>
      <c r="M315" s="224"/>
      <c r="N315" s="224"/>
      <c r="O315" s="224"/>
      <c r="P315" s="224"/>
      <c r="Q315" s="224"/>
      <c r="R315" s="224"/>
      <c r="S315" s="224"/>
      <c r="T315" s="224"/>
    </row>
    <row r="316" spans="1:22">
      <c r="A316" s="219" t="s">
        <v>102</v>
      </c>
      <c r="B316" s="214" t="s">
        <v>103</v>
      </c>
      <c r="C316" s="215"/>
      <c r="D316" s="229">
        <v>98484</v>
      </c>
      <c r="E316" s="215"/>
      <c r="F316" s="229">
        <v>0</v>
      </c>
      <c r="G316" s="215"/>
      <c r="H316" s="220">
        <f>J316-F316</f>
        <v>98484</v>
      </c>
      <c r="I316" s="215"/>
      <c r="J316" s="229">
        <v>98484</v>
      </c>
      <c r="K316" s="215"/>
      <c r="L316" s="231">
        <v>107832</v>
      </c>
      <c r="M316" s="224"/>
      <c r="N316" s="224"/>
      <c r="O316" s="224"/>
      <c r="P316" s="224"/>
      <c r="Q316" s="224"/>
      <c r="R316" s="224"/>
      <c r="S316" s="224"/>
      <c r="T316" s="224"/>
    </row>
    <row r="317" spans="1:22">
      <c r="A317" s="219" t="s">
        <v>104</v>
      </c>
      <c r="B317" s="214" t="s">
        <v>105</v>
      </c>
      <c r="C317" s="215"/>
      <c r="D317" s="229">
        <v>10000</v>
      </c>
      <c r="E317" s="215"/>
      <c r="F317" s="229">
        <v>0</v>
      </c>
      <c r="G317" s="215"/>
      <c r="H317" s="220">
        <f>J317-F317</f>
        <v>10000</v>
      </c>
      <c r="I317" s="215"/>
      <c r="J317" s="229">
        <v>10000</v>
      </c>
      <c r="K317" s="215"/>
      <c r="L317" s="231">
        <v>10000</v>
      </c>
      <c r="M317" s="224"/>
      <c r="N317" s="224"/>
      <c r="O317" s="224"/>
      <c r="P317" s="224"/>
      <c r="Q317" s="224"/>
      <c r="R317" s="224"/>
      <c r="S317" s="224"/>
      <c r="T317" s="224"/>
    </row>
    <row r="318" spans="1:22">
      <c r="A318" s="219" t="s">
        <v>106</v>
      </c>
      <c r="B318" s="214" t="s">
        <v>107</v>
      </c>
      <c r="C318" s="215"/>
      <c r="D318" s="229">
        <v>98484</v>
      </c>
      <c r="E318" s="215"/>
      <c r="F318" s="229">
        <v>98484</v>
      </c>
      <c r="G318" s="215"/>
      <c r="H318" s="220">
        <f>J318-F318</f>
        <v>0</v>
      </c>
      <c r="I318" s="215"/>
      <c r="J318" s="229">
        <v>98484</v>
      </c>
      <c r="K318" s="215"/>
      <c r="L318" s="231">
        <v>103154</v>
      </c>
      <c r="M318" s="224"/>
      <c r="N318" s="224"/>
      <c r="O318" s="224"/>
      <c r="P318" s="224"/>
      <c r="Q318" s="224"/>
      <c r="R318" s="224"/>
      <c r="S318" s="224"/>
      <c r="T318" s="224"/>
    </row>
    <row r="319" spans="1:22">
      <c r="A319" s="225" t="s">
        <v>340</v>
      </c>
      <c r="B319" s="214"/>
      <c r="C319" s="215"/>
      <c r="D319" s="226"/>
      <c r="E319" s="215"/>
      <c r="F319" s="226"/>
      <c r="G319" s="215"/>
      <c r="H319" s="226"/>
      <c r="I319" s="215"/>
      <c r="J319" s="226"/>
      <c r="K319" s="215"/>
      <c r="L319" s="228"/>
      <c r="M319" s="224"/>
      <c r="N319" s="224"/>
      <c r="O319" s="224"/>
      <c r="P319" s="224"/>
      <c r="Q319" s="224"/>
      <c r="R319" s="224"/>
      <c r="S319" s="224"/>
      <c r="T319" s="224"/>
    </row>
    <row r="320" spans="1:22">
      <c r="A320" s="219" t="s">
        <v>108</v>
      </c>
      <c r="B320" s="214" t="s">
        <v>109</v>
      </c>
      <c r="C320" s="215"/>
      <c r="D320" s="226">
        <v>141807.41</v>
      </c>
      <c r="E320" s="215"/>
      <c r="F320" s="226">
        <v>70908.48</v>
      </c>
      <c r="G320" s="215"/>
      <c r="H320" s="220">
        <f>J320-F320</f>
        <v>70908.48</v>
      </c>
      <c r="I320" s="215"/>
      <c r="J320" s="226">
        <v>141816.96</v>
      </c>
      <c r="K320" s="215"/>
      <c r="L320" s="228">
        <v>150868</v>
      </c>
      <c r="M320" s="224"/>
      <c r="N320" s="224"/>
      <c r="O320" s="224"/>
      <c r="P320" s="224"/>
      <c r="Q320" s="224"/>
      <c r="R320" s="224"/>
      <c r="S320" s="224"/>
      <c r="T320" s="224"/>
    </row>
    <row r="321" spans="1:22">
      <c r="A321" s="219" t="s">
        <v>110</v>
      </c>
      <c r="B321" s="214" t="s">
        <v>111</v>
      </c>
      <c r="C321" s="215"/>
      <c r="D321" s="229">
        <v>2400</v>
      </c>
      <c r="E321" s="215"/>
      <c r="F321" s="229">
        <v>2200</v>
      </c>
      <c r="G321" s="215"/>
      <c r="H321" s="220">
        <f>J321-F321</f>
        <v>2600</v>
      </c>
      <c r="I321" s="215"/>
      <c r="J321" s="229">
        <v>4800</v>
      </c>
      <c r="K321" s="215"/>
      <c r="L321" s="231">
        <v>4800</v>
      </c>
      <c r="M321" s="224"/>
      <c r="N321" s="224"/>
      <c r="O321" s="224"/>
      <c r="P321" s="224"/>
      <c r="Q321" s="224"/>
      <c r="R321" s="224"/>
      <c r="S321" s="224"/>
      <c r="T321" s="224"/>
    </row>
    <row r="322" spans="1:22">
      <c r="A322" s="219" t="s">
        <v>112</v>
      </c>
      <c r="B322" s="214" t="s">
        <v>113</v>
      </c>
      <c r="C322" s="215"/>
      <c r="D322" s="229">
        <v>23634.57</v>
      </c>
      <c r="E322" s="215"/>
      <c r="F322" s="229">
        <v>14772.6</v>
      </c>
      <c r="G322" s="215"/>
      <c r="H322" s="220">
        <f>J322-F322</f>
        <v>14772.6</v>
      </c>
      <c r="I322" s="215"/>
      <c r="J322" s="229">
        <v>29545.2</v>
      </c>
      <c r="K322" s="215"/>
      <c r="L322" s="231">
        <v>31432</v>
      </c>
      <c r="M322" s="224"/>
      <c r="N322" s="224"/>
      <c r="O322" s="224"/>
      <c r="P322" s="224"/>
      <c r="Q322" s="224"/>
      <c r="R322" s="224"/>
      <c r="S322" s="224"/>
      <c r="T322" s="224"/>
    </row>
    <row r="323" spans="1:22">
      <c r="A323" s="219" t="s">
        <v>114</v>
      </c>
      <c r="B323" s="214" t="s">
        <v>115</v>
      </c>
      <c r="C323" s="215"/>
      <c r="D323" s="229">
        <v>2400</v>
      </c>
      <c r="E323" s="215"/>
      <c r="F323" s="229">
        <v>1200</v>
      </c>
      <c r="G323" s="215"/>
      <c r="H323" s="220">
        <f>J323-F323</f>
        <v>1200</v>
      </c>
      <c r="I323" s="215"/>
      <c r="J323" s="229">
        <v>2400</v>
      </c>
      <c r="K323" s="215"/>
      <c r="L323" s="231">
        <v>2400</v>
      </c>
      <c r="M323" s="224"/>
      <c r="N323" s="224"/>
      <c r="O323" s="224"/>
      <c r="P323" s="224"/>
      <c r="Q323" s="224"/>
      <c r="R323" s="224"/>
      <c r="S323" s="224"/>
      <c r="T323" s="224"/>
    </row>
    <row r="324" spans="1:22">
      <c r="A324" s="225" t="s">
        <v>359</v>
      </c>
      <c r="B324" s="214"/>
      <c r="C324" s="221"/>
      <c r="D324" s="226"/>
      <c r="E324" s="215"/>
      <c r="F324" s="226"/>
      <c r="G324" s="215"/>
      <c r="H324" s="226"/>
      <c r="I324" s="215"/>
      <c r="J324" s="226"/>
      <c r="K324" s="215"/>
      <c r="L324" s="228"/>
      <c r="M324" s="224"/>
      <c r="N324" s="224"/>
      <c r="O324" s="224"/>
      <c r="P324" s="224"/>
      <c r="Q324" s="224"/>
      <c r="R324" s="224"/>
      <c r="S324" s="224"/>
      <c r="T324" s="224"/>
    </row>
    <row r="325" spans="1:22" customHeight="1" ht="15.75">
      <c r="A325" s="219" t="s">
        <v>361</v>
      </c>
      <c r="B325" s="214" t="s">
        <v>119</v>
      </c>
      <c r="C325" s="215"/>
      <c r="D325" s="239">
        <v>0</v>
      </c>
      <c r="E325" s="215"/>
      <c r="F325" s="239">
        <v>0</v>
      </c>
      <c r="G325" s="215"/>
      <c r="H325" s="239">
        <v>0</v>
      </c>
      <c r="I325" s="215"/>
      <c r="J325" s="239">
        <v>0</v>
      </c>
      <c r="K325" s="215"/>
      <c r="L325" s="257">
        <v>14000</v>
      </c>
      <c r="M325" s="224"/>
      <c r="N325" s="224"/>
      <c r="O325" s="224"/>
      <c r="P325" s="224"/>
      <c r="Q325" s="224"/>
      <c r="R325" s="224"/>
      <c r="S325" s="224"/>
      <c r="T325" s="224"/>
    </row>
    <row r="326" spans="1:22" customHeight="1" ht="15.75">
      <c r="A326" s="242" t="s">
        <v>120</v>
      </c>
      <c r="B326" s="243"/>
      <c r="C326" s="244" t="s">
        <v>23</v>
      </c>
      <c r="D326" s="245">
        <f>SUM(D308:D325)</f>
        <v>1802938.36</v>
      </c>
      <c r="E326" s="246" t="s">
        <v>23</v>
      </c>
      <c r="F326" s="245">
        <f>SUM(F308:F325)</f>
        <v>898069.08</v>
      </c>
      <c r="G326" s="246" t="s">
        <v>23</v>
      </c>
      <c r="H326" s="245">
        <f>SUM(H308:H325)</f>
        <v>924469.08</v>
      </c>
      <c r="I326" s="246" t="s">
        <v>23</v>
      </c>
      <c r="J326" s="245">
        <f>SUM(J308:J325)</f>
        <v>1822538.16</v>
      </c>
      <c r="K326" s="246" t="s">
        <v>23</v>
      </c>
      <c r="L326" s="247">
        <f>SUM(L308:L325)</f>
        <v>1956927</v>
      </c>
      <c r="M326" s="248"/>
      <c r="N326" s="248"/>
      <c r="O326" s="248"/>
      <c r="P326" s="248"/>
      <c r="Q326" s="248"/>
      <c r="R326" s="248"/>
      <c r="S326" s="248"/>
      <c r="T326" s="248"/>
    </row>
    <row r="330" spans="1:22">
      <c r="J330" s="215"/>
    </row>
    <row r="331" spans="1:22">
      <c r="J331" s="215"/>
    </row>
    <row r="332" spans="1:22">
      <c r="J332" s="215"/>
    </row>
    <row r="333" spans="1:22">
      <c r="J333" s="215"/>
    </row>
    <row r="334" spans="1:22">
      <c r="A334" s="273" t="s">
        <v>346</v>
      </c>
      <c r="B334" s="273"/>
      <c r="C334" s="273"/>
      <c r="D334" s="273"/>
      <c r="E334" s="273"/>
      <c r="F334" s="273"/>
      <c r="G334" s="273"/>
      <c r="H334" s="273"/>
      <c r="I334" s="273"/>
      <c r="J334" s="273"/>
      <c r="K334" s="273"/>
      <c r="L334" s="273"/>
      <c r="M334" s="274"/>
      <c r="N334" s="274"/>
      <c r="O334" s="274"/>
      <c r="P334" s="274"/>
      <c r="Q334" s="274"/>
      <c r="R334" s="274"/>
      <c r="S334" s="274"/>
      <c r="T334" s="274"/>
    </row>
    <row r="336" spans="1:22" customHeight="1" ht="15.75">
      <c r="A336" s="183" t="s">
        <v>347</v>
      </c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4"/>
      <c r="N336" s="184"/>
      <c r="O336" s="184"/>
      <c r="P336" s="184"/>
      <c r="Q336" s="184"/>
      <c r="R336" s="184"/>
      <c r="S336" s="184"/>
      <c r="T336" s="184"/>
    </row>
    <row r="337" spans="1:22">
      <c r="A337" s="185" t="s">
        <v>348</v>
      </c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6"/>
      <c r="N337" s="186"/>
      <c r="O337" s="186"/>
      <c r="P337" s="186"/>
      <c r="Q337" s="186"/>
      <c r="R337" s="186"/>
      <c r="S337" s="186"/>
      <c r="T337" s="186"/>
    </row>
    <row r="339" spans="1:22">
      <c r="A339" s="187" t="s">
        <v>384</v>
      </c>
    </row>
    <row r="340" spans="1:22" customHeight="1" ht="15.75"/>
    <row r="341" spans="1:22">
      <c r="A341" s="189"/>
      <c r="B341" s="190"/>
      <c r="C341" s="191" t="s">
        <v>350</v>
      </c>
      <c r="D341" s="192"/>
      <c r="E341" s="193" t="s">
        <v>351</v>
      </c>
      <c r="F341" s="194"/>
      <c r="G341" s="194"/>
      <c r="H341" s="194"/>
      <c r="I341" s="194"/>
      <c r="J341" s="195"/>
      <c r="K341" s="191" t="s">
        <v>352</v>
      </c>
      <c r="L341" s="196"/>
      <c r="M341" s="186"/>
      <c r="N341" s="186"/>
      <c r="O341" s="186"/>
      <c r="P341" s="186"/>
      <c r="Q341" s="186"/>
      <c r="R341" s="186"/>
      <c r="S341" s="186"/>
      <c r="T341" s="186"/>
    </row>
    <row r="342" spans="1:22">
      <c r="A342" s="197" t="s">
        <v>353</v>
      </c>
      <c r="B342" s="198" t="s">
        <v>354</v>
      </c>
      <c r="C342" s="199">
        <v>2023</v>
      </c>
      <c r="D342" s="200"/>
      <c r="E342" s="201" t="s">
        <v>11</v>
      </c>
      <c r="F342" s="251"/>
      <c r="G342" s="201" t="s">
        <v>355</v>
      </c>
      <c r="H342" s="251"/>
      <c r="I342" s="203" t="s">
        <v>356</v>
      </c>
      <c r="J342" s="253"/>
      <c r="K342" s="199">
        <v>2025</v>
      </c>
      <c r="L342" s="205"/>
      <c r="M342" s="186"/>
      <c r="N342" s="186"/>
      <c r="O342" s="186"/>
      <c r="P342" s="186"/>
      <c r="Q342" s="186"/>
      <c r="R342" s="186"/>
      <c r="S342" s="186"/>
      <c r="T342" s="186"/>
    </row>
    <row r="343" spans="1:22" customHeight="1" ht="15.75">
      <c r="A343" s="206"/>
      <c r="B343" s="207"/>
      <c r="C343" s="208" t="s">
        <v>17</v>
      </c>
      <c r="D343" s="209"/>
      <c r="E343" s="208" t="s">
        <v>17</v>
      </c>
      <c r="F343" s="209"/>
      <c r="G343" s="208" t="s">
        <v>18</v>
      </c>
      <c r="H343" s="209"/>
      <c r="I343" s="210"/>
      <c r="J343" s="211"/>
      <c r="K343" s="208" t="s">
        <v>357</v>
      </c>
      <c r="L343" s="212"/>
      <c r="M343" s="186"/>
      <c r="N343" s="186"/>
      <c r="O343" s="186"/>
      <c r="P343" s="186"/>
      <c r="Q343" s="186"/>
      <c r="R343" s="186"/>
      <c r="S343" s="186"/>
      <c r="T343" s="186"/>
    </row>
    <row r="344" spans="1:22">
      <c r="A344" s="225" t="s">
        <v>121</v>
      </c>
      <c r="B344" s="254"/>
      <c r="C344" s="215"/>
      <c r="D344" s="216"/>
      <c r="E344" s="215"/>
      <c r="F344" s="216"/>
      <c r="G344" s="215"/>
      <c r="H344" s="216"/>
      <c r="I344" s="215"/>
      <c r="J344" s="216"/>
      <c r="K344" s="215"/>
      <c r="L344" s="217"/>
      <c r="M344" s="218"/>
      <c r="N344" s="218"/>
      <c r="O344" s="218"/>
      <c r="P344" s="218"/>
      <c r="Q344" s="218"/>
      <c r="R344" s="218"/>
      <c r="S344" s="218"/>
      <c r="T344" s="218"/>
    </row>
    <row r="345" spans="1:22">
      <c r="A345" s="219" t="s">
        <v>122</v>
      </c>
      <c r="B345" s="214" t="s">
        <v>123</v>
      </c>
      <c r="C345" s="215" t="s">
        <v>23</v>
      </c>
      <c r="D345" s="226">
        <v>89000</v>
      </c>
      <c r="E345" s="215" t="s">
        <v>23</v>
      </c>
      <c r="F345" s="226">
        <v>45250</v>
      </c>
      <c r="G345" s="215" t="s">
        <v>23</v>
      </c>
      <c r="H345" s="226">
        <f>J345-F345</f>
        <v>39750</v>
      </c>
      <c r="I345" s="215" t="s">
        <v>23</v>
      </c>
      <c r="J345" s="275">
        <v>85000</v>
      </c>
      <c r="K345" s="215" t="s">
        <v>23</v>
      </c>
      <c r="L345" s="228">
        <v>110000</v>
      </c>
      <c r="M345" s="224"/>
      <c r="N345" s="224"/>
      <c r="O345" s="224"/>
      <c r="P345" s="224"/>
      <c r="Q345" s="224"/>
      <c r="R345" s="224"/>
      <c r="S345" s="224"/>
      <c r="T345" s="224"/>
    </row>
    <row r="346" spans="1:22">
      <c r="A346" s="219" t="s">
        <v>126</v>
      </c>
      <c r="B346" s="214" t="s">
        <v>127</v>
      </c>
      <c r="C346" s="215"/>
      <c r="D346" s="229">
        <v>58774</v>
      </c>
      <c r="E346" s="215"/>
      <c r="F346" s="229">
        <v>21165.96</v>
      </c>
      <c r="G346" s="215"/>
      <c r="H346" s="229">
        <f>J346-F346</f>
        <v>63834.04</v>
      </c>
      <c r="I346" s="215"/>
      <c r="J346" s="276">
        <v>85000</v>
      </c>
      <c r="K346" s="215"/>
      <c r="L346" s="237">
        <v>90000</v>
      </c>
      <c r="M346" s="224"/>
      <c r="N346" s="224"/>
      <c r="O346" s="224"/>
      <c r="P346" s="224"/>
      <c r="Q346" s="224"/>
      <c r="R346" s="224"/>
      <c r="S346" s="224"/>
      <c r="T346" s="224"/>
    </row>
    <row r="347" spans="1:22">
      <c r="A347" s="219" t="s">
        <v>144</v>
      </c>
      <c r="B347" s="214" t="s">
        <v>145</v>
      </c>
      <c r="C347" s="215"/>
      <c r="D347" s="235">
        <v>60000</v>
      </c>
      <c r="E347" s="215"/>
      <c r="F347" s="235">
        <v>30000</v>
      </c>
      <c r="G347" s="215"/>
      <c r="H347" s="235">
        <f>J347-F347</f>
        <v>30000</v>
      </c>
      <c r="I347" s="215"/>
      <c r="J347" s="276">
        <v>60000</v>
      </c>
      <c r="K347" s="215"/>
      <c r="L347" s="237">
        <v>24000</v>
      </c>
      <c r="M347" s="224"/>
      <c r="N347" s="224"/>
      <c r="O347" s="224"/>
      <c r="P347" s="224"/>
      <c r="Q347" s="224"/>
      <c r="R347" s="224"/>
      <c r="S347" s="224"/>
      <c r="T347" s="224"/>
    </row>
    <row r="348" spans="1:22">
      <c r="A348" s="219" t="s">
        <v>146</v>
      </c>
      <c r="B348" s="214" t="s">
        <v>147</v>
      </c>
      <c r="C348" s="215"/>
      <c r="D348" s="235">
        <v>25391.02</v>
      </c>
      <c r="E348" s="215"/>
      <c r="F348" s="235">
        <v>13158.98</v>
      </c>
      <c r="G348" s="215"/>
      <c r="H348" s="235">
        <f>J348-F348</f>
        <v>11841.02</v>
      </c>
      <c r="I348" s="215"/>
      <c r="J348" s="276">
        <v>25000</v>
      </c>
      <c r="K348" s="215"/>
      <c r="L348" s="237">
        <v>25000</v>
      </c>
      <c r="M348" s="224"/>
      <c r="N348" s="224"/>
      <c r="O348" s="224"/>
      <c r="P348" s="224"/>
      <c r="Q348" s="224"/>
      <c r="R348" s="224"/>
      <c r="S348" s="224"/>
      <c r="T348" s="224"/>
    </row>
    <row r="349" spans="1:22">
      <c r="A349" s="219" t="s">
        <v>156</v>
      </c>
      <c r="B349" s="214" t="s">
        <v>157</v>
      </c>
      <c r="C349" s="215"/>
      <c r="D349" s="235">
        <v>3500</v>
      </c>
      <c r="E349" s="215"/>
      <c r="F349" s="235">
        <v>1500</v>
      </c>
      <c r="G349" s="215"/>
      <c r="H349" s="235">
        <f>J349-F349</f>
        <v>8500</v>
      </c>
      <c r="I349" s="215"/>
      <c r="J349" s="276">
        <v>10000</v>
      </c>
      <c r="K349" s="215"/>
      <c r="L349" s="237">
        <v>10000</v>
      </c>
      <c r="M349" s="224"/>
      <c r="N349" s="224"/>
      <c r="O349" s="224"/>
      <c r="P349" s="224"/>
      <c r="Q349" s="224"/>
      <c r="R349" s="224"/>
      <c r="S349" s="224"/>
      <c r="T349" s="224"/>
    </row>
    <row r="350" spans="1:22" customHeight="1" ht="15.75">
      <c r="A350" s="219" t="s">
        <v>169</v>
      </c>
      <c r="B350" s="214" t="s">
        <v>170</v>
      </c>
      <c r="C350" s="215"/>
      <c r="D350" s="239">
        <v>3891</v>
      </c>
      <c r="E350" s="215"/>
      <c r="F350" s="239">
        <v>0</v>
      </c>
      <c r="G350" s="215"/>
      <c r="H350" s="255">
        <f>J350-F350</f>
        <v>6700</v>
      </c>
      <c r="I350" s="215"/>
      <c r="J350" s="298">
        <v>6700</v>
      </c>
      <c r="K350" s="215"/>
      <c r="L350" s="257">
        <v>37700</v>
      </c>
      <c r="M350" s="224"/>
      <c r="N350" s="224"/>
      <c r="O350" s="224"/>
      <c r="P350" s="224"/>
      <c r="Q350" s="224"/>
      <c r="R350" s="224"/>
      <c r="S350" s="224"/>
      <c r="T350" s="224"/>
    </row>
    <row r="351" spans="1:22" customHeight="1" ht="15.75">
      <c r="A351" s="225" t="s">
        <v>200</v>
      </c>
      <c r="B351" s="254"/>
      <c r="C351" s="258" t="s">
        <v>23</v>
      </c>
      <c r="D351" s="245">
        <f>SUM(D345:D350)</f>
        <v>240556.02</v>
      </c>
      <c r="E351" s="258" t="s">
        <v>23</v>
      </c>
      <c r="F351" s="245">
        <f>SUM(F345:F350)</f>
        <v>111074.94</v>
      </c>
      <c r="G351" s="258" t="s">
        <v>23</v>
      </c>
      <c r="H351" s="245">
        <f>SUM(H345:H350)</f>
        <v>160625.06</v>
      </c>
      <c r="I351" s="258" t="s">
        <v>23</v>
      </c>
      <c r="J351" s="245">
        <f>SUM(J345:J350)</f>
        <v>271700</v>
      </c>
      <c r="K351" s="258" t="s">
        <v>23</v>
      </c>
      <c r="L351" s="247">
        <f>SUM(L345:L350)</f>
        <v>296700</v>
      </c>
      <c r="M351" s="248"/>
      <c r="N351" s="248"/>
      <c r="O351" s="248"/>
      <c r="P351" s="248"/>
      <c r="Q351" s="248"/>
      <c r="R351" s="248"/>
      <c r="S351" s="248"/>
      <c r="T351" s="248"/>
    </row>
    <row r="352" spans="1:22">
      <c r="A352" s="225" t="s">
        <v>201</v>
      </c>
      <c r="B352" s="254"/>
      <c r="C352" s="215"/>
      <c r="D352" s="280"/>
      <c r="E352" s="215"/>
      <c r="F352" s="280"/>
      <c r="G352" s="215"/>
      <c r="H352" s="280"/>
      <c r="I352" s="215"/>
      <c r="J352" s="280"/>
      <c r="K352" s="215"/>
      <c r="L352" s="281"/>
      <c r="M352" s="224"/>
      <c r="N352" s="224"/>
      <c r="O352" s="224"/>
      <c r="P352" s="224"/>
      <c r="Q352" s="224"/>
      <c r="R352" s="224"/>
      <c r="S352" s="224"/>
      <c r="T352" s="224"/>
    </row>
    <row r="353" spans="1:22" customHeight="1" ht="15.75">
      <c r="A353" s="219" t="s">
        <v>367</v>
      </c>
      <c r="B353" s="214" t="s">
        <v>209</v>
      </c>
      <c r="C353" s="215" t="s">
        <v>23</v>
      </c>
      <c r="D353" s="226">
        <v>0</v>
      </c>
      <c r="E353" s="215" t="s">
        <v>23</v>
      </c>
      <c r="F353" s="226">
        <v>0</v>
      </c>
      <c r="G353" s="215" t="s">
        <v>23</v>
      </c>
      <c r="H353" s="226">
        <v>0</v>
      </c>
      <c r="I353" s="215" t="s">
        <v>23</v>
      </c>
      <c r="J353" s="226">
        <v>0</v>
      </c>
      <c r="K353" s="215" t="s">
        <v>23</v>
      </c>
      <c r="L353" s="228">
        <v>75000</v>
      </c>
      <c r="M353" s="224"/>
      <c r="N353" s="224"/>
      <c r="O353" s="224"/>
      <c r="P353" s="224"/>
      <c r="Q353" s="224"/>
      <c r="R353" s="224"/>
      <c r="S353" s="224"/>
      <c r="T353" s="224"/>
    </row>
    <row r="354" spans="1:22" customHeight="1" ht="15.75">
      <c r="A354" s="225" t="s">
        <v>214</v>
      </c>
      <c r="B354" s="214"/>
      <c r="C354" s="258" t="s">
        <v>23</v>
      </c>
      <c r="D354" s="282">
        <f>SUM(D353)</f>
        <v>0</v>
      </c>
      <c r="E354" s="258" t="s">
        <v>23</v>
      </c>
      <c r="F354" s="282">
        <f>SUM(F353)</f>
        <v>0</v>
      </c>
      <c r="G354" s="258" t="s">
        <v>23</v>
      </c>
      <c r="H354" s="282">
        <f>SUM(H353)</f>
        <v>0</v>
      </c>
      <c r="I354" s="258" t="s">
        <v>23</v>
      </c>
      <c r="J354" s="282">
        <f>SUM(J353)</f>
        <v>0</v>
      </c>
      <c r="K354" s="258" t="s">
        <v>23</v>
      </c>
      <c r="L354" s="283">
        <f>SUM(L353)</f>
        <v>75000</v>
      </c>
      <c r="M354" s="248"/>
      <c r="N354" s="248"/>
      <c r="O354" s="248"/>
      <c r="P354" s="248"/>
      <c r="Q354" s="248"/>
      <c r="R354" s="248"/>
      <c r="S354" s="248"/>
      <c r="T354" s="248"/>
    </row>
    <row r="355" spans="1:22" customHeight="1" ht="15.75">
      <c r="A355" s="284" t="s">
        <v>370</v>
      </c>
      <c r="B355" s="285"/>
      <c r="C355" s="286" t="s">
        <v>23</v>
      </c>
      <c r="D355" s="287">
        <f>D326+D351+D354</f>
        <v>2043494.38</v>
      </c>
      <c r="E355" s="288" t="s">
        <v>23</v>
      </c>
      <c r="F355" s="287">
        <f>F326+F351+F354</f>
        <v>1009144.02</v>
      </c>
      <c r="G355" s="288" t="s">
        <v>23</v>
      </c>
      <c r="H355" s="287">
        <f>H326+H351+H354</f>
        <v>1085094.14</v>
      </c>
      <c r="I355" s="288" t="s">
        <v>23</v>
      </c>
      <c r="J355" s="287">
        <f>J326+J351+J354</f>
        <v>2094238.16</v>
      </c>
      <c r="K355" s="288" t="s">
        <v>23</v>
      </c>
      <c r="L355" s="287">
        <f>L326+L351+L354</f>
        <v>2328627</v>
      </c>
      <c r="M355" s="261"/>
      <c r="N355" s="261"/>
      <c r="O355" s="261"/>
      <c r="P355" s="261"/>
      <c r="Q355" s="261"/>
      <c r="R355" s="248"/>
      <c r="S355" s="248"/>
      <c r="T355" s="248"/>
    </row>
    <row r="356" spans="1:22" customHeight="1" ht="15.75">
      <c r="A356" s="187"/>
      <c r="C356" s="258"/>
      <c r="D356" s="261"/>
      <c r="E356" s="258"/>
      <c r="F356" s="261"/>
      <c r="G356" s="258"/>
      <c r="H356" s="261"/>
      <c r="I356" s="258"/>
      <c r="J356" s="261"/>
      <c r="K356" s="258"/>
      <c r="L356" s="261"/>
      <c r="M356" s="261"/>
      <c r="N356" s="261"/>
      <c r="O356" s="261"/>
      <c r="P356" s="261"/>
      <c r="Q356" s="261"/>
      <c r="R356" s="248"/>
      <c r="S356" s="248"/>
      <c r="T356" s="248"/>
    </row>
    <row r="358" spans="1:22">
      <c r="A358" s="215" t="s">
        <v>371</v>
      </c>
      <c r="B358" s="215" t="s">
        <v>372</v>
      </c>
      <c r="C358" s="215"/>
      <c r="D358" s="215"/>
      <c r="E358" s="215"/>
      <c r="F358" s="215"/>
      <c r="G358" s="215" t="s">
        <v>373</v>
      </c>
      <c r="H358" s="215"/>
    </row>
    <row r="359" spans="1:22">
      <c r="A359" s="215"/>
      <c r="B359" s="215"/>
      <c r="C359" s="215"/>
      <c r="D359" s="215"/>
      <c r="E359" s="215"/>
      <c r="F359" s="215"/>
      <c r="G359" s="215"/>
      <c r="H359" s="215"/>
    </row>
    <row r="361" spans="1:22">
      <c r="A361" s="268" t="s">
        <v>385</v>
      </c>
      <c r="B361" s="269" t="s">
        <v>374</v>
      </c>
      <c r="C361" s="269"/>
      <c r="D361" s="269"/>
      <c r="E361" s="269"/>
      <c r="F361" s="269"/>
      <c r="G361" s="270"/>
      <c r="H361" s="269" t="s">
        <v>326</v>
      </c>
      <c r="I361" s="269"/>
      <c r="J361" s="269"/>
      <c r="K361" s="269"/>
      <c r="L361" s="269"/>
      <c r="M361" s="268"/>
      <c r="N361" s="268"/>
      <c r="O361" s="268"/>
      <c r="P361" s="268"/>
      <c r="Q361" s="268"/>
      <c r="R361" s="268"/>
      <c r="S361" s="268"/>
      <c r="T361" s="268"/>
    </row>
    <row r="362" spans="1:22">
      <c r="A362" s="271" t="s">
        <v>386</v>
      </c>
      <c r="B362" s="272" t="s">
        <v>375</v>
      </c>
      <c r="C362" s="272"/>
      <c r="D362" s="272"/>
      <c r="E362" s="272"/>
      <c r="F362" s="272"/>
      <c r="G362" s="215"/>
      <c r="H362" s="272" t="s">
        <v>327</v>
      </c>
      <c r="I362" s="272"/>
      <c r="J362" s="272"/>
      <c r="K362" s="272"/>
      <c r="L362" s="272"/>
      <c r="M362" s="271"/>
      <c r="N362" s="271"/>
      <c r="O362" s="271"/>
      <c r="P362" s="271"/>
      <c r="Q362" s="271"/>
      <c r="R362" s="271"/>
      <c r="S362" s="271"/>
      <c r="T362" s="271"/>
    </row>
    <row r="367" spans="1:22">
      <c r="J367" s="215"/>
    </row>
    <row r="371" spans="1:22">
      <c r="A371" s="273" t="s">
        <v>346</v>
      </c>
      <c r="B371" s="273"/>
      <c r="C371" s="273"/>
      <c r="D371" s="273"/>
      <c r="E371" s="273"/>
      <c r="F371" s="273"/>
      <c r="G371" s="273"/>
      <c r="H371" s="273"/>
      <c r="I371" s="273"/>
      <c r="J371" s="273"/>
      <c r="K371" s="273"/>
      <c r="L371" s="273"/>
      <c r="M371" s="274"/>
      <c r="N371" s="274"/>
      <c r="O371" s="274"/>
      <c r="P371" s="274"/>
      <c r="Q371" s="274"/>
      <c r="R371" s="274"/>
      <c r="S371" s="274"/>
      <c r="T371" s="274"/>
    </row>
    <row r="373" spans="1:22" customHeight="1" ht="15.75">
      <c r="A373" s="183" t="s">
        <v>347</v>
      </c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4"/>
      <c r="N373" s="184"/>
      <c r="O373" s="184"/>
      <c r="P373" s="184"/>
      <c r="Q373" s="184"/>
      <c r="R373" s="184"/>
      <c r="S373" s="184"/>
      <c r="T373" s="184"/>
    </row>
    <row r="374" spans="1:22">
      <c r="A374" s="185" t="s">
        <v>348</v>
      </c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6"/>
      <c r="N374" s="186"/>
      <c r="O374" s="186"/>
      <c r="P374" s="186"/>
      <c r="Q374" s="186"/>
      <c r="R374" s="186"/>
      <c r="S374" s="186"/>
      <c r="T374" s="186"/>
    </row>
    <row r="376" spans="1:22">
      <c r="A376" s="187" t="s">
        <v>387</v>
      </c>
    </row>
    <row r="377" spans="1:22" customHeight="1" ht="15.75"/>
    <row r="378" spans="1:22">
      <c r="A378" s="189"/>
      <c r="B378" s="190"/>
      <c r="C378" s="191" t="s">
        <v>350</v>
      </c>
      <c r="D378" s="192"/>
      <c r="E378" s="193" t="s">
        <v>351</v>
      </c>
      <c r="F378" s="194"/>
      <c r="G378" s="194"/>
      <c r="H378" s="194"/>
      <c r="I378" s="194"/>
      <c r="J378" s="195"/>
      <c r="K378" s="191" t="s">
        <v>352</v>
      </c>
      <c r="L378" s="196"/>
      <c r="M378" s="186"/>
      <c r="N378" s="186"/>
      <c r="O378" s="186"/>
      <c r="P378" s="186"/>
      <c r="Q378" s="186"/>
      <c r="R378" s="186"/>
      <c r="S378" s="186"/>
      <c r="T378" s="186"/>
    </row>
    <row r="379" spans="1:22">
      <c r="A379" s="197" t="s">
        <v>353</v>
      </c>
      <c r="B379" s="198" t="s">
        <v>354</v>
      </c>
      <c r="C379" s="199">
        <v>2023</v>
      </c>
      <c r="D379" s="200"/>
      <c r="E379" s="201" t="s">
        <v>11</v>
      </c>
      <c r="F379" s="202"/>
      <c r="G379" s="201" t="s">
        <v>355</v>
      </c>
      <c r="H379" s="202"/>
      <c r="I379" s="203" t="s">
        <v>356</v>
      </c>
      <c r="J379" s="204"/>
      <c r="K379" s="199">
        <v>2025</v>
      </c>
      <c r="L379" s="205"/>
      <c r="M379" s="186"/>
      <c r="N379" s="186"/>
      <c r="O379" s="186"/>
      <c r="P379" s="186"/>
      <c r="Q379" s="186"/>
      <c r="R379" s="186"/>
      <c r="S379" s="186"/>
      <c r="T379" s="186"/>
    </row>
    <row r="380" spans="1:22" customHeight="1" ht="15.75">
      <c r="A380" s="206"/>
      <c r="B380" s="207"/>
      <c r="C380" s="208" t="s">
        <v>17</v>
      </c>
      <c r="D380" s="209"/>
      <c r="E380" s="208" t="s">
        <v>17</v>
      </c>
      <c r="F380" s="209"/>
      <c r="G380" s="208" t="s">
        <v>18</v>
      </c>
      <c r="H380" s="209"/>
      <c r="I380" s="210"/>
      <c r="J380" s="211"/>
      <c r="K380" s="208" t="s">
        <v>357</v>
      </c>
      <c r="L380" s="212"/>
      <c r="M380" s="186"/>
      <c r="N380" s="186"/>
      <c r="O380" s="186"/>
      <c r="P380" s="186"/>
      <c r="Q380" s="186"/>
      <c r="R380" s="186"/>
      <c r="S380" s="186"/>
      <c r="T380" s="186"/>
    </row>
    <row r="381" spans="1:22">
      <c r="A381" s="213" t="s">
        <v>80</v>
      </c>
      <c r="B381" s="214"/>
      <c r="C381" s="215"/>
      <c r="D381" s="216"/>
      <c r="E381" s="215"/>
      <c r="F381" s="216"/>
      <c r="G381" s="215"/>
      <c r="H381" s="216"/>
      <c r="I381" s="215"/>
      <c r="J381" s="216"/>
      <c r="K381" s="215"/>
      <c r="L381" s="217"/>
      <c r="M381" s="218"/>
      <c r="N381" s="218"/>
      <c r="O381" s="218"/>
      <c r="P381" s="218"/>
      <c r="Q381" s="218"/>
      <c r="R381" s="218"/>
      <c r="S381" s="218"/>
      <c r="T381" s="218"/>
    </row>
    <row r="382" spans="1:22">
      <c r="A382" s="219" t="s">
        <v>82</v>
      </c>
      <c r="B382" s="214" t="s">
        <v>83</v>
      </c>
      <c r="C382" s="215" t="s">
        <v>23</v>
      </c>
      <c r="D382" s="220">
        <v>1064879.75</v>
      </c>
      <c r="E382" s="215" t="s">
        <v>23</v>
      </c>
      <c r="F382" s="220">
        <v>561972</v>
      </c>
      <c r="G382" s="215" t="s">
        <v>23</v>
      </c>
      <c r="H382" s="220">
        <f>J382-F382</f>
        <v>561972</v>
      </c>
      <c r="I382" s="215" t="s">
        <v>23</v>
      </c>
      <c r="J382" s="220">
        <v>1123944</v>
      </c>
      <c r="K382" s="215" t="s">
        <v>23</v>
      </c>
      <c r="L382" s="223">
        <v>1198883</v>
      </c>
      <c r="M382" s="224"/>
      <c r="N382" s="224"/>
      <c r="O382" s="224"/>
      <c r="P382" s="224"/>
      <c r="Q382" s="224"/>
      <c r="R382" s="224"/>
      <c r="S382" s="224"/>
      <c r="T382" s="224"/>
    </row>
    <row r="383" spans="1:22">
      <c r="A383" s="225" t="s">
        <v>338</v>
      </c>
      <c r="B383" s="214"/>
      <c r="C383" s="215"/>
      <c r="D383" s="226"/>
      <c r="E383" s="215"/>
      <c r="F383" s="226"/>
      <c r="G383" s="215"/>
      <c r="H383" s="226"/>
      <c r="I383" s="215"/>
      <c r="J383" s="226"/>
      <c r="K383" s="215"/>
      <c r="L383" s="228"/>
      <c r="M383" s="224"/>
      <c r="N383" s="224"/>
      <c r="O383" s="224"/>
      <c r="P383" s="224"/>
      <c r="Q383" s="224"/>
      <c r="R383" s="224"/>
      <c r="S383" s="224"/>
      <c r="T383" s="224"/>
    </row>
    <row r="384" spans="1:22">
      <c r="A384" s="219" t="s">
        <v>84</v>
      </c>
      <c r="B384" s="214" t="s">
        <v>85</v>
      </c>
      <c r="C384" s="215"/>
      <c r="D384" s="226">
        <v>42000</v>
      </c>
      <c r="E384" s="215"/>
      <c r="F384" s="226">
        <v>24000</v>
      </c>
      <c r="G384" s="215"/>
      <c r="H384" s="220">
        <f>J384-F384</f>
        <v>24000</v>
      </c>
      <c r="I384" s="215"/>
      <c r="J384" s="226">
        <v>48000</v>
      </c>
      <c r="K384" s="215"/>
      <c r="L384" s="228">
        <v>48000</v>
      </c>
      <c r="M384" s="224"/>
      <c r="N384" s="224"/>
      <c r="O384" s="224"/>
      <c r="P384" s="224"/>
      <c r="Q384" s="224"/>
      <c r="R384" s="224"/>
      <c r="S384" s="224"/>
      <c r="T384" s="224"/>
    </row>
    <row r="385" spans="1:22">
      <c r="A385" s="219" t="s">
        <v>86</v>
      </c>
      <c r="B385" s="214" t="s">
        <v>87</v>
      </c>
      <c r="C385" s="215"/>
      <c r="D385" s="229">
        <v>72000</v>
      </c>
      <c r="E385" s="215"/>
      <c r="F385" s="229">
        <v>40800</v>
      </c>
      <c r="G385" s="215"/>
      <c r="H385" s="220">
        <f>J385-F385</f>
        <v>40800</v>
      </c>
      <c r="I385" s="215"/>
      <c r="J385" s="229">
        <v>81600</v>
      </c>
      <c r="K385" s="215"/>
      <c r="L385" s="231">
        <v>81600</v>
      </c>
      <c r="M385" s="224"/>
      <c r="N385" s="224"/>
      <c r="O385" s="224"/>
      <c r="P385" s="224"/>
      <c r="Q385" s="224"/>
      <c r="R385" s="224"/>
      <c r="S385" s="224"/>
      <c r="T385" s="224"/>
    </row>
    <row r="386" spans="1:22">
      <c r="A386" s="219" t="s">
        <v>88</v>
      </c>
      <c r="B386" s="214" t="s">
        <v>89</v>
      </c>
      <c r="C386" s="215"/>
      <c r="D386" s="229">
        <v>72000</v>
      </c>
      <c r="E386" s="215"/>
      <c r="F386" s="229">
        <v>40800</v>
      </c>
      <c r="G386" s="215"/>
      <c r="H386" s="220">
        <f>J386-F386</f>
        <v>40800</v>
      </c>
      <c r="I386" s="215"/>
      <c r="J386" s="229">
        <v>81600</v>
      </c>
      <c r="K386" s="215"/>
      <c r="L386" s="231">
        <v>81600</v>
      </c>
      <c r="M386" s="224"/>
      <c r="N386" s="224"/>
      <c r="O386" s="224"/>
      <c r="P386" s="224"/>
      <c r="Q386" s="224"/>
      <c r="R386" s="224"/>
      <c r="S386" s="224"/>
      <c r="T386" s="224"/>
    </row>
    <row r="387" spans="1:22">
      <c r="A387" s="219" t="s">
        <v>90</v>
      </c>
      <c r="B387" s="214" t="s">
        <v>91</v>
      </c>
      <c r="C387" s="215"/>
      <c r="D387" s="229">
        <v>6000</v>
      </c>
      <c r="E387" s="215"/>
      <c r="F387" s="229">
        <v>14000</v>
      </c>
      <c r="G387" s="215"/>
      <c r="H387" s="220">
        <f>J387-F387</f>
        <v>0</v>
      </c>
      <c r="I387" s="215"/>
      <c r="J387" s="229">
        <v>14000</v>
      </c>
      <c r="K387" s="215"/>
      <c r="L387" s="231">
        <v>14000</v>
      </c>
      <c r="M387" s="224"/>
      <c r="N387" s="224"/>
      <c r="O387" s="224"/>
      <c r="P387" s="224"/>
      <c r="Q387" s="224"/>
      <c r="R387" s="224"/>
      <c r="S387" s="224"/>
      <c r="T387" s="224"/>
    </row>
    <row r="388" spans="1:22">
      <c r="A388" s="219" t="s">
        <v>96</v>
      </c>
      <c r="B388" s="214" t="s">
        <v>97</v>
      </c>
      <c r="C388" s="215"/>
      <c r="D388" s="229">
        <v>10000</v>
      </c>
      <c r="E388" s="215"/>
      <c r="F388" s="229">
        <v>0</v>
      </c>
      <c r="G388" s="215"/>
      <c r="H388" s="220">
        <f>J388-F388</f>
        <v>10000</v>
      </c>
      <c r="I388" s="215"/>
      <c r="J388" s="229">
        <v>10000</v>
      </c>
      <c r="K388" s="215"/>
      <c r="L388" s="231">
        <v>10000</v>
      </c>
      <c r="M388" s="224"/>
      <c r="N388" s="224"/>
      <c r="O388" s="224"/>
      <c r="P388" s="224"/>
      <c r="Q388" s="224"/>
      <c r="R388" s="224"/>
      <c r="S388" s="224"/>
      <c r="T388" s="224"/>
    </row>
    <row r="389" spans="1:22">
      <c r="A389" s="219" t="s">
        <v>358</v>
      </c>
      <c r="B389" s="214" t="s">
        <v>99</v>
      </c>
      <c r="C389" s="215"/>
      <c r="D389" s="229">
        <v>30000</v>
      </c>
      <c r="E389" s="215"/>
      <c r="F389" s="229">
        <v>0</v>
      </c>
      <c r="G389" s="215"/>
      <c r="H389" s="220">
        <f>J389-F389</f>
        <v>20000</v>
      </c>
      <c r="I389" s="215"/>
      <c r="J389" s="229">
        <v>20000</v>
      </c>
      <c r="K389" s="215"/>
      <c r="L389" s="231">
        <v>40000</v>
      </c>
      <c r="M389" s="224"/>
      <c r="N389" s="224"/>
      <c r="O389" s="224"/>
      <c r="P389" s="224"/>
      <c r="Q389" s="224"/>
      <c r="R389" s="224"/>
      <c r="S389" s="224"/>
      <c r="T389" s="224"/>
    </row>
    <row r="390" spans="1:22">
      <c r="A390" s="219" t="s">
        <v>102</v>
      </c>
      <c r="B390" s="214" t="s">
        <v>103</v>
      </c>
      <c r="C390" s="215"/>
      <c r="D390" s="229">
        <v>93662</v>
      </c>
      <c r="E390" s="215"/>
      <c r="F390" s="229">
        <v>0</v>
      </c>
      <c r="G390" s="215"/>
      <c r="H390" s="220">
        <f>J390-F390</f>
        <v>93662</v>
      </c>
      <c r="I390" s="215"/>
      <c r="J390" s="229">
        <v>93662</v>
      </c>
      <c r="K390" s="215"/>
      <c r="L390" s="231">
        <v>103796</v>
      </c>
      <c r="M390" s="224"/>
      <c r="N390" s="224"/>
      <c r="O390" s="224"/>
      <c r="P390" s="224"/>
      <c r="Q390" s="224"/>
      <c r="R390" s="224"/>
      <c r="S390" s="224"/>
      <c r="T390" s="224"/>
    </row>
    <row r="391" spans="1:22">
      <c r="A391" s="219" t="s">
        <v>104</v>
      </c>
      <c r="B391" s="214" t="s">
        <v>105</v>
      </c>
      <c r="C391" s="215"/>
      <c r="D391" s="229">
        <v>10000</v>
      </c>
      <c r="E391" s="215"/>
      <c r="F391" s="229">
        <v>0</v>
      </c>
      <c r="G391" s="215"/>
      <c r="H391" s="220">
        <f>J391-F391</f>
        <v>10000</v>
      </c>
      <c r="I391" s="215"/>
      <c r="J391" s="229">
        <v>10000</v>
      </c>
      <c r="K391" s="215"/>
      <c r="L391" s="231">
        <v>10000</v>
      </c>
      <c r="M391" s="224"/>
      <c r="N391" s="224"/>
      <c r="O391" s="224"/>
      <c r="P391" s="224"/>
      <c r="Q391" s="224"/>
      <c r="R391" s="224"/>
      <c r="S391" s="224"/>
      <c r="T391" s="224"/>
    </row>
    <row r="392" spans="1:22">
      <c r="A392" s="219" t="s">
        <v>106</v>
      </c>
      <c r="B392" s="214" t="s">
        <v>107</v>
      </c>
      <c r="C392" s="215"/>
      <c r="D392" s="229">
        <v>93662</v>
      </c>
      <c r="E392" s="215"/>
      <c r="F392" s="229">
        <v>93662</v>
      </c>
      <c r="G392" s="215"/>
      <c r="H392" s="220">
        <f>J392-F392</f>
        <v>0</v>
      </c>
      <c r="I392" s="215"/>
      <c r="J392" s="229">
        <v>93662</v>
      </c>
      <c r="K392" s="215"/>
      <c r="L392" s="231">
        <v>98116</v>
      </c>
      <c r="M392" s="224"/>
      <c r="N392" s="224"/>
      <c r="O392" s="224"/>
      <c r="P392" s="224"/>
      <c r="Q392" s="224"/>
      <c r="R392" s="224"/>
      <c r="S392" s="224"/>
      <c r="T392" s="224"/>
    </row>
    <row r="393" spans="1:22">
      <c r="A393" s="225" t="s">
        <v>340</v>
      </c>
      <c r="B393" s="214"/>
      <c r="C393" s="215"/>
      <c r="D393" s="226"/>
      <c r="E393" s="215"/>
      <c r="F393" s="226"/>
      <c r="G393" s="215"/>
      <c r="H393" s="226"/>
      <c r="I393" s="215"/>
      <c r="J393" s="226"/>
      <c r="K393" s="215"/>
      <c r="L393" s="228"/>
      <c r="M393" s="224"/>
      <c r="N393" s="224"/>
      <c r="O393" s="224"/>
      <c r="P393" s="224"/>
      <c r="Q393" s="224"/>
      <c r="R393" s="224"/>
      <c r="S393" s="224"/>
      <c r="T393" s="224"/>
    </row>
    <row r="394" spans="1:22">
      <c r="A394" s="219" t="s">
        <v>108</v>
      </c>
      <c r="B394" s="214" t="s">
        <v>109</v>
      </c>
      <c r="C394" s="215"/>
      <c r="D394" s="226">
        <v>127785.57</v>
      </c>
      <c r="E394" s="215"/>
      <c r="F394" s="226">
        <v>67436.64</v>
      </c>
      <c r="G394" s="215"/>
      <c r="H394" s="220">
        <f>J394-F394</f>
        <v>67436.64</v>
      </c>
      <c r="I394" s="215"/>
      <c r="J394" s="226">
        <v>134873.28</v>
      </c>
      <c r="K394" s="215"/>
      <c r="L394" s="228">
        <v>143867</v>
      </c>
      <c r="M394" s="224"/>
      <c r="N394" s="224"/>
      <c r="O394" s="224"/>
      <c r="P394" s="224"/>
      <c r="Q394" s="224"/>
      <c r="R394" s="224"/>
      <c r="S394" s="224"/>
      <c r="T394" s="224"/>
    </row>
    <row r="395" spans="1:22">
      <c r="A395" s="219" t="s">
        <v>110</v>
      </c>
      <c r="B395" s="214" t="s">
        <v>111</v>
      </c>
      <c r="C395" s="215"/>
      <c r="D395" s="229">
        <v>2100</v>
      </c>
      <c r="E395" s="215"/>
      <c r="F395" s="229">
        <v>2200</v>
      </c>
      <c r="G395" s="215"/>
      <c r="H395" s="220">
        <f>J395-F395</f>
        <v>2600</v>
      </c>
      <c r="I395" s="215"/>
      <c r="J395" s="229">
        <v>4800</v>
      </c>
      <c r="K395" s="215"/>
      <c r="L395" s="231">
        <v>4800</v>
      </c>
      <c r="M395" s="224"/>
      <c r="N395" s="224"/>
      <c r="O395" s="224"/>
      <c r="P395" s="224"/>
      <c r="Q395" s="224"/>
      <c r="R395" s="224"/>
      <c r="S395" s="224"/>
      <c r="T395" s="224"/>
    </row>
    <row r="396" spans="1:22">
      <c r="A396" s="219" t="s">
        <v>112</v>
      </c>
      <c r="B396" s="214" t="s">
        <v>113</v>
      </c>
      <c r="C396" s="215"/>
      <c r="D396" s="229">
        <v>21182.88</v>
      </c>
      <c r="E396" s="215"/>
      <c r="F396" s="229">
        <v>14049.3</v>
      </c>
      <c r="G396" s="215"/>
      <c r="H396" s="220">
        <f>J396-F396</f>
        <v>14049.3</v>
      </c>
      <c r="I396" s="215"/>
      <c r="J396" s="229">
        <v>28098.6</v>
      </c>
      <c r="K396" s="215"/>
      <c r="L396" s="231">
        <v>29972</v>
      </c>
      <c r="M396" s="224"/>
      <c r="N396" s="224"/>
      <c r="O396" s="224"/>
      <c r="P396" s="224"/>
      <c r="Q396" s="224"/>
      <c r="R396" s="224"/>
      <c r="S396" s="224"/>
      <c r="T396" s="224"/>
    </row>
    <row r="397" spans="1:22">
      <c r="A397" s="219" t="s">
        <v>114</v>
      </c>
      <c r="B397" s="214" t="s">
        <v>115</v>
      </c>
      <c r="C397" s="215"/>
      <c r="D397" s="229">
        <v>2100</v>
      </c>
      <c r="E397" s="215"/>
      <c r="F397" s="229">
        <v>1200</v>
      </c>
      <c r="G397" s="215"/>
      <c r="H397" s="220">
        <f>J397-F397</f>
        <v>1200</v>
      </c>
      <c r="I397" s="215"/>
      <c r="J397" s="229">
        <v>2400</v>
      </c>
      <c r="K397" s="215"/>
      <c r="L397" s="231">
        <v>2400</v>
      </c>
      <c r="M397" s="224"/>
      <c r="N397" s="224"/>
      <c r="O397" s="224"/>
      <c r="P397" s="224"/>
      <c r="Q397" s="224"/>
      <c r="R397" s="224"/>
      <c r="S397" s="224"/>
      <c r="T397" s="224"/>
    </row>
    <row r="398" spans="1:22">
      <c r="A398" s="225" t="s">
        <v>359</v>
      </c>
      <c r="B398" s="214"/>
      <c r="C398" s="221"/>
      <c r="D398" s="226"/>
      <c r="E398" s="215"/>
      <c r="F398" s="226"/>
      <c r="G398" s="215"/>
      <c r="H398" s="226"/>
      <c r="I398" s="215"/>
      <c r="J398" s="226"/>
      <c r="K398" s="215"/>
      <c r="L398" s="228"/>
      <c r="M398" s="224"/>
      <c r="N398" s="224"/>
      <c r="O398" s="224"/>
      <c r="P398" s="224"/>
      <c r="Q398" s="224"/>
      <c r="R398" s="224"/>
      <c r="S398" s="224"/>
      <c r="T398" s="224"/>
    </row>
    <row r="399" spans="1:22">
      <c r="A399" s="238" t="s">
        <v>360</v>
      </c>
      <c r="B399" s="214" t="s">
        <v>117</v>
      </c>
      <c r="C399" s="215"/>
      <c r="D399" s="220">
        <v>0</v>
      </c>
      <c r="E399" s="215"/>
      <c r="F399" s="220">
        <v>0</v>
      </c>
      <c r="G399" s="215"/>
      <c r="H399" s="220">
        <v>0</v>
      </c>
      <c r="I399" s="215"/>
      <c r="J399" s="220">
        <v>1102967.6</v>
      </c>
      <c r="K399" s="215"/>
      <c r="L399" s="223">
        <v>0</v>
      </c>
      <c r="M399" s="224"/>
      <c r="N399" s="224"/>
      <c r="O399" s="224"/>
      <c r="P399" s="224"/>
      <c r="Q399" s="224"/>
      <c r="R399" s="224"/>
      <c r="S399" s="224"/>
      <c r="T399" s="224"/>
    </row>
    <row r="400" spans="1:22" customHeight="1" ht="15.75">
      <c r="A400" s="219" t="s">
        <v>361</v>
      </c>
      <c r="B400" s="214" t="s">
        <v>119</v>
      </c>
      <c r="C400" s="215"/>
      <c r="D400" s="239">
        <v>0</v>
      </c>
      <c r="E400" s="215"/>
      <c r="F400" s="239">
        <v>0</v>
      </c>
      <c r="G400" s="215"/>
      <c r="H400" s="239">
        <v>0</v>
      </c>
      <c r="I400" s="215"/>
      <c r="J400" s="239">
        <v>0</v>
      </c>
      <c r="K400" s="215"/>
      <c r="L400" s="257">
        <v>14000</v>
      </c>
      <c r="M400" s="224"/>
      <c r="N400" s="224"/>
      <c r="O400" s="224"/>
      <c r="P400" s="224"/>
      <c r="Q400" s="224"/>
      <c r="R400" s="224"/>
      <c r="S400" s="224"/>
      <c r="T400" s="224"/>
    </row>
    <row r="401" spans="1:22" customHeight="1" ht="15.75">
      <c r="A401" s="242" t="s">
        <v>120</v>
      </c>
      <c r="B401" s="243"/>
      <c r="C401" s="244" t="s">
        <v>23</v>
      </c>
      <c r="D401" s="245">
        <f>SUM(D382:D400)</f>
        <v>1647372.2</v>
      </c>
      <c r="E401" s="246" t="s">
        <v>23</v>
      </c>
      <c r="F401" s="245">
        <f>SUM(F382:F400)</f>
        <v>860119.94</v>
      </c>
      <c r="G401" s="246" t="s">
        <v>23</v>
      </c>
      <c r="H401" s="245">
        <f>SUM(H382:H400)</f>
        <v>886519.94</v>
      </c>
      <c r="I401" s="246" t="s">
        <v>23</v>
      </c>
      <c r="J401" s="245">
        <f>SUM(J382:J400)</f>
        <v>2849607.48</v>
      </c>
      <c r="K401" s="246" t="s">
        <v>23</v>
      </c>
      <c r="L401" s="247">
        <f>SUM(L382:L400)</f>
        <v>1881034</v>
      </c>
      <c r="M401" s="248"/>
      <c r="N401" s="248"/>
      <c r="O401" s="248"/>
      <c r="P401" s="248"/>
      <c r="Q401" s="248"/>
      <c r="R401" s="248"/>
      <c r="S401" s="248"/>
      <c r="T401" s="248"/>
    </row>
    <row r="405" spans="1:22">
      <c r="J405" s="215"/>
    </row>
    <row r="408" spans="1:22">
      <c r="A408" s="273" t="s">
        <v>346</v>
      </c>
      <c r="B408" s="273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4"/>
      <c r="N408" s="274"/>
      <c r="O408" s="274"/>
      <c r="P408" s="274"/>
      <c r="Q408" s="274"/>
      <c r="R408" s="274"/>
      <c r="S408" s="274"/>
      <c r="T408" s="274"/>
    </row>
    <row r="410" spans="1:22" customHeight="1" ht="15.75">
      <c r="A410" s="183" t="s">
        <v>347</v>
      </c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4"/>
      <c r="N410" s="184"/>
      <c r="O410" s="184"/>
      <c r="P410" s="184"/>
      <c r="Q410" s="184"/>
      <c r="R410" s="184"/>
      <c r="S410" s="184"/>
      <c r="T410" s="184"/>
    </row>
    <row r="411" spans="1:22">
      <c r="A411" s="185" t="s">
        <v>348</v>
      </c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6"/>
      <c r="N411" s="186"/>
      <c r="O411" s="186"/>
      <c r="P411" s="186"/>
      <c r="Q411" s="186"/>
      <c r="R411" s="186"/>
      <c r="S411" s="186"/>
      <c r="T411" s="186"/>
    </row>
    <row r="413" spans="1:22">
      <c r="A413" s="187" t="s">
        <v>387</v>
      </c>
    </row>
    <row r="414" spans="1:22" customHeight="1" ht="15.75"/>
    <row r="415" spans="1:22">
      <c r="A415" s="189"/>
      <c r="B415" s="190"/>
      <c r="C415" s="191" t="s">
        <v>350</v>
      </c>
      <c r="D415" s="192"/>
      <c r="E415" s="193" t="s">
        <v>351</v>
      </c>
      <c r="F415" s="194"/>
      <c r="G415" s="194"/>
      <c r="H415" s="194"/>
      <c r="I415" s="194"/>
      <c r="J415" s="195"/>
      <c r="K415" s="191" t="s">
        <v>352</v>
      </c>
      <c r="L415" s="196"/>
      <c r="M415" s="186"/>
      <c r="N415" s="186"/>
      <c r="O415" s="186"/>
      <c r="P415" s="186"/>
      <c r="Q415" s="186"/>
      <c r="R415" s="186"/>
      <c r="S415" s="186"/>
      <c r="T415" s="186"/>
    </row>
    <row r="416" spans="1:22">
      <c r="A416" s="197" t="s">
        <v>353</v>
      </c>
      <c r="B416" s="198" t="s">
        <v>354</v>
      </c>
      <c r="C416" s="199">
        <v>2023</v>
      </c>
      <c r="D416" s="200"/>
      <c r="E416" s="201" t="s">
        <v>11</v>
      </c>
      <c r="F416" s="202"/>
      <c r="G416" s="201" t="s">
        <v>355</v>
      </c>
      <c r="H416" s="202"/>
      <c r="I416" s="203" t="s">
        <v>356</v>
      </c>
      <c r="J416" s="204"/>
      <c r="K416" s="199">
        <v>2025</v>
      </c>
      <c r="L416" s="205"/>
      <c r="M416" s="186"/>
      <c r="N416" s="186"/>
      <c r="O416" s="186"/>
      <c r="P416" s="186"/>
      <c r="Q416" s="186"/>
      <c r="R416" s="186"/>
      <c r="S416" s="186"/>
      <c r="T416" s="186"/>
    </row>
    <row r="417" spans="1:22" customHeight="1" ht="15.75">
      <c r="A417" s="206"/>
      <c r="B417" s="207"/>
      <c r="C417" s="208" t="s">
        <v>17</v>
      </c>
      <c r="D417" s="209"/>
      <c r="E417" s="208" t="s">
        <v>17</v>
      </c>
      <c r="F417" s="209"/>
      <c r="G417" s="208" t="s">
        <v>18</v>
      </c>
      <c r="H417" s="209"/>
      <c r="I417" s="210"/>
      <c r="J417" s="211"/>
      <c r="K417" s="208" t="s">
        <v>357</v>
      </c>
      <c r="L417" s="212"/>
      <c r="M417" s="186"/>
      <c r="N417" s="186"/>
      <c r="O417" s="186"/>
      <c r="P417" s="186"/>
      <c r="Q417" s="186"/>
      <c r="R417" s="186"/>
      <c r="S417" s="186"/>
      <c r="T417" s="186"/>
    </row>
    <row r="418" spans="1:22">
      <c r="A418" s="225" t="s">
        <v>121</v>
      </c>
      <c r="B418" s="254"/>
      <c r="C418" s="215"/>
      <c r="D418" s="216"/>
      <c r="E418" s="215"/>
      <c r="F418" s="216"/>
      <c r="G418" s="215"/>
      <c r="H418" s="216"/>
      <c r="I418" s="215"/>
      <c r="J418" s="216"/>
      <c r="K418" s="215"/>
      <c r="L418" s="217"/>
      <c r="M418" s="218"/>
      <c r="N418" s="218"/>
      <c r="O418" s="218"/>
      <c r="P418" s="218"/>
      <c r="Q418" s="218"/>
      <c r="R418" s="218"/>
      <c r="S418" s="218"/>
      <c r="T418" s="218"/>
    </row>
    <row r="419" spans="1:22">
      <c r="A419" s="219" t="s">
        <v>122</v>
      </c>
      <c r="B419" s="214" t="s">
        <v>123</v>
      </c>
      <c r="C419" s="215" t="s">
        <v>23</v>
      </c>
      <c r="D419" s="226">
        <v>63368.36</v>
      </c>
      <c r="E419" s="215" t="s">
        <v>23</v>
      </c>
      <c r="F419" s="226">
        <v>61478.82</v>
      </c>
      <c r="G419" s="215" t="s">
        <v>23</v>
      </c>
      <c r="H419" s="226">
        <f>J419-F419</f>
        <v>23871.18</v>
      </c>
      <c r="I419" s="215" t="s">
        <v>23</v>
      </c>
      <c r="J419" s="226">
        <v>85350</v>
      </c>
      <c r="K419" s="215" t="s">
        <v>23</v>
      </c>
      <c r="L419" s="228">
        <v>122350</v>
      </c>
      <c r="M419" s="224"/>
      <c r="N419" s="224"/>
      <c r="O419" s="224"/>
      <c r="P419" s="224"/>
      <c r="Q419" s="224"/>
      <c r="R419" s="224"/>
      <c r="S419" s="224"/>
      <c r="T419" s="224"/>
    </row>
    <row r="420" spans="1:22">
      <c r="A420" s="219" t="s">
        <v>126</v>
      </c>
      <c r="B420" s="214" t="s">
        <v>127</v>
      </c>
      <c r="C420" s="215"/>
      <c r="D420" s="229">
        <v>41367</v>
      </c>
      <c r="E420" s="215"/>
      <c r="F420" s="229">
        <v>53792.08</v>
      </c>
      <c r="G420" s="215"/>
      <c r="H420" s="229">
        <f>J420-F420</f>
        <v>31207.92</v>
      </c>
      <c r="I420" s="215"/>
      <c r="J420" s="229">
        <v>85000</v>
      </c>
      <c r="K420" s="215"/>
      <c r="L420" s="231">
        <v>84000</v>
      </c>
      <c r="M420" s="224"/>
      <c r="N420" s="224"/>
      <c r="O420" s="224"/>
      <c r="P420" s="224"/>
      <c r="Q420" s="224"/>
      <c r="R420" s="224"/>
      <c r="S420" s="224"/>
      <c r="T420" s="224"/>
    </row>
    <row r="421" spans="1:22">
      <c r="A421" s="219" t="s">
        <v>144</v>
      </c>
      <c r="B421" s="214" t="s">
        <v>145</v>
      </c>
      <c r="C421" s="215"/>
      <c r="D421" s="229">
        <v>60000</v>
      </c>
      <c r="E421" s="215"/>
      <c r="F421" s="229">
        <v>30000</v>
      </c>
      <c r="G421" s="215"/>
      <c r="H421" s="229">
        <f>J421-F421</f>
        <v>30000</v>
      </c>
      <c r="I421" s="215"/>
      <c r="J421" s="229">
        <v>60000</v>
      </c>
      <c r="K421" s="215"/>
      <c r="L421" s="231">
        <v>24000</v>
      </c>
      <c r="M421" s="224"/>
      <c r="N421" s="224"/>
      <c r="O421" s="224"/>
      <c r="P421" s="224"/>
      <c r="Q421" s="224"/>
      <c r="R421" s="224"/>
      <c r="S421" s="224"/>
      <c r="T421" s="224"/>
    </row>
    <row r="422" spans="1:22">
      <c r="A422" s="219" t="s">
        <v>146</v>
      </c>
      <c r="B422" s="214" t="s">
        <v>147</v>
      </c>
      <c r="C422" s="215"/>
      <c r="D422" s="229">
        <v>24685.27</v>
      </c>
      <c r="E422" s="215"/>
      <c r="F422" s="229">
        <v>10109.87</v>
      </c>
      <c r="G422" s="215"/>
      <c r="H422" s="229">
        <f>J422-F422</f>
        <v>14890.13</v>
      </c>
      <c r="I422" s="215"/>
      <c r="J422" s="229">
        <v>25000</v>
      </c>
      <c r="K422" s="215"/>
      <c r="L422" s="231">
        <v>25000</v>
      </c>
      <c r="M422" s="224"/>
      <c r="N422" s="224"/>
      <c r="O422" s="224"/>
      <c r="P422" s="224"/>
      <c r="Q422" s="224"/>
      <c r="R422" s="224"/>
      <c r="S422" s="224"/>
      <c r="T422" s="224"/>
    </row>
    <row r="423" spans="1:22">
      <c r="A423" s="219" t="s">
        <v>156</v>
      </c>
      <c r="B423" s="214" t="s">
        <v>157</v>
      </c>
      <c r="C423" s="215"/>
      <c r="D423" s="229">
        <v>1000</v>
      </c>
      <c r="E423" s="215"/>
      <c r="F423" s="229">
        <v>1200</v>
      </c>
      <c r="G423" s="215"/>
      <c r="H423" s="229">
        <f>J423-F423</f>
        <v>8800</v>
      </c>
      <c r="I423" s="215"/>
      <c r="J423" s="229">
        <v>10000</v>
      </c>
      <c r="K423" s="215"/>
      <c r="L423" s="231">
        <v>10000</v>
      </c>
      <c r="M423" s="224"/>
      <c r="N423" s="224"/>
      <c r="O423" s="224"/>
      <c r="P423" s="224"/>
      <c r="Q423" s="224"/>
      <c r="R423" s="224"/>
      <c r="S423" s="224"/>
      <c r="T423" s="224"/>
    </row>
    <row r="424" spans="1:22" customHeight="1" ht="15.75">
      <c r="A424" s="219" t="s">
        <v>169</v>
      </c>
      <c r="B424" s="214" t="s">
        <v>170</v>
      </c>
      <c r="C424" s="215"/>
      <c r="D424" s="239">
        <v>23500</v>
      </c>
      <c r="E424" s="215"/>
      <c r="F424" s="239">
        <v>0</v>
      </c>
      <c r="G424" s="215"/>
      <c r="H424" s="279">
        <f>J424-F424</f>
        <v>5000</v>
      </c>
      <c r="I424" s="215"/>
      <c r="J424" s="239">
        <v>5000</v>
      </c>
      <c r="K424" s="215"/>
      <c r="L424" s="257">
        <v>5000</v>
      </c>
      <c r="M424" s="224"/>
      <c r="N424" s="224"/>
      <c r="O424" s="224"/>
      <c r="P424" s="224"/>
      <c r="Q424" s="224"/>
      <c r="R424" s="224"/>
      <c r="S424" s="224"/>
      <c r="T424" s="224"/>
    </row>
    <row r="425" spans="1:22" customHeight="1" ht="15.75">
      <c r="A425" s="225" t="s">
        <v>200</v>
      </c>
      <c r="B425" s="254"/>
      <c r="C425" s="258" t="s">
        <v>23</v>
      </c>
      <c r="D425" s="245">
        <f>SUM(D419:D424)</f>
        <v>213920.63</v>
      </c>
      <c r="E425" s="258" t="s">
        <v>23</v>
      </c>
      <c r="F425" s="245">
        <f>SUM(F419:F424)</f>
        <v>156580.77</v>
      </c>
      <c r="G425" s="258" t="s">
        <v>23</v>
      </c>
      <c r="H425" s="245">
        <f>SUM(H419:H424)</f>
        <v>113769.23</v>
      </c>
      <c r="I425" s="258" t="s">
        <v>23</v>
      </c>
      <c r="J425" s="245">
        <f>SUM(J419:J424)</f>
        <v>270350</v>
      </c>
      <c r="K425" s="258" t="s">
        <v>23</v>
      </c>
      <c r="L425" s="245">
        <f>SUM(L419:L424)</f>
        <v>270350</v>
      </c>
      <c r="M425" s="261"/>
      <c r="N425" s="261"/>
      <c r="O425" s="261"/>
      <c r="P425" s="261"/>
      <c r="Q425" s="261"/>
      <c r="R425" s="248"/>
      <c r="S425" s="248"/>
      <c r="T425" s="248"/>
    </row>
    <row r="426" spans="1:22">
      <c r="A426" s="225" t="s">
        <v>201</v>
      </c>
      <c r="B426" s="254"/>
      <c r="C426" s="215"/>
      <c r="D426" s="280"/>
      <c r="E426" s="215"/>
      <c r="F426" s="280"/>
      <c r="G426" s="215"/>
      <c r="H426" s="280"/>
      <c r="I426" s="215"/>
      <c r="J426" s="280"/>
      <c r="K426" s="215"/>
      <c r="L426" s="281"/>
      <c r="M426" s="224"/>
      <c r="N426" s="224"/>
      <c r="O426" s="224"/>
      <c r="P426" s="224"/>
      <c r="Q426" s="224"/>
      <c r="R426" s="224"/>
      <c r="S426" s="224"/>
      <c r="T426" s="224"/>
    </row>
    <row r="427" spans="1:22" customHeight="1" ht="15.75">
      <c r="A427" s="219" t="s">
        <v>367</v>
      </c>
      <c r="B427" s="214" t="s">
        <v>209</v>
      </c>
      <c r="C427" s="215" t="s">
        <v>23</v>
      </c>
      <c r="D427" s="226">
        <v>69000</v>
      </c>
      <c r="E427" s="215" t="s">
        <v>23</v>
      </c>
      <c r="F427" s="226">
        <v>0</v>
      </c>
      <c r="G427" s="215" t="s">
        <v>23</v>
      </c>
      <c r="H427" s="226">
        <v>0</v>
      </c>
      <c r="I427" s="215" t="s">
        <v>23</v>
      </c>
      <c r="J427" s="226">
        <v>0</v>
      </c>
      <c r="K427" s="215" t="s">
        <v>23</v>
      </c>
      <c r="L427" s="228">
        <v>100000</v>
      </c>
      <c r="M427" s="224"/>
      <c r="N427" s="224"/>
      <c r="O427" s="224"/>
      <c r="P427" s="224"/>
      <c r="Q427" s="224"/>
      <c r="R427" s="224"/>
      <c r="S427" s="224"/>
      <c r="T427" s="224"/>
    </row>
    <row r="428" spans="1:22" customHeight="1" ht="15.75">
      <c r="A428" s="225" t="s">
        <v>214</v>
      </c>
      <c r="B428" s="214"/>
      <c r="C428" s="258" t="s">
        <v>23</v>
      </c>
      <c r="D428" s="282">
        <f>SUM(D427)</f>
        <v>69000</v>
      </c>
      <c r="E428" s="258" t="s">
        <v>23</v>
      </c>
      <c r="F428" s="282">
        <f>SUM(F427)</f>
        <v>0</v>
      </c>
      <c r="G428" s="258" t="s">
        <v>23</v>
      </c>
      <c r="H428" s="282">
        <f>SUM(H427)</f>
        <v>0</v>
      </c>
      <c r="I428" s="258" t="s">
        <v>23</v>
      </c>
      <c r="J428" s="282">
        <f>SUM(J427)</f>
        <v>0</v>
      </c>
      <c r="K428" s="258" t="s">
        <v>23</v>
      </c>
      <c r="L428" s="283">
        <f>SUM(L427)</f>
        <v>100000</v>
      </c>
      <c r="M428" s="248"/>
      <c r="N428" s="248"/>
      <c r="O428" s="248"/>
      <c r="P428" s="248"/>
      <c r="Q428" s="248"/>
      <c r="R428" s="248"/>
      <c r="S428" s="248"/>
      <c r="T428" s="248"/>
    </row>
    <row r="429" spans="1:22" customHeight="1" ht="15.75">
      <c r="A429" s="284" t="s">
        <v>370</v>
      </c>
      <c r="B429" s="285"/>
      <c r="C429" s="286" t="s">
        <v>23</v>
      </c>
      <c r="D429" s="287">
        <f>D401+D425+D428</f>
        <v>1930292.83</v>
      </c>
      <c r="E429" s="288" t="s">
        <v>23</v>
      </c>
      <c r="F429" s="287">
        <f>F401+F425+F428</f>
        <v>1016700.71</v>
      </c>
      <c r="G429" s="288" t="s">
        <v>23</v>
      </c>
      <c r="H429" s="287">
        <f>H401+H425+H428</f>
        <v>1000289.17</v>
      </c>
      <c r="I429" s="288" t="s">
        <v>23</v>
      </c>
      <c r="J429" s="287">
        <f>J401+J425+J428</f>
        <v>3119957.48</v>
      </c>
      <c r="K429" s="288" t="s">
        <v>23</v>
      </c>
      <c r="L429" s="289">
        <f>L401+L425+L428</f>
        <v>2251384</v>
      </c>
      <c r="M429" s="248"/>
      <c r="N429" s="248"/>
      <c r="O429" s="248"/>
      <c r="P429" s="248"/>
      <c r="Q429" s="248"/>
      <c r="R429" s="248"/>
      <c r="S429" s="248"/>
      <c r="T429" s="248"/>
    </row>
    <row r="430" spans="1:22" customHeight="1" ht="15.75"/>
    <row r="431" spans="1:22">
      <c r="A431" s="215" t="s">
        <v>371</v>
      </c>
      <c r="B431" s="215" t="s">
        <v>372</v>
      </c>
      <c r="C431" s="215"/>
      <c r="D431" s="215"/>
      <c r="E431" s="215"/>
      <c r="F431" s="215"/>
      <c r="G431" s="215" t="s">
        <v>373</v>
      </c>
      <c r="H431" s="215"/>
    </row>
    <row r="432" spans="1:22">
      <c r="A432" s="215"/>
      <c r="B432" s="215"/>
      <c r="C432" s="215"/>
      <c r="D432" s="215"/>
      <c r="E432" s="215"/>
      <c r="F432" s="215"/>
      <c r="G432" s="215"/>
      <c r="H432" s="215"/>
    </row>
    <row r="434" spans="1:22">
      <c r="A434" s="268" t="s">
        <v>388</v>
      </c>
      <c r="B434" s="269" t="s">
        <v>374</v>
      </c>
      <c r="C434" s="269"/>
      <c r="D434" s="269"/>
      <c r="E434" s="269"/>
      <c r="F434" s="269"/>
      <c r="G434" s="270"/>
      <c r="H434" s="269" t="s">
        <v>326</v>
      </c>
      <c r="I434" s="269"/>
      <c r="J434" s="269"/>
      <c r="K434" s="269"/>
      <c r="L434" s="269"/>
      <c r="M434" s="268"/>
      <c r="N434" s="268"/>
      <c r="O434" s="268"/>
      <c r="P434" s="268"/>
      <c r="Q434" s="268"/>
      <c r="R434" s="268"/>
      <c r="S434" s="268"/>
      <c r="T434" s="268"/>
    </row>
    <row r="435" spans="1:22">
      <c r="A435" s="271" t="s">
        <v>389</v>
      </c>
      <c r="B435" s="272" t="s">
        <v>375</v>
      </c>
      <c r="C435" s="272"/>
      <c r="D435" s="272"/>
      <c r="E435" s="272"/>
      <c r="F435" s="272"/>
      <c r="G435" s="215"/>
      <c r="H435" s="272" t="s">
        <v>327</v>
      </c>
      <c r="I435" s="272"/>
      <c r="J435" s="272"/>
      <c r="K435" s="272"/>
      <c r="L435" s="272"/>
      <c r="M435" s="271"/>
      <c r="N435" s="271"/>
      <c r="O435" s="271"/>
      <c r="P435" s="271"/>
      <c r="Q435" s="271"/>
      <c r="R435" s="271"/>
      <c r="S435" s="271"/>
      <c r="T435" s="271"/>
    </row>
    <row r="440" spans="1:22">
      <c r="J440" s="215"/>
    </row>
    <row r="445" spans="1:22">
      <c r="A445" s="273" t="s">
        <v>346</v>
      </c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4"/>
      <c r="N445" s="274"/>
      <c r="O445" s="274"/>
      <c r="P445" s="274"/>
      <c r="Q445" s="274"/>
      <c r="R445" s="274"/>
      <c r="S445" s="274"/>
      <c r="T445" s="274"/>
    </row>
    <row r="447" spans="1:22" customHeight="1" ht="15.75">
      <c r="A447" s="183" t="s">
        <v>347</v>
      </c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4"/>
      <c r="N447" s="184"/>
      <c r="O447" s="184"/>
      <c r="P447" s="184"/>
      <c r="Q447" s="184"/>
      <c r="R447" s="184"/>
      <c r="S447" s="184"/>
      <c r="T447" s="184"/>
    </row>
    <row r="448" spans="1:22">
      <c r="A448" s="185" t="s">
        <v>348</v>
      </c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6"/>
      <c r="N448" s="186"/>
      <c r="O448" s="186"/>
      <c r="P448" s="186"/>
      <c r="Q448" s="186"/>
      <c r="R448" s="186"/>
      <c r="S448" s="186"/>
      <c r="T448" s="186"/>
    </row>
    <row r="450" spans="1:22">
      <c r="A450" s="187" t="s">
        <v>390</v>
      </c>
    </row>
    <row r="451" spans="1:22" customHeight="1" ht="15.75"/>
    <row r="452" spans="1:22">
      <c r="A452" s="189"/>
      <c r="B452" s="190"/>
      <c r="C452" s="191" t="s">
        <v>350</v>
      </c>
      <c r="D452" s="192"/>
      <c r="E452" s="193" t="s">
        <v>351</v>
      </c>
      <c r="F452" s="194"/>
      <c r="G452" s="194"/>
      <c r="H452" s="194"/>
      <c r="I452" s="194"/>
      <c r="J452" s="195"/>
      <c r="K452" s="191" t="s">
        <v>352</v>
      </c>
      <c r="L452" s="196"/>
      <c r="M452" s="186"/>
      <c r="N452" s="186"/>
      <c r="O452" s="186"/>
      <c r="P452" s="186"/>
      <c r="Q452" s="186"/>
      <c r="R452" s="186"/>
      <c r="S452" s="186"/>
      <c r="T452" s="186"/>
    </row>
    <row r="453" spans="1:22">
      <c r="A453" s="197" t="s">
        <v>353</v>
      </c>
      <c r="B453" s="198" t="s">
        <v>354</v>
      </c>
      <c r="C453" s="199">
        <v>2023</v>
      </c>
      <c r="D453" s="200"/>
      <c r="E453" s="201" t="s">
        <v>11</v>
      </c>
      <c r="F453" s="202"/>
      <c r="G453" s="201" t="s">
        <v>355</v>
      </c>
      <c r="H453" s="202"/>
      <c r="I453" s="203" t="s">
        <v>356</v>
      </c>
      <c r="J453" s="204"/>
      <c r="K453" s="199">
        <v>2025</v>
      </c>
      <c r="L453" s="205"/>
      <c r="M453" s="186"/>
      <c r="N453" s="186"/>
      <c r="O453" s="186"/>
      <c r="P453" s="186"/>
      <c r="Q453" s="186"/>
      <c r="R453" s="186"/>
      <c r="S453" s="186"/>
      <c r="T453" s="186"/>
    </row>
    <row r="454" spans="1:22" customHeight="1" ht="15.75">
      <c r="A454" s="206"/>
      <c r="B454" s="207"/>
      <c r="C454" s="208" t="s">
        <v>17</v>
      </c>
      <c r="D454" s="209"/>
      <c r="E454" s="208" t="s">
        <v>17</v>
      </c>
      <c r="F454" s="209"/>
      <c r="G454" s="208" t="s">
        <v>18</v>
      </c>
      <c r="H454" s="209"/>
      <c r="I454" s="210"/>
      <c r="J454" s="211"/>
      <c r="K454" s="208" t="s">
        <v>357</v>
      </c>
      <c r="L454" s="212"/>
      <c r="M454" s="186"/>
      <c r="N454" s="186"/>
      <c r="O454" s="186"/>
      <c r="P454" s="186"/>
      <c r="Q454" s="186"/>
      <c r="R454" s="186"/>
      <c r="S454" s="186"/>
      <c r="T454" s="186"/>
    </row>
    <row r="455" spans="1:22">
      <c r="A455" s="213" t="s">
        <v>80</v>
      </c>
      <c r="B455" s="214"/>
      <c r="C455" s="215"/>
      <c r="D455" s="216"/>
      <c r="E455" s="215"/>
      <c r="F455" s="216"/>
      <c r="G455" s="215"/>
      <c r="H455" s="216"/>
      <c r="I455" s="215"/>
      <c r="J455" s="216"/>
      <c r="K455" s="215"/>
      <c r="L455" s="217"/>
      <c r="M455" s="218"/>
      <c r="N455" s="218"/>
      <c r="O455" s="218"/>
      <c r="P455" s="218"/>
      <c r="Q455" s="218"/>
      <c r="R455" s="218"/>
      <c r="S455" s="218"/>
      <c r="T455" s="218"/>
    </row>
    <row r="456" spans="1:22">
      <c r="A456" s="219" t="s">
        <v>82</v>
      </c>
      <c r="B456" s="214" t="s">
        <v>83</v>
      </c>
      <c r="C456" s="215" t="s">
        <v>23</v>
      </c>
      <c r="D456" s="220">
        <v>1319304</v>
      </c>
      <c r="E456" s="215" t="s">
        <v>23</v>
      </c>
      <c r="F456" s="220">
        <v>659652</v>
      </c>
      <c r="G456" s="215" t="s">
        <v>23</v>
      </c>
      <c r="H456" s="220">
        <f>J456-F456</f>
        <v>661273</v>
      </c>
      <c r="I456" s="215" t="s">
        <v>23</v>
      </c>
      <c r="J456" s="220">
        <v>1320925</v>
      </c>
      <c r="K456" s="215" t="s">
        <v>23</v>
      </c>
      <c r="L456" s="223">
        <v>1405359</v>
      </c>
      <c r="M456" s="224"/>
      <c r="N456" s="224"/>
      <c r="O456" s="224"/>
      <c r="P456" s="224"/>
      <c r="Q456" s="224"/>
      <c r="R456" s="224"/>
      <c r="S456" s="224"/>
      <c r="T456" s="224"/>
    </row>
    <row r="457" spans="1:22">
      <c r="A457" s="225" t="s">
        <v>338</v>
      </c>
      <c r="B457" s="214"/>
      <c r="C457" s="215"/>
      <c r="D457" s="226"/>
      <c r="E457" s="215"/>
      <c r="F457" s="226"/>
      <c r="G457" s="215"/>
      <c r="H457" s="226"/>
      <c r="I457" s="215"/>
      <c r="J457" s="226"/>
      <c r="K457" s="215"/>
      <c r="L457" s="228"/>
      <c r="M457" s="224"/>
      <c r="N457" s="224"/>
      <c r="O457" s="224"/>
      <c r="P457" s="224"/>
      <c r="Q457" s="224"/>
      <c r="R457" s="224"/>
      <c r="S457" s="224"/>
      <c r="T457" s="224"/>
    </row>
    <row r="458" spans="1:22">
      <c r="A458" s="219" t="s">
        <v>84</v>
      </c>
      <c r="B458" s="214" t="s">
        <v>85</v>
      </c>
      <c r="C458" s="215"/>
      <c r="D458" s="226">
        <v>96000</v>
      </c>
      <c r="E458" s="215"/>
      <c r="F458" s="226">
        <v>48000</v>
      </c>
      <c r="G458" s="215"/>
      <c r="H458" s="220">
        <f>J458-F458</f>
        <v>48000</v>
      </c>
      <c r="I458" s="215"/>
      <c r="J458" s="226">
        <v>96000</v>
      </c>
      <c r="K458" s="215"/>
      <c r="L458" s="228">
        <v>96000</v>
      </c>
      <c r="M458" s="224"/>
      <c r="N458" s="224"/>
      <c r="O458" s="224"/>
      <c r="P458" s="224"/>
      <c r="Q458" s="224"/>
      <c r="R458" s="224"/>
      <c r="S458" s="224"/>
      <c r="T458" s="224"/>
    </row>
    <row r="459" spans="1:22">
      <c r="A459" s="219" t="s">
        <v>86</v>
      </c>
      <c r="B459" s="214" t="s">
        <v>87</v>
      </c>
      <c r="C459" s="215"/>
      <c r="D459" s="229">
        <v>72000</v>
      </c>
      <c r="E459" s="215"/>
      <c r="F459" s="229">
        <v>40800</v>
      </c>
      <c r="G459" s="215"/>
      <c r="H459" s="220">
        <f>J459-F459</f>
        <v>40800</v>
      </c>
      <c r="I459" s="215"/>
      <c r="J459" s="229">
        <v>81600</v>
      </c>
      <c r="K459" s="215"/>
      <c r="L459" s="231">
        <v>81600</v>
      </c>
      <c r="M459" s="224"/>
      <c r="N459" s="224"/>
      <c r="O459" s="224"/>
      <c r="P459" s="224"/>
      <c r="Q459" s="224"/>
      <c r="R459" s="224"/>
      <c r="S459" s="224"/>
      <c r="T459" s="224"/>
    </row>
    <row r="460" spans="1:22">
      <c r="A460" s="219" t="s">
        <v>88</v>
      </c>
      <c r="B460" s="214" t="s">
        <v>89</v>
      </c>
      <c r="C460" s="215"/>
      <c r="D460" s="229">
        <v>72000</v>
      </c>
      <c r="E460" s="215"/>
      <c r="F460" s="229">
        <v>40800</v>
      </c>
      <c r="G460" s="215"/>
      <c r="H460" s="220">
        <f>J460-F460</f>
        <v>40800</v>
      </c>
      <c r="I460" s="215"/>
      <c r="J460" s="229">
        <v>81600</v>
      </c>
      <c r="K460" s="215"/>
      <c r="L460" s="231">
        <v>81600</v>
      </c>
      <c r="M460" s="224"/>
      <c r="N460" s="224"/>
      <c r="O460" s="224"/>
      <c r="P460" s="224"/>
      <c r="Q460" s="224"/>
      <c r="R460" s="224"/>
      <c r="S460" s="224"/>
      <c r="T460" s="224"/>
    </row>
    <row r="461" spans="1:22">
      <c r="A461" s="219" t="s">
        <v>90</v>
      </c>
      <c r="B461" s="214" t="s">
        <v>91</v>
      </c>
      <c r="C461" s="215"/>
      <c r="D461" s="229">
        <v>24000</v>
      </c>
      <c r="E461" s="215"/>
      <c r="F461" s="229">
        <v>28000</v>
      </c>
      <c r="G461" s="215"/>
      <c r="H461" s="220">
        <f>J461-F461</f>
        <v>0</v>
      </c>
      <c r="I461" s="215"/>
      <c r="J461" s="229">
        <v>28000</v>
      </c>
      <c r="K461" s="215"/>
      <c r="L461" s="231">
        <v>28000</v>
      </c>
      <c r="M461" s="224"/>
      <c r="N461" s="224"/>
      <c r="O461" s="224"/>
      <c r="P461" s="224"/>
      <c r="Q461" s="224"/>
      <c r="R461" s="224"/>
      <c r="S461" s="224"/>
      <c r="T461" s="224"/>
    </row>
    <row r="462" spans="1:22">
      <c r="A462" s="219" t="s">
        <v>96</v>
      </c>
      <c r="B462" s="214" t="s">
        <v>97</v>
      </c>
      <c r="C462" s="215"/>
      <c r="D462" s="229">
        <v>20000</v>
      </c>
      <c r="E462" s="215"/>
      <c r="F462" s="229">
        <v>0</v>
      </c>
      <c r="G462" s="215"/>
      <c r="H462" s="220">
        <f>J462-F462</f>
        <v>20000</v>
      </c>
      <c r="I462" s="215"/>
      <c r="J462" s="229">
        <v>20000</v>
      </c>
      <c r="K462" s="215"/>
      <c r="L462" s="231">
        <v>20000</v>
      </c>
      <c r="M462" s="224"/>
      <c r="N462" s="224"/>
      <c r="O462" s="224"/>
      <c r="P462" s="224"/>
      <c r="Q462" s="224"/>
      <c r="R462" s="224"/>
      <c r="S462" s="224"/>
      <c r="T462" s="224"/>
    </row>
    <row r="463" spans="1:22">
      <c r="A463" s="219" t="s">
        <v>358</v>
      </c>
      <c r="B463" s="214" t="s">
        <v>99</v>
      </c>
      <c r="C463" s="215"/>
      <c r="D463" s="229">
        <v>60000</v>
      </c>
      <c r="E463" s="215"/>
      <c r="F463" s="229">
        <v>0</v>
      </c>
      <c r="G463" s="215"/>
      <c r="H463" s="220">
        <f>J463-F463</f>
        <v>40000</v>
      </c>
      <c r="I463" s="215"/>
      <c r="J463" s="229">
        <v>40000</v>
      </c>
      <c r="K463" s="215"/>
      <c r="L463" s="231">
        <v>80000</v>
      </c>
      <c r="M463" s="224"/>
      <c r="N463" s="224"/>
      <c r="O463" s="224"/>
      <c r="P463" s="224"/>
      <c r="Q463" s="224"/>
      <c r="R463" s="224"/>
      <c r="S463" s="224"/>
      <c r="T463" s="224"/>
    </row>
    <row r="464" spans="1:22">
      <c r="A464" s="219" t="s">
        <v>102</v>
      </c>
      <c r="B464" s="214" t="s">
        <v>103</v>
      </c>
      <c r="C464" s="215"/>
      <c r="D464" s="229">
        <v>109942</v>
      </c>
      <c r="E464" s="215"/>
      <c r="F464" s="229">
        <v>0</v>
      </c>
      <c r="G464" s="215"/>
      <c r="H464" s="220">
        <f>J464-F464</f>
        <v>110031</v>
      </c>
      <c r="I464" s="215"/>
      <c r="J464" s="229">
        <v>110031</v>
      </c>
      <c r="K464" s="215"/>
      <c r="L464" s="231">
        <v>120337</v>
      </c>
      <c r="M464" s="224"/>
      <c r="N464" s="224"/>
      <c r="O464" s="224"/>
      <c r="P464" s="224"/>
      <c r="Q464" s="224"/>
      <c r="R464" s="224"/>
      <c r="S464" s="224"/>
      <c r="T464" s="224"/>
    </row>
    <row r="465" spans="1:22">
      <c r="A465" s="219" t="s">
        <v>104</v>
      </c>
      <c r="B465" s="214" t="s">
        <v>105</v>
      </c>
      <c r="C465" s="215"/>
      <c r="D465" s="229">
        <v>20000</v>
      </c>
      <c r="E465" s="215"/>
      <c r="F465" s="229">
        <v>0</v>
      </c>
      <c r="G465" s="215"/>
      <c r="H465" s="220">
        <f>J465-F465</f>
        <v>20000</v>
      </c>
      <c r="I465" s="215"/>
      <c r="J465" s="229">
        <v>20000</v>
      </c>
      <c r="K465" s="215"/>
      <c r="L465" s="231">
        <v>20000</v>
      </c>
      <c r="M465" s="224"/>
      <c r="N465" s="224"/>
      <c r="O465" s="224"/>
      <c r="P465" s="224"/>
      <c r="Q465" s="224"/>
      <c r="R465" s="224"/>
      <c r="S465" s="224"/>
      <c r="T465" s="224"/>
    </row>
    <row r="466" spans="1:22">
      <c r="A466" s="219" t="s">
        <v>106</v>
      </c>
      <c r="B466" s="214" t="s">
        <v>107</v>
      </c>
      <c r="C466" s="215"/>
      <c r="D466" s="229">
        <v>109942</v>
      </c>
      <c r="E466" s="215"/>
      <c r="F466" s="229">
        <v>109942</v>
      </c>
      <c r="G466" s="215"/>
      <c r="H466" s="220">
        <f>J466-F466</f>
        <v>0</v>
      </c>
      <c r="I466" s="215"/>
      <c r="J466" s="229">
        <v>109942</v>
      </c>
      <c r="K466" s="215"/>
      <c r="L466" s="231">
        <v>115513</v>
      </c>
      <c r="M466" s="224"/>
      <c r="N466" s="224"/>
      <c r="O466" s="224"/>
      <c r="P466" s="224"/>
      <c r="Q466" s="224"/>
      <c r="R466" s="224"/>
      <c r="S466" s="224"/>
      <c r="T466" s="224"/>
    </row>
    <row r="467" spans="1:22">
      <c r="A467" s="225" t="s">
        <v>340</v>
      </c>
      <c r="B467" s="214"/>
      <c r="C467" s="215"/>
      <c r="D467" s="226"/>
      <c r="E467" s="215"/>
      <c r="F467" s="226"/>
      <c r="G467" s="215"/>
      <c r="H467" s="226"/>
      <c r="I467" s="215"/>
      <c r="J467" s="226"/>
      <c r="K467" s="215"/>
      <c r="L467" s="228"/>
      <c r="M467" s="224"/>
      <c r="N467" s="224"/>
      <c r="O467" s="224"/>
      <c r="P467" s="224"/>
      <c r="Q467" s="224"/>
      <c r="R467" s="224"/>
      <c r="S467" s="224"/>
      <c r="T467" s="224"/>
    </row>
    <row r="468" spans="1:22">
      <c r="A468" s="219" t="s">
        <v>108</v>
      </c>
      <c r="B468" s="214" t="s">
        <v>109</v>
      </c>
      <c r="C468" s="215"/>
      <c r="D468" s="226">
        <v>158316.48</v>
      </c>
      <c r="E468" s="215"/>
      <c r="F468" s="226">
        <v>79158.24</v>
      </c>
      <c r="G468" s="215"/>
      <c r="H468" s="220">
        <f>J468-F468</f>
        <v>79352.76</v>
      </c>
      <c r="I468" s="215"/>
      <c r="J468" s="226">
        <v>158511</v>
      </c>
      <c r="K468" s="215"/>
      <c r="L468" s="228">
        <v>168643</v>
      </c>
      <c r="M468" s="224"/>
      <c r="N468" s="224"/>
      <c r="O468" s="224"/>
      <c r="P468" s="224"/>
      <c r="Q468" s="224"/>
      <c r="R468" s="224"/>
      <c r="S468" s="224"/>
      <c r="T468" s="224"/>
    </row>
    <row r="469" spans="1:22">
      <c r="A469" s="219" t="s">
        <v>110</v>
      </c>
      <c r="B469" s="214" t="s">
        <v>111</v>
      </c>
      <c r="C469" s="215"/>
      <c r="D469" s="229">
        <v>4800</v>
      </c>
      <c r="E469" s="215"/>
      <c r="F469" s="229">
        <v>4400</v>
      </c>
      <c r="G469" s="215"/>
      <c r="H469" s="220">
        <f>J469-F469</f>
        <v>5200</v>
      </c>
      <c r="I469" s="215"/>
      <c r="J469" s="229">
        <v>9600</v>
      </c>
      <c r="K469" s="215"/>
      <c r="L469" s="231">
        <v>9600</v>
      </c>
      <c r="M469" s="224"/>
      <c r="N469" s="224"/>
      <c r="O469" s="224"/>
      <c r="P469" s="224"/>
      <c r="Q469" s="224"/>
      <c r="R469" s="224"/>
      <c r="S469" s="224"/>
      <c r="T469" s="224"/>
    </row>
    <row r="470" spans="1:22">
      <c r="A470" s="219" t="s">
        <v>112</v>
      </c>
      <c r="B470" s="214" t="s">
        <v>113</v>
      </c>
      <c r="C470" s="215"/>
      <c r="D470" s="229">
        <v>26386.08</v>
      </c>
      <c r="E470" s="215"/>
      <c r="F470" s="229">
        <v>16491.36</v>
      </c>
      <c r="G470" s="215"/>
      <c r="H470" s="220">
        <f>J470-F470</f>
        <v>16531.77</v>
      </c>
      <c r="I470" s="215"/>
      <c r="J470" s="229">
        <v>33023.13</v>
      </c>
      <c r="K470" s="215"/>
      <c r="L470" s="231">
        <v>35134</v>
      </c>
      <c r="M470" s="224"/>
      <c r="N470" s="224"/>
      <c r="O470" s="224"/>
      <c r="P470" s="224"/>
      <c r="Q470" s="224"/>
      <c r="R470" s="224"/>
      <c r="S470" s="224"/>
      <c r="T470" s="224"/>
    </row>
    <row r="471" spans="1:22">
      <c r="A471" s="219" t="s">
        <v>114</v>
      </c>
      <c r="B471" s="214" t="s">
        <v>115</v>
      </c>
      <c r="C471" s="215"/>
      <c r="D471" s="229">
        <v>4800</v>
      </c>
      <c r="E471" s="215"/>
      <c r="F471" s="229">
        <v>2400</v>
      </c>
      <c r="G471" s="215"/>
      <c r="H471" s="220">
        <f>J471-F471</f>
        <v>2400</v>
      </c>
      <c r="I471" s="215"/>
      <c r="J471" s="229">
        <v>4800</v>
      </c>
      <c r="K471" s="215"/>
      <c r="L471" s="231">
        <v>4800</v>
      </c>
      <c r="M471" s="224"/>
      <c r="N471" s="224"/>
      <c r="O471" s="224"/>
      <c r="P471" s="224"/>
      <c r="Q471" s="224"/>
      <c r="R471" s="224"/>
      <c r="S471" s="224"/>
      <c r="T471" s="224"/>
    </row>
    <row r="472" spans="1:22">
      <c r="A472" s="225" t="s">
        <v>359</v>
      </c>
      <c r="B472" s="214"/>
      <c r="C472" s="221"/>
      <c r="D472" s="226"/>
      <c r="E472" s="215"/>
      <c r="F472" s="226"/>
      <c r="G472" s="215"/>
      <c r="H472" s="226"/>
      <c r="I472" s="215"/>
      <c r="J472" s="226"/>
      <c r="K472" s="215"/>
      <c r="L472" s="228"/>
      <c r="M472" s="224"/>
      <c r="N472" s="224"/>
      <c r="O472" s="224"/>
      <c r="P472" s="224"/>
      <c r="Q472" s="224"/>
      <c r="R472" s="224"/>
      <c r="S472" s="224"/>
      <c r="T472" s="224"/>
    </row>
    <row r="473" spans="1:22">
      <c r="A473" s="238" t="s">
        <v>360</v>
      </c>
      <c r="B473" s="214" t="s">
        <v>117</v>
      </c>
      <c r="C473" s="215"/>
      <c r="D473" s="220">
        <v>0</v>
      </c>
      <c r="E473" s="215"/>
      <c r="F473" s="220">
        <v>0</v>
      </c>
      <c r="G473" s="215"/>
      <c r="H473" s="220">
        <v>0</v>
      </c>
      <c r="I473" s="215"/>
      <c r="J473" s="220">
        <v>0</v>
      </c>
      <c r="K473" s="215"/>
      <c r="L473" s="223">
        <v>205168</v>
      </c>
      <c r="M473" s="224"/>
      <c r="N473" s="224"/>
      <c r="O473" s="224"/>
      <c r="P473" s="224"/>
      <c r="Q473" s="224"/>
      <c r="R473" s="224"/>
      <c r="S473" s="224"/>
      <c r="T473" s="224"/>
    </row>
    <row r="474" spans="1:22" customHeight="1" ht="15.75">
      <c r="A474" s="238" t="s">
        <v>361</v>
      </c>
      <c r="B474" s="214" t="s">
        <v>119</v>
      </c>
      <c r="C474" s="215"/>
      <c r="D474" s="239">
        <v>0</v>
      </c>
      <c r="E474" s="215"/>
      <c r="F474" s="239">
        <v>0</v>
      </c>
      <c r="G474" s="215"/>
      <c r="H474" s="239">
        <f>J474-F474</f>
        <v>5000</v>
      </c>
      <c r="I474" s="215"/>
      <c r="J474" s="239">
        <v>5000</v>
      </c>
      <c r="K474" s="215"/>
      <c r="L474" s="257">
        <v>33000</v>
      </c>
      <c r="M474" s="224"/>
      <c r="N474" s="224"/>
      <c r="O474" s="224"/>
      <c r="P474" s="224"/>
      <c r="Q474" s="224"/>
      <c r="R474" s="224"/>
      <c r="S474" s="224"/>
      <c r="T474" s="224"/>
    </row>
    <row r="475" spans="1:22" customHeight="1" ht="15.75">
      <c r="A475" s="242" t="s">
        <v>120</v>
      </c>
      <c r="B475" s="243"/>
      <c r="C475" s="244" t="s">
        <v>23</v>
      </c>
      <c r="D475" s="245">
        <f>SUM(D456:D474)</f>
        <v>2097490.56</v>
      </c>
      <c r="E475" s="246" t="s">
        <v>23</v>
      </c>
      <c r="F475" s="245">
        <f>SUM(F456:F474)</f>
        <v>1029643.6</v>
      </c>
      <c r="G475" s="246" t="s">
        <v>23</v>
      </c>
      <c r="H475" s="245">
        <f>SUM(H456:H474)</f>
        <v>1089388.53</v>
      </c>
      <c r="I475" s="246" t="s">
        <v>23</v>
      </c>
      <c r="J475" s="245">
        <f>SUM(J456:J474)</f>
        <v>2119032.13</v>
      </c>
      <c r="K475" s="246" t="s">
        <v>23</v>
      </c>
      <c r="L475" s="247">
        <f>SUM(L456:L474)</f>
        <v>2504754</v>
      </c>
      <c r="M475" s="248"/>
      <c r="N475" s="248"/>
      <c r="O475" s="248"/>
      <c r="P475" s="248"/>
      <c r="Q475" s="248"/>
      <c r="R475" s="248"/>
      <c r="S475" s="248"/>
      <c r="T475" s="248"/>
    </row>
    <row r="479" spans="1:22">
      <c r="J479" s="215"/>
    </row>
    <row r="482" spans="1:22">
      <c r="A482" s="273" t="s">
        <v>346</v>
      </c>
      <c r="B482" s="273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4"/>
      <c r="N482" s="274"/>
      <c r="O482" s="274"/>
      <c r="P482" s="274"/>
      <c r="Q482" s="274"/>
      <c r="R482" s="274"/>
      <c r="S482" s="274"/>
      <c r="T482" s="274"/>
    </row>
    <row r="484" spans="1:22" customHeight="1" ht="15.75">
      <c r="A484" s="183" t="s">
        <v>347</v>
      </c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4"/>
      <c r="N484" s="184"/>
      <c r="O484" s="184"/>
      <c r="P484" s="184"/>
      <c r="Q484" s="184"/>
      <c r="R484" s="184"/>
      <c r="S484" s="184"/>
      <c r="T484" s="184"/>
    </row>
    <row r="485" spans="1:22">
      <c r="A485" s="185" t="s">
        <v>348</v>
      </c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6"/>
      <c r="N485" s="186"/>
      <c r="O485" s="186"/>
      <c r="P485" s="186"/>
      <c r="Q485" s="186"/>
      <c r="R485" s="186"/>
      <c r="S485" s="186"/>
      <c r="T485" s="186"/>
    </row>
    <row r="487" spans="1:22">
      <c r="A487" s="187" t="s">
        <v>390</v>
      </c>
    </row>
    <row r="488" spans="1:22" customHeight="1" ht="15.75"/>
    <row r="489" spans="1:22">
      <c r="A489" s="189"/>
      <c r="B489" s="190"/>
      <c r="C489" s="191" t="s">
        <v>350</v>
      </c>
      <c r="D489" s="192"/>
      <c r="E489" s="193" t="s">
        <v>351</v>
      </c>
      <c r="F489" s="194"/>
      <c r="G489" s="194"/>
      <c r="H489" s="194"/>
      <c r="I489" s="194"/>
      <c r="J489" s="195"/>
      <c r="K489" s="191" t="s">
        <v>352</v>
      </c>
      <c r="L489" s="196"/>
      <c r="M489" s="186"/>
      <c r="N489" s="186"/>
      <c r="O489" s="186"/>
      <c r="P489" s="186"/>
      <c r="Q489" s="186"/>
      <c r="R489" s="186"/>
      <c r="S489" s="186"/>
      <c r="T489" s="186"/>
    </row>
    <row r="490" spans="1:22">
      <c r="A490" s="197" t="s">
        <v>353</v>
      </c>
      <c r="B490" s="198" t="s">
        <v>354</v>
      </c>
      <c r="C490" s="199">
        <v>2023</v>
      </c>
      <c r="D490" s="200"/>
      <c r="E490" s="201" t="s">
        <v>11</v>
      </c>
      <c r="F490" s="202"/>
      <c r="G490" s="201" t="s">
        <v>355</v>
      </c>
      <c r="H490" s="202"/>
      <c r="I490" s="203" t="s">
        <v>356</v>
      </c>
      <c r="J490" s="204"/>
      <c r="K490" s="199">
        <v>2025</v>
      </c>
      <c r="L490" s="205"/>
      <c r="M490" s="186"/>
      <c r="N490" s="186"/>
      <c r="O490" s="186"/>
      <c r="P490" s="186"/>
      <c r="Q490" s="186"/>
      <c r="R490" s="186"/>
      <c r="S490" s="186"/>
      <c r="T490" s="186"/>
    </row>
    <row r="491" spans="1:22" customHeight="1" ht="15.75">
      <c r="A491" s="206"/>
      <c r="B491" s="207"/>
      <c r="C491" s="208" t="s">
        <v>17</v>
      </c>
      <c r="D491" s="209"/>
      <c r="E491" s="208" t="s">
        <v>17</v>
      </c>
      <c r="F491" s="209"/>
      <c r="G491" s="208" t="s">
        <v>18</v>
      </c>
      <c r="H491" s="209"/>
      <c r="I491" s="210"/>
      <c r="J491" s="211"/>
      <c r="K491" s="208" t="s">
        <v>357</v>
      </c>
      <c r="L491" s="212"/>
      <c r="M491" s="186"/>
      <c r="N491" s="186"/>
      <c r="O491" s="186"/>
      <c r="P491" s="186"/>
      <c r="Q491" s="186"/>
      <c r="R491" s="186"/>
      <c r="S491" s="186"/>
      <c r="T491" s="186"/>
    </row>
    <row r="492" spans="1:22">
      <c r="A492" s="225" t="s">
        <v>121</v>
      </c>
      <c r="B492" s="254"/>
      <c r="C492" s="215"/>
      <c r="D492" s="216"/>
      <c r="E492" s="215"/>
      <c r="F492" s="216"/>
      <c r="G492" s="215"/>
      <c r="H492" s="216"/>
      <c r="I492" s="215"/>
      <c r="J492" s="216"/>
      <c r="K492" s="215"/>
      <c r="L492" s="217"/>
      <c r="M492" s="218"/>
      <c r="N492" s="218"/>
      <c r="O492" s="218"/>
      <c r="P492" s="218"/>
      <c r="Q492" s="218"/>
      <c r="R492" s="218"/>
      <c r="S492" s="218"/>
      <c r="T492" s="218"/>
    </row>
    <row r="493" spans="1:22">
      <c r="A493" s="219" t="s">
        <v>122</v>
      </c>
      <c r="B493" s="214" t="s">
        <v>123</v>
      </c>
      <c r="C493" s="215" t="s">
        <v>23</v>
      </c>
      <c r="D493" s="226">
        <v>88022</v>
      </c>
      <c r="E493" s="215" t="s">
        <v>23</v>
      </c>
      <c r="F493" s="226">
        <v>14900</v>
      </c>
      <c r="G493" s="215" t="s">
        <v>23</v>
      </c>
      <c r="H493" s="226">
        <f>J493-F493</f>
        <v>84890</v>
      </c>
      <c r="I493" s="215" t="s">
        <v>23</v>
      </c>
      <c r="J493" s="226">
        <v>99790</v>
      </c>
      <c r="K493" s="215" t="s">
        <v>23</v>
      </c>
      <c r="L493" s="228">
        <v>97690</v>
      </c>
      <c r="M493" s="224"/>
      <c r="N493" s="224"/>
      <c r="O493" s="224"/>
      <c r="P493" s="224"/>
      <c r="Q493" s="224"/>
      <c r="R493" s="224"/>
      <c r="S493" s="224"/>
      <c r="T493" s="224"/>
    </row>
    <row r="494" spans="1:22">
      <c r="A494" s="219" t="s">
        <v>126</v>
      </c>
      <c r="B494" s="214" t="s">
        <v>127</v>
      </c>
      <c r="C494" s="215"/>
      <c r="D494" s="229">
        <v>105900</v>
      </c>
      <c r="E494" s="215"/>
      <c r="F494" s="229">
        <v>44694.92</v>
      </c>
      <c r="G494" s="215"/>
      <c r="H494" s="229">
        <f>J494-F494</f>
        <v>40305.08</v>
      </c>
      <c r="I494" s="215"/>
      <c r="J494" s="229">
        <v>85000</v>
      </c>
      <c r="K494" s="215"/>
      <c r="L494" s="231">
        <f>147000</f>
        <v>147000</v>
      </c>
      <c r="M494" s="224"/>
      <c r="N494" s="224"/>
      <c r="O494" s="224"/>
      <c r="P494" s="224"/>
      <c r="Q494" s="224"/>
      <c r="R494" s="224"/>
      <c r="S494" s="224"/>
      <c r="T494" s="224"/>
    </row>
    <row r="495" spans="1:22">
      <c r="A495" s="219" t="s">
        <v>144</v>
      </c>
      <c r="B495" s="214" t="s">
        <v>145</v>
      </c>
      <c r="C495" s="215"/>
      <c r="D495" s="229">
        <v>57500</v>
      </c>
      <c r="E495" s="215"/>
      <c r="F495" s="229">
        <v>30000</v>
      </c>
      <c r="G495" s="215"/>
      <c r="H495" s="229">
        <f>J495-F495</f>
        <v>30000</v>
      </c>
      <c r="I495" s="215"/>
      <c r="J495" s="229">
        <v>60000</v>
      </c>
      <c r="K495" s="215"/>
      <c r="L495" s="231">
        <f>2000*12</f>
        <v>24000</v>
      </c>
      <c r="M495" s="224"/>
      <c r="N495" s="224"/>
      <c r="O495" s="224"/>
      <c r="P495" s="224"/>
      <c r="Q495" s="224"/>
      <c r="R495" s="224"/>
      <c r="S495" s="224"/>
      <c r="T495" s="224"/>
    </row>
    <row r="496" spans="1:22">
      <c r="A496" s="219" t="s">
        <v>146</v>
      </c>
      <c r="B496" s="214" t="s">
        <v>147</v>
      </c>
      <c r="C496" s="215"/>
      <c r="D496" s="229">
        <v>0</v>
      </c>
      <c r="E496" s="215"/>
      <c r="F496" s="229">
        <v>0</v>
      </c>
      <c r="G496" s="215"/>
      <c r="H496" s="229">
        <f>J496-F496</f>
        <v>25000</v>
      </c>
      <c r="I496" s="215"/>
      <c r="J496" s="229">
        <v>25000</v>
      </c>
      <c r="K496" s="215"/>
      <c r="L496" s="231">
        <v>25000</v>
      </c>
      <c r="M496" s="224"/>
      <c r="N496" s="224"/>
      <c r="O496" s="224"/>
      <c r="P496" s="224"/>
      <c r="Q496" s="224"/>
      <c r="R496" s="224"/>
      <c r="S496" s="224"/>
      <c r="T496" s="224"/>
    </row>
    <row r="497" spans="1:22">
      <c r="A497" s="219" t="s">
        <v>156</v>
      </c>
      <c r="B497" s="214" t="s">
        <v>157</v>
      </c>
      <c r="C497" s="215"/>
      <c r="D497" s="229">
        <v>5750</v>
      </c>
      <c r="E497" s="215"/>
      <c r="F497" s="229">
        <v>4000</v>
      </c>
      <c r="G497" s="215"/>
      <c r="H497" s="229">
        <f>J497-F497</f>
        <v>13450</v>
      </c>
      <c r="I497" s="215"/>
      <c r="J497" s="229">
        <v>17450</v>
      </c>
      <c r="K497" s="215"/>
      <c r="L497" s="231">
        <v>15000</v>
      </c>
      <c r="M497" s="224"/>
      <c r="N497" s="224"/>
      <c r="O497" s="224"/>
      <c r="P497" s="224"/>
      <c r="Q497" s="224"/>
      <c r="R497" s="224"/>
      <c r="S497" s="224"/>
      <c r="T497" s="224"/>
    </row>
    <row r="498" spans="1:22" customHeight="1" ht="15.75">
      <c r="A498" s="219" t="s">
        <v>169</v>
      </c>
      <c r="B498" s="214" t="s">
        <v>170</v>
      </c>
      <c r="C498" s="215"/>
      <c r="D498" s="239">
        <v>750</v>
      </c>
      <c r="E498" s="215"/>
      <c r="F498" s="239">
        <v>136148</v>
      </c>
      <c r="G498" s="215"/>
      <c r="H498" s="279">
        <f>J498-F498</f>
        <v>21302</v>
      </c>
      <c r="I498" s="215"/>
      <c r="J498" s="239">
        <v>157450</v>
      </c>
      <c r="K498" s="215"/>
      <c r="L498" s="257">
        <f>50000+36000</f>
        <v>86000</v>
      </c>
      <c r="M498" s="224"/>
      <c r="N498" s="224"/>
      <c r="O498" s="224"/>
      <c r="P498" s="224"/>
      <c r="Q498" s="224"/>
      <c r="R498" s="224"/>
      <c r="S498" s="224"/>
      <c r="T498" s="224"/>
    </row>
    <row r="499" spans="1:22" customHeight="1" ht="15.75">
      <c r="A499" s="225" t="s">
        <v>200</v>
      </c>
      <c r="B499" s="254"/>
      <c r="C499" s="258" t="s">
        <v>23</v>
      </c>
      <c r="D499" s="245">
        <f>SUM(D493:D498)</f>
        <v>257922</v>
      </c>
      <c r="E499" s="258" t="s">
        <v>23</v>
      </c>
      <c r="F499" s="245">
        <f>SUM(F493:F498)</f>
        <v>229742.92</v>
      </c>
      <c r="G499" s="258" t="s">
        <v>23</v>
      </c>
      <c r="H499" s="245">
        <f>SUM(H493:H498)</f>
        <v>214947.08</v>
      </c>
      <c r="I499" s="258" t="s">
        <v>23</v>
      </c>
      <c r="J499" s="245">
        <f>SUM(J493:J498)</f>
        <v>444690</v>
      </c>
      <c r="K499" s="258" t="s">
        <v>23</v>
      </c>
      <c r="L499" s="247">
        <f>SUM(L493:L498)</f>
        <v>394690</v>
      </c>
      <c r="M499" s="248"/>
      <c r="N499" s="248"/>
      <c r="O499" s="248"/>
      <c r="P499" s="248"/>
      <c r="Q499" s="248"/>
      <c r="R499" s="248"/>
      <c r="S499" s="248"/>
      <c r="T499" s="248"/>
    </row>
    <row r="500" spans="1:22">
      <c r="A500" s="225" t="s">
        <v>201</v>
      </c>
      <c r="B500" s="254"/>
      <c r="C500" s="215"/>
      <c r="D500" s="280"/>
      <c r="E500" s="215"/>
      <c r="F500" s="280"/>
      <c r="G500" s="215"/>
      <c r="H500" s="280"/>
      <c r="I500" s="215"/>
      <c r="J500" s="280"/>
      <c r="K500" s="215"/>
      <c r="L500" s="281"/>
      <c r="M500" s="224"/>
      <c r="N500" s="224"/>
      <c r="O500" s="224"/>
      <c r="P500" s="224"/>
      <c r="Q500" s="224"/>
      <c r="R500" s="224"/>
      <c r="S500" s="224"/>
      <c r="T500" s="224"/>
    </row>
    <row r="501" spans="1:22" customHeight="1" ht="15.75">
      <c r="A501" s="219" t="s">
        <v>367</v>
      </c>
      <c r="B501" s="214" t="s">
        <v>209</v>
      </c>
      <c r="C501" s="215" t="s">
        <v>23</v>
      </c>
      <c r="D501" s="226">
        <v>0</v>
      </c>
      <c r="E501" s="215" t="s">
        <v>23</v>
      </c>
      <c r="F501" s="226">
        <v>0</v>
      </c>
      <c r="G501" s="215" t="s">
        <v>23</v>
      </c>
      <c r="H501" s="226">
        <v>0</v>
      </c>
      <c r="I501" s="215" t="s">
        <v>23</v>
      </c>
      <c r="J501" s="226">
        <v>0</v>
      </c>
      <c r="K501" s="215" t="s">
        <v>23</v>
      </c>
      <c r="L501" s="228">
        <v>0</v>
      </c>
      <c r="M501" s="224"/>
      <c r="N501" s="224"/>
      <c r="O501" s="224"/>
      <c r="P501" s="224"/>
      <c r="Q501" s="224"/>
      <c r="R501" s="224"/>
      <c r="S501" s="224"/>
      <c r="T501" s="224"/>
    </row>
    <row r="502" spans="1:22" customHeight="1" ht="15.75">
      <c r="A502" s="225" t="s">
        <v>214</v>
      </c>
      <c r="B502" s="214"/>
      <c r="C502" s="258" t="s">
        <v>23</v>
      </c>
      <c r="D502" s="282">
        <f>SUM(D501)</f>
        <v>0</v>
      </c>
      <c r="E502" s="258" t="s">
        <v>23</v>
      </c>
      <c r="F502" s="282">
        <f>SUM(F501)</f>
        <v>0</v>
      </c>
      <c r="G502" s="258" t="s">
        <v>23</v>
      </c>
      <c r="H502" s="282">
        <f>SUM(H501)</f>
        <v>0</v>
      </c>
      <c r="I502" s="258" t="s">
        <v>23</v>
      </c>
      <c r="J502" s="282">
        <f>SUM(J501)</f>
        <v>0</v>
      </c>
      <c r="K502" s="258" t="s">
        <v>23</v>
      </c>
      <c r="L502" s="283">
        <f>SUM(L501)</f>
        <v>0</v>
      </c>
      <c r="M502" s="248"/>
      <c r="N502" s="248"/>
      <c r="O502" s="248"/>
      <c r="P502" s="248"/>
      <c r="Q502" s="248"/>
      <c r="R502" s="248"/>
      <c r="S502" s="248"/>
      <c r="T502" s="248"/>
    </row>
    <row r="503" spans="1:22" customHeight="1" ht="15.75">
      <c r="A503" s="284" t="s">
        <v>370</v>
      </c>
      <c r="B503" s="285"/>
      <c r="C503" s="286" t="s">
        <v>23</v>
      </c>
      <c r="D503" s="287">
        <f>D475+D499+D502</f>
        <v>2355412.56</v>
      </c>
      <c r="E503" s="288" t="s">
        <v>23</v>
      </c>
      <c r="F503" s="287">
        <f>F475+F499+F502</f>
        <v>1259386.52</v>
      </c>
      <c r="G503" s="288" t="s">
        <v>23</v>
      </c>
      <c r="H503" s="287">
        <f>H475+H499+H502</f>
        <v>1304335.61</v>
      </c>
      <c r="I503" s="288" t="s">
        <v>23</v>
      </c>
      <c r="J503" s="287">
        <f>J475+J499+J502</f>
        <v>2563722.13</v>
      </c>
      <c r="K503" s="288" t="s">
        <v>23</v>
      </c>
      <c r="L503" s="289">
        <f>L475+L499+L502</f>
        <v>2899444</v>
      </c>
      <c r="M503" s="248"/>
      <c r="N503" s="248"/>
      <c r="O503" s="248"/>
      <c r="P503" s="248"/>
      <c r="Q503" s="248"/>
      <c r="R503" s="248"/>
      <c r="S503" s="248"/>
      <c r="T503" s="248"/>
    </row>
    <row r="504" spans="1:22" customHeight="1" ht="15.75">
      <c r="A504" s="187"/>
      <c r="C504" s="258"/>
      <c r="D504" s="261"/>
      <c r="E504" s="258"/>
      <c r="F504" s="261"/>
      <c r="G504" s="258"/>
      <c r="H504" s="261"/>
      <c r="I504" s="258"/>
      <c r="J504" s="261"/>
      <c r="K504" s="258"/>
      <c r="L504" s="248"/>
      <c r="M504" s="248"/>
      <c r="N504" s="248"/>
      <c r="O504" s="248"/>
      <c r="P504" s="248"/>
      <c r="Q504" s="248"/>
      <c r="R504" s="248"/>
      <c r="S504" s="248"/>
      <c r="T504" s="248"/>
    </row>
    <row r="505" spans="1:22">
      <c r="A505" s="215" t="s">
        <v>371</v>
      </c>
      <c r="B505" s="215" t="s">
        <v>372</v>
      </c>
      <c r="C505" s="215"/>
      <c r="D505" s="215"/>
      <c r="E505" s="215"/>
      <c r="F505" s="215"/>
      <c r="G505" s="215" t="s">
        <v>373</v>
      </c>
      <c r="H505" s="215"/>
    </row>
    <row r="508" spans="1:22">
      <c r="A508" s="268" t="s">
        <v>391</v>
      </c>
      <c r="B508" s="269" t="s">
        <v>374</v>
      </c>
      <c r="C508" s="269"/>
      <c r="D508" s="269"/>
      <c r="E508" s="269"/>
      <c r="F508" s="269"/>
      <c r="G508" s="270"/>
      <c r="H508" s="269" t="s">
        <v>326</v>
      </c>
      <c r="I508" s="269"/>
      <c r="J508" s="269"/>
      <c r="K508" s="269"/>
      <c r="L508" s="269"/>
      <c r="M508" s="268"/>
      <c r="N508" s="268"/>
      <c r="O508" s="268"/>
      <c r="P508" s="268"/>
      <c r="Q508" s="268"/>
      <c r="R508" s="268"/>
      <c r="S508" s="268"/>
      <c r="T508" s="268"/>
    </row>
    <row r="509" spans="1:22">
      <c r="A509" s="271" t="s">
        <v>392</v>
      </c>
      <c r="B509" s="272" t="s">
        <v>375</v>
      </c>
      <c r="C509" s="272"/>
      <c r="D509" s="272"/>
      <c r="E509" s="272"/>
      <c r="F509" s="272"/>
      <c r="G509" s="215"/>
      <c r="H509" s="272" t="s">
        <v>327</v>
      </c>
      <c r="I509" s="272"/>
      <c r="J509" s="272"/>
      <c r="K509" s="272"/>
      <c r="L509" s="272"/>
      <c r="M509" s="271"/>
      <c r="N509" s="271"/>
      <c r="O509" s="271"/>
      <c r="P509" s="271"/>
      <c r="Q509" s="271"/>
      <c r="R509" s="271"/>
      <c r="S509" s="271"/>
      <c r="T509" s="271"/>
    </row>
    <row r="514" spans="1:22">
      <c r="J514" s="215"/>
    </row>
    <row r="519" spans="1:22">
      <c r="A519" s="273" t="s">
        <v>346</v>
      </c>
      <c r="B519" s="273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4"/>
      <c r="N519" s="274"/>
      <c r="O519" s="274"/>
      <c r="P519" s="274"/>
      <c r="Q519" s="274"/>
      <c r="R519" s="274"/>
      <c r="S519" s="274"/>
      <c r="T519" s="274"/>
    </row>
    <row r="521" spans="1:22" customHeight="1" ht="15.75">
      <c r="A521" s="183" t="s">
        <v>347</v>
      </c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4"/>
      <c r="N521" s="184"/>
      <c r="O521" s="184"/>
      <c r="P521" s="184"/>
      <c r="Q521" s="184"/>
      <c r="R521" s="184"/>
      <c r="S521" s="184"/>
      <c r="T521" s="184"/>
    </row>
    <row r="522" spans="1:22">
      <c r="A522" s="185" t="s">
        <v>348</v>
      </c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6"/>
      <c r="N522" s="186"/>
      <c r="O522" s="186"/>
      <c r="P522" s="186"/>
      <c r="Q522" s="186"/>
      <c r="R522" s="186"/>
      <c r="S522" s="186"/>
      <c r="T522" s="186"/>
    </row>
    <row r="524" spans="1:22">
      <c r="A524" s="187" t="s">
        <v>393</v>
      </c>
    </row>
    <row r="525" spans="1:22" customHeight="1" ht="15.75"/>
    <row r="526" spans="1:22">
      <c r="A526" s="189"/>
      <c r="B526" s="190"/>
      <c r="C526" s="191" t="s">
        <v>350</v>
      </c>
      <c r="D526" s="192"/>
      <c r="E526" s="193" t="s">
        <v>351</v>
      </c>
      <c r="F526" s="194"/>
      <c r="G526" s="194"/>
      <c r="H526" s="194"/>
      <c r="I526" s="194"/>
      <c r="J526" s="195"/>
      <c r="K526" s="191" t="s">
        <v>352</v>
      </c>
      <c r="L526" s="196"/>
      <c r="M526" s="186"/>
      <c r="N526" s="186"/>
      <c r="O526" s="186"/>
      <c r="P526" s="186"/>
      <c r="Q526" s="186"/>
      <c r="R526" s="186"/>
      <c r="S526" s="186"/>
      <c r="T526" s="186"/>
    </row>
    <row r="527" spans="1:22">
      <c r="A527" s="197" t="s">
        <v>353</v>
      </c>
      <c r="B527" s="198" t="s">
        <v>354</v>
      </c>
      <c r="C527" s="199">
        <v>2023</v>
      </c>
      <c r="D527" s="200"/>
      <c r="E527" s="201" t="s">
        <v>11</v>
      </c>
      <c r="F527" s="202"/>
      <c r="G527" s="201" t="s">
        <v>355</v>
      </c>
      <c r="H527" s="202"/>
      <c r="I527" s="203" t="s">
        <v>356</v>
      </c>
      <c r="J527" s="204"/>
      <c r="K527" s="199">
        <v>2025</v>
      </c>
      <c r="L527" s="205"/>
      <c r="M527" s="186"/>
      <c r="N527" s="186"/>
      <c r="O527" s="186"/>
      <c r="P527" s="186"/>
      <c r="Q527" s="186"/>
      <c r="R527" s="186"/>
      <c r="S527" s="186"/>
      <c r="T527" s="186"/>
    </row>
    <row r="528" spans="1:22" customHeight="1" ht="15.75">
      <c r="A528" s="206"/>
      <c r="B528" s="207"/>
      <c r="C528" s="208" t="s">
        <v>17</v>
      </c>
      <c r="D528" s="209"/>
      <c r="E528" s="208" t="s">
        <v>17</v>
      </c>
      <c r="F528" s="209"/>
      <c r="G528" s="208" t="s">
        <v>18</v>
      </c>
      <c r="H528" s="209"/>
      <c r="I528" s="210"/>
      <c r="J528" s="211"/>
      <c r="K528" s="208" t="s">
        <v>357</v>
      </c>
      <c r="L528" s="212"/>
      <c r="M528" s="186"/>
      <c r="N528" s="186"/>
      <c r="O528" s="186"/>
      <c r="P528" s="186"/>
      <c r="Q528" s="186"/>
      <c r="R528" s="186"/>
      <c r="S528" s="186"/>
      <c r="T528" s="186"/>
    </row>
    <row r="529" spans="1:22">
      <c r="A529" s="213" t="s">
        <v>80</v>
      </c>
      <c r="B529" s="214"/>
      <c r="C529" s="215"/>
      <c r="D529" s="216"/>
      <c r="E529" s="215"/>
      <c r="F529" s="216"/>
      <c r="G529" s="215"/>
      <c r="H529" s="216"/>
      <c r="I529" s="215"/>
      <c r="J529" s="216"/>
      <c r="K529" s="215"/>
      <c r="L529" s="217"/>
      <c r="M529" s="218"/>
      <c r="N529" s="218"/>
      <c r="O529" s="218"/>
      <c r="P529" s="218"/>
      <c r="Q529" s="218"/>
      <c r="R529" s="218"/>
      <c r="S529" s="218"/>
      <c r="T529" s="218"/>
    </row>
    <row r="530" spans="1:22">
      <c r="A530" s="219" t="s">
        <v>82</v>
      </c>
      <c r="B530" s="214" t="s">
        <v>83</v>
      </c>
      <c r="C530" s="215" t="s">
        <v>23</v>
      </c>
      <c r="D530" s="220">
        <v>1506816</v>
      </c>
      <c r="E530" s="215" t="s">
        <v>23</v>
      </c>
      <c r="F530" s="220">
        <v>753408</v>
      </c>
      <c r="G530" s="215" t="s">
        <v>23</v>
      </c>
      <c r="H530" s="220">
        <f>J530-F530</f>
        <v>753408</v>
      </c>
      <c r="I530" s="215" t="s">
        <v>23</v>
      </c>
      <c r="J530" s="220">
        <v>1506816</v>
      </c>
      <c r="K530" s="215" t="s">
        <v>23</v>
      </c>
      <c r="L530" s="223">
        <v>1601840</v>
      </c>
      <c r="M530" s="224"/>
      <c r="N530" s="224"/>
      <c r="O530" s="224"/>
      <c r="P530" s="224"/>
      <c r="Q530" s="224"/>
      <c r="R530" s="224"/>
      <c r="S530" s="224"/>
      <c r="T530" s="224"/>
    </row>
    <row r="531" spans="1:22">
      <c r="A531" s="225" t="s">
        <v>338</v>
      </c>
      <c r="B531" s="214"/>
      <c r="C531" s="215"/>
      <c r="D531" s="226"/>
      <c r="E531" s="215"/>
      <c r="F531" s="226"/>
      <c r="G531" s="215"/>
      <c r="H531" s="226"/>
      <c r="I531" s="215"/>
      <c r="J531" s="226"/>
      <c r="K531" s="215"/>
      <c r="L531" s="228"/>
      <c r="M531" s="224"/>
      <c r="N531" s="224"/>
      <c r="O531" s="224"/>
      <c r="P531" s="224"/>
      <c r="Q531" s="224"/>
      <c r="R531" s="224"/>
      <c r="S531" s="224"/>
      <c r="T531" s="224"/>
    </row>
    <row r="532" spans="1:22">
      <c r="A532" s="219" t="s">
        <v>84</v>
      </c>
      <c r="B532" s="214" t="s">
        <v>85</v>
      </c>
      <c r="C532" s="215"/>
      <c r="D532" s="226">
        <v>96000</v>
      </c>
      <c r="E532" s="215"/>
      <c r="F532" s="226">
        <v>48000</v>
      </c>
      <c r="G532" s="215"/>
      <c r="H532" s="220">
        <f>J532-F532</f>
        <v>48000</v>
      </c>
      <c r="I532" s="215"/>
      <c r="J532" s="226">
        <v>96000</v>
      </c>
      <c r="K532" s="215"/>
      <c r="L532" s="228">
        <v>96000</v>
      </c>
      <c r="M532" s="224"/>
      <c r="N532" s="224"/>
      <c r="O532" s="224"/>
      <c r="P532" s="224"/>
      <c r="Q532" s="224"/>
      <c r="R532" s="224"/>
      <c r="S532" s="224"/>
      <c r="T532" s="224"/>
    </row>
    <row r="533" spans="1:22">
      <c r="A533" s="219" t="s">
        <v>86</v>
      </c>
      <c r="B533" s="214" t="s">
        <v>87</v>
      </c>
      <c r="C533" s="215"/>
      <c r="D533" s="229">
        <v>72000</v>
      </c>
      <c r="E533" s="215"/>
      <c r="F533" s="229">
        <v>40800</v>
      </c>
      <c r="G533" s="215"/>
      <c r="H533" s="220">
        <f>J533-F533</f>
        <v>40800</v>
      </c>
      <c r="I533" s="215"/>
      <c r="J533" s="229">
        <v>81600</v>
      </c>
      <c r="K533" s="215"/>
      <c r="L533" s="231">
        <v>81600</v>
      </c>
      <c r="M533" s="224"/>
      <c r="N533" s="224"/>
      <c r="O533" s="224"/>
      <c r="P533" s="224"/>
      <c r="Q533" s="224"/>
      <c r="R533" s="224"/>
      <c r="S533" s="224"/>
      <c r="T533" s="224"/>
    </row>
    <row r="534" spans="1:22">
      <c r="A534" s="219" t="s">
        <v>88</v>
      </c>
      <c r="B534" s="214" t="s">
        <v>89</v>
      </c>
      <c r="C534" s="215"/>
      <c r="D534" s="229">
        <v>72000</v>
      </c>
      <c r="E534" s="215"/>
      <c r="F534" s="229">
        <v>40800</v>
      </c>
      <c r="G534" s="215"/>
      <c r="H534" s="220">
        <f>J534-F534</f>
        <v>40800</v>
      </c>
      <c r="I534" s="215"/>
      <c r="J534" s="229">
        <v>81600</v>
      </c>
      <c r="K534" s="215"/>
      <c r="L534" s="231">
        <v>81600</v>
      </c>
      <c r="M534" s="224"/>
      <c r="N534" s="224"/>
      <c r="O534" s="224"/>
      <c r="P534" s="224"/>
      <c r="Q534" s="224"/>
      <c r="R534" s="224"/>
      <c r="S534" s="224"/>
      <c r="T534" s="224"/>
    </row>
    <row r="535" spans="1:22">
      <c r="A535" s="219" t="s">
        <v>90</v>
      </c>
      <c r="B535" s="214" t="s">
        <v>91</v>
      </c>
      <c r="C535" s="215"/>
      <c r="D535" s="229">
        <v>24000</v>
      </c>
      <c r="E535" s="215"/>
      <c r="F535" s="229">
        <v>28000</v>
      </c>
      <c r="G535" s="215"/>
      <c r="H535" s="220">
        <f>J535-F535</f>
        <v>0</v>
      </c>
      <c r="I535" s="215"/>
      <c r="J535" s="229">
        <v>28000</v>
      </c>
      <c r="K535" s="215"/>
      <c r="L535" s="231">
        <v>28000</v>
      </c>
      <c r="M535" s="224"/>
      <c r="N535" s="224"/>
      <c r="O535" s="224"/>
      <c r="P535" s="224"/>
      <c r="Q535" s="224"/>
      <c r="R535" s="224"/>
      <c r="S535" s="224"/>
      <c r="T535" s="224"/>
    </row>
    <row r="536" spans="1:22">
      <c r="A536" s="219" t="s">
        <v>96</v>
      </c>
      <c r="B536" s="214" t="s">
        <v>97</v>
      </c>
      <c r="C536" s="215"/>
      <c r="D536" s="229">
        <v>20000</v>
      </c>
      <c r="E536" s="215"/>
      <c r="F536" s="229">
        <v>0</v>
      </c>
      <c r="G536" s="215"/>
      <c r="H536" s="220">
        <f>J536-F536</f>
        <v>20000</v>
      </c>
      <c r="I536" s="215"/>
      <c r="J536" s="229">
        <v>20000</v>
      </c>
      <c r="K536" s="215"/>
      <c r="L536" s="231">
        <v>20000</v>
      </c>
      <c r="M536" s="224"/>
      <c r="N536" s="224"/>
      <c r="O536" s="224"/>
      <c r="P536" s="224"/>
      <c r="Q536" s="224"/>
      <c r="R536" s="224"/>
      <c r="S536" s="224"/>
      <c r="T536" s="224"/>
    </row>
    <row r="537" spans="1:22">
      <c r="A537" s="219" t="s">
        <v>358</v>
      </c>
      <c r="B537" s="214" t="s">
        <v>99</v>
      </c>
      <c r="C537" s="215"/>
      <c r="D537" s="229">
        <v>60000</v>
      </c>
      <c r="E537" s="215"/>
      <c r="F537" s="229">
        <v>0</v>
      </c>
      <c r="G537" s="215"/>
      <c r="H537" s="220">
        <f>J537-F537</f>
        <v>40000</v>
      </c>
      <c r="I537" s="215"/>
      <c r="J537" s="229">
        <v>40000</v>
      </c>
      <c r="K537" s="215"/>
      <c r="L537" s="231">
        <v>80000</v>
      </c>
      <c r="M537" s="224"/>
      <c r="N537" s="224"/>
      <c r="O537" s="224"/>
      <c r="P537" s="224"/>
      <c r="Q537" s="224"/>
      <c r="R537" s="224"/>
      <c r="S537" s="224"/>
      <c r="T537" s="224"/>
    </row>
    <row r="538" spans="1:22">
      <c r="A538" s="219" t="s">
        <v>102</v>
      </c>
      <c r="B538" s="214" t="s">
        <v>103</v>
      </c>
      <c r="C538" s="215"/>
      <c r="D538" s="229">
        <v>125568</v>
      </c>
      <c r="E538" s="215"/>
      <c r="F538" s="229">
        <v>0</v>
      </c>
      <c r="G538" s="215"/>
      <c r="H538" s="220">
        <f>J538-F538</f>
        <v>125568</v>
      </c>
      <c r="I538" s="215"/>
      <c r="J538" s="229">
        <v>125568</v>
      </c>
      <c r="K538" s="215"/>
      <c r="L538" s="231">
        <v>138286</v>
      </c>
      <c r="M538" s="224"/>
      <c r="N538" s="224"/>
      <c r="O538" s="224"/>
      <c r="P538" s="224"/>
      <c r="Q538" s="224"/>
      <c r="R538" s="224"/>
      <c r="S538" s="224"/>
      <c r="T538" s="224"/>
    </row>
    <row r="539" spans="1:22">
      <c r="A539" s="219" t="s">
        <v>104</v>
      </c>
      <c r="B539" s="214" t="s">
        <v>105</v>
      </c>
      <c r="C539" s="215"/>
      <c r="D539" s="229">
        <v>20000</v>
      </c>
      <c r="E539" s="215"/>
      <c r="F539" s="229">
        <v>0</v>
      </c>
      <c r="G539" s="215"/>
      <c r="H539" s="220">
        <f>J539-F539</f>
        <v>20000</v>
      </c>
      <c r="I539" s="215"/>
      <c r="J539" s="229">
        <v>20000</v>
      </c>
      <c r="K539" s="215"/>
      <c r="L539" s="231">
        <v>20000</v>
      </c>
      <c r="M539" s="224"/>
      <c r="N539" s="224"/>
      <c r="O539" s="224"/>
      <c r="P539" s="224"/>
      <c r="Q539" s="224"/>
      <c r="R539" s="224"/>
      <c r="S539" s="224"/>
      <c r="T539" s="224"/>
    </row>
    <row r="540" spans="1:22">
      <c r="A540" s="219" t="s">
        <v>106</v>
      </c>
      <c r="B540" s="214" t="s">
        <v>107</v>
      </c>
      <c r="C540" s="215"/>
      <c r="D540" s="229">
        <v>125568</v>
      </c>
      <c r="E540" s="215"/>
      <c r="F540" s="229">
        <v>125568</v>
      </c>
      <c r="G540" s="215"/>
      <c r="H540" s="220">
        <f>J540-F540</f>
        <v>0</v>
      </c>
      <c r="I540" s="215"/>
      <c r="J540" s="229">
        <v>125568</v>
      </c>
      <c r="K540" s="215"/>
      <c r="L540" s="231">
        <v>131215</v>
      </c>
      <c r="M540" s="224"/>
      <c r="N540" s="224"/>
      <c r="O540" s="224"/>
      <c r="P540" s="224"/>
      <c r="Q540" s="224"/>
      <c r="R540" s="224"/>
      <c r="S540" s="224"/>
      <c r="T540" s="224"/>
    </row>
    <row r="541" spans="1:22">
      <c r="A541" s="225" t="s">
        <v>340</v>
      </c>
      <c r="B541" s="214"/>
      <c r="C541" s="215"/>
      <c r="D541" s="226"/>
      <c r="E541" s="215"/>
      <c r="F541" s="226"/>
      <c r="G541" s="215"/>
      <c r="H541" s="226"/>
      <c r="I541" s="215"/>
      <c r="J541" s="226"/>
      <c r="K541" s="215"/>
      <c r="L541" s="228"/>
      <c r="M541" s="224"/>
      <c r="N541" s="224"/>
      <c r="O541" s="224"/>
      <c r="P541" s="224"/>
      <c r="Q541" s="224"/>
      <c r="R541" s="224"/>
      <c r="S541" s="224"/>
      <c r="T541" s="224"/>
    </row>
    <row r="542" spans="1:22">
      <c r="A542" s="219" t="s">
        <v>108</v>
      </c>
      <c r="B542" s="214" t="s">
        <v>109</v>
      </c>
      <c r="C542" s="215"/>
      <c r="D542" s="226">
        <v>180817.92</v>
      </c>
      <c r="E542" s="215"/>
      <c r="F542" s="226">
        <v>90408.96</v>
      </c>
      <c r="G542" s="215"/>
      <c r="H542" s="220">
        <f>J542-F542</f>
        <v>90408.96</v>
      </c>
      <c r="I542" s="215"/>
      <c r="J542" s="226">
        <v>180817.92</v>
      </c>
      <c r="K542" s="215"/>
      <c r="L542" s="228">
        <v>192223</v>
      </c>
      <c r="M542" s="224"/>
      <c r="N542" s="224"/>
      <c r="O542" s="224"/>
      <c r="P542" s="224"/>
      <c r="Q542" s="224"/>
      <c r="R542" s="224"/>
      <c r="S542" s="224"/>
      <c r="T542" s="224"/>
    </row>
    <row r="543" spans="1:22">
      <c r="A543" s="219" t="s">
        <v>110</v>
      </c>
      <c r="B543" s="214" t="s">
        <v>111</v>
      </c>
      <c r="C543" s="215"/>
      <c r="D543" s="229">
        <v>4800</v>
      </c>
      <c r="E543" s="215"/>
      <c r="F543" s="229">
        <v>4400</v>
      </c>
      <c r="G543" s="215"/>
      <c r="H543" s="220">
        <f>J543-F543</f>
        <v>5200</v>
      </c>
      <c r="I543" s="215"/>
      <c r="J543" s="229">
        <v>9600</v>
      </c>
      <c r="K543" s="215"/>
      <c r="L543" s="231">
        <v>9600</v>
      </c>
      <c r="M543" s="224"/>
      <c r="N543" s="224"/>
      <c r="O543" s="224"/>
      <c r="P543" s="224"/>
      <c r="Q543" s="224"/>
      <c r="R543" s="224"/>
      <c r="S543" s="224"/>
      <c r="T543" s="224"/>
    </row>
    <row r="544" spans="1:22">
      <c r="A544" s="219" t="s">
        <v>112</v>
      </c>
      <c r="B544" s="214" t="s">
        <v>113</v>
      </c>
      <c r="C544" s="215"/>
      <c r="D544" s="229">
        <v>30136.32</v>
      </c>
      <c r="E544" s="215"/>
      <c r="F544" s="229">
        <v>18835.26</v>
      </c>
      <c r="G544" s="215"/>
      <c r="H544" s="220">
        <f>J544-F544</f>
        <v>18835.14</v>
      </c>
      <c r="I544" s="215"/>
      <c r="J544" s="229">
        <v>37670.4</v>
      </c>
      <c r="K544" s="215"/>
      <c r="L544" s="231">
        <v>40046</v>
      </c>
      <c r="M544" s="224"/>
      <c r="N544" s="224"/>
      <c r="O544" s="224"/>
      <c r="P544" s="224"/>
      <c r="Q544" s="224"/>
      <c r="R544" s="224"/>
      <c r="S544" s="224"/>
      <c r="T544" s="224"/>
    </row>
    <row r="545" spans="1:22">
      <c r="A545" s="219" t="s">
        <v>114</v>
      </c>
      <c r="B545" s="214" t="s">
        <v>115</v>
      </c>
      <c r="C545" s="215"/>
      <c r="D545" s="229">
        <v>4800</v>
      </c>
      <c r="E545" s="215"/>
      <c r="F545" s="229">
        <v>2400</v>
      </c>
      <c r="G545" s="215"/>
      <c r="H545" s="220">
        <f>J545-F545</f>
        <v>2400</v>
      </c>
      <c r="I545" s="215"/>
      <c r="J545" s="229">
        <v>4800</v>
      </c>
      <c r="K545" s="215"/>
      <c r="L545" s="231">
        <v>4800</v>
      </c>
      <c r="M545" s="224"/>
      <c r="N545" s="224"/>
      <c r="O545" s="224"/>
      <c r="P545" s="224"/>
      <c r="Q545" s="224"/>
      <c r="R545" s="224"/>
      <c r="S545" s="224"/>
      <c r="T545" s="224"/>
    </row>
    <row r="546" spans="1:22">
      <c r="A546" s="225" t="s">
        <v>359</v>
      </c>
      <c r="B546" s="214"/>
      <c r="C546" s="221"/>
      <c r="D546" s="226"/>
      <c r="E546" s="215"/>
      <c r="F546" s="226"/>
      <c r="G546" s="215"/>
      <c r="H546" s="226"/>
      <c r="I546" s="215"/>
      <c r="J546" s="226"/>
      <c r="K546" s="215"/>
      <c r="L546" s="228"/>
      <c r="M546" s="224"/>
      <c r="N546" s="224"/>
      <c r="O546" s="224"/>
      <c r="P546" s="224"/>
      <c r="Q546" s="224"/>
      <c r="R546" s="224"/>
      <c r="S546" s="224"/>
      <c r="T546" s="224"/>
    </row>
    <row r="547" spans="1:22">
      <c r="A547" s="238" t="s">
        <v>360</v>
      </c>
      <c r="B547" s="214" t="s">
        <v>117</v>
      </c>
      <c r="C547" s="215"/>
      <c r="D547" s="220">
        <v>0</v>
      </c>
      <c r="E547" s="215"/>
      <c r="F547" s="220">
        <v>0</v>
      </c>
      <c r="G547" s="215"/>
      <c r="H547" s="220">
        <v>0</v>
      </c>
      <c r="I547" s="215"/>
      <c r="J547" s="220">
        <v>0</v>
      </c>
      <c r="K547" s="215"/>
      <c r="L547" s="223">
        <v>0</v>
      </c>
      <c r="M547" s="224"/>
      <c r="N547" s="224"/>
      <c r="O547" s="224"/>
      <c r="P547" s="224"/>
      <c r="Q547" s="224"/>
      <c r="R547" s="224"/>
      <c r="S547" s="224"/>
      <c r="T547" s="224"/>
    </row>
    <row r="548" spans="1:22" customHeight="1" ht="15.75">
      <c r="A548" s="238" t="s">
        <v>361</v>
      </c>
      <c r="B548" s="214" t="s">
        <v>119</v>
      </c>
      <c r="C548" s="215"/>
      <c r="D548" s="239">
        <v>0</v>
      </c>
      <c r="E548" s="215"/>
      <c r="F548" s="239">
        <v>0</v>
      </c>
      <c r="G548" s="215"/>
      <c r="H548" s="239">
        <f>J548-F548</f>
        <v>0</v>
      </c>
      <c r="I548" s="215"/>
      <c r="J548" s="239">
        <v>0</v>
      </c>
      <c r="K548" s="215"/>
      <c r="L548" s="257">
        <v>28000</v>
      </c>
      <c r="M548" s="224"/>
      <c r="N548" s="224"/>
      <c r="O548" s="224"/>
      <c r="P548" s="224"/>
      <c r="Q548" s="224"/>
      <c r="R548" s="224"/>
      <c r="S548" s="224"/>
      <c r="T548" s="224"/>
    </row>
    <row r="549" spans="1:22" customHeight="1" ht="15.75">
      <c r="A549" s="242" t="s">
        <v>120</v>
      </c>
      <c r="B549" s="243"/>
      <c r="C549" s="244" t="s">
        <v>23</v>
      </c>
      <c r="D549" s="245">
        <f>SUM(D530:D548)</f>
        <v>2342506.24</v>
      </c>
      <c r="E549" s="246" t="s">
        <v>23</v>
      </c>
      <c r="F549" s="245">
        <f>SUM(F530:F548)</f>
        <v>1152620.22</v>
      </c>
      <c r="G549" s="246" t="s">
        <v>23</v>
      </c>
      <c r="H549" s="245">
        <f>SUM(H530:H548)</f>
        <v>1205420.1</v>
      </c>
      <c r="I549" s="246" t="s">
        <v>23</v>
      </c>
      <c r="J549" s="245">
        <f>SUM(J530:J548)</f>
        <v>2358040.32</v>
      </c>
      <c r="K549" s="246" t="s">
        <v>23</v>
      </c>
      <c r="L549" s="247">
        <f>SUM(L530:L548)</f>
        <v>2553210</v>
      </c>
      <c r="M549" s="248"/>
      <c r="N549" s="248"/>
      <c r="O549" s="248"/>
      <c r="P549" s="248"/>
      <c r="Q549" s="248"/>
      <c r="R549" s="248"/>
      <c r="S549" s="248"/>
      <c r="T549" s="248"/>
    </row>
    <row r="553" spans="1:22">
      <c r="J553" s="215"/>
    </row>
    <row r="556" spans="1:22">
      <c r="A556" s="273" t="s">
        <v>346</v>
      </c>
      <c r="B556" s="273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4"/>
      <c r="N556" s="274"/>
      <c r="O556" s="274"/>
      <c r="P556" s="274"/>
      <c r="Q556" s="274"/>
      <c r="R556" s="274"/>
      <c r="S556" s="274"/>
      <c r="T556" s="274"/>
    </row>
    <row r="558" spans="1:22" customHeight="1" ht="15.75">
      <c r="A558" s="183" t="s">
        <v>347</v>
      </c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4"/>
      <c r="N558" s="184"/>
      <c r="O558" s="184"/>
      <c r="P558" s="184"/>
      <c r="Q558" s="184"/>
      <c r="R558" s="184"/>
      <c r="S558" s="184"/>
      <c r="T558" s="184"/>
    </row>
    <row r="559" spans="1:22">
      <c r="A559" s="185" t="s">
        <v>348</v>
      </c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6"/>
      <c r="N559" s="186"/>
      <c r="O559" s="186"/>
      <c r="P559" s="186"/>
      <c r="Q559" s="186"/>
      <c r="R559" s="186"/>
      <c r="S559" s="186"/>
      <c r="T559" s="186"/>
    </row>
    <row r="561" spans="1:22">
      <c r="A561" s="187" t="s">
        <v>393</v>
      </c>
    </row>
    <row r="562" spans="1:22" customHeight="1" ht="15.75"/>
    <row r="563" spans="1:22">
      <c r="A563" s="189"/>
      <c r="B563" s="190"/>
      <c r="C563" s="191" t="s">
        <v>350</v>
      </c>
      <c r="D563" s="192"/>
      <c r="E563" s="193" t="s">
        <v>351</v>
      </c>
      <c r="F563" s="194"/>
      <c r="G563" s="194"/>
      <c r="H563" s="194"/>
      <c r="I563" s="194"/>
      <c r="J563" s="195"/>
      <c r="K563" s="191" t="s">
        <v>352</v>
      </c>
      <c r="L563" s="196"/>
      <c r="M563" s="186"/>
      <c r="N563" s="186"/>
      <c r="O563" s="186"/>
      <c r="P563" s="186"/>
      <c r="Q563" s="186"/>
      <c r="R563" s="186"/>
      <c r="S563" s="186"/>
      <c r="T563" s="186"/>
    </row>
    <row r="564" spans="1:22">
      <c r="A564" s="197" t="s">
        <v>353</v>
      </c>
      <c r="B564" s="198" t="s">
        <v>354</v>
      </c>
      <c r="C564" s="199">
        <v>2023</v>
      </c>
      <c r="D564" s="200"/>
      <c r="E564" s="201" t="s">
        <v>11</v>
      </c>
      <c r="F564" s="202"/>
      <c r="G564" s="201" t="s">
        <v>355</v>
      </c>
      <c r="H564" s="202"/>
      <c r="I564" s="203" t="s">
        <v>356</v>
      </c>
      <c r="J564" s="204"/>
      <c r="K564" s="199">
        <v>2025</v>
      </c>
      <c r="L564" s="205"/>
      <c r="M564" s="186"/>
      <c r="N564" s="186"/>
      <c r="O564" s="186"/>
      <c r="P564" s="186"/>
      <c r="Q564" s="186"/>
      <c r="R564" s="186"/>
      <c r="S564" s="186"/>
      <c r="T564" s="186"/>
    </row>
    <row r="565" spans="1:22" customHeight="1" ht="15.75">
      <c r="A565" s="206"/>
      <c r="B565" s="207"/>
      <c r="C565" s="208" t="s">
        <v>17</v>
      </c>
      <c r="D565" s="209"/>
      <c r="E565" s="208" t="s">
        <v>17</v>
      </c>
      <c r="F565" s="209"/>
      <c r="G565" s="208" t="s">
        <v>18</v>
      </c>
      <c r="H565" s="209"/>
      <c r="I565" s="210"/>
      <c r="J565" s="211"/>
      <c r="K565" s="208" t="s">
        <v>357</v>
      </c>
      <c r="L565" s="212"/>
      <c r="M565" s="186"/>
      <c r="N565" s="186"/>
      <c r="O565" s="186"/>
      <c r="P565" s="186"/>
      <c r="Q565" s="186"/>
      <c r="R565" s="186"/>
      <c r="S565" s="186"/>
      <c r="T565" s="186"/>
    </row>
    <row r="566" spans="1:22">
      <c r="A566" s="225" t="s">
        <v>121</v>
      </c>
      <c r="B566" s="254"/>
      <c r="C566" s="215"/>
      <c r="D566" s="216"/>
      <c r="E566" s="215"/>
      <c r="F566" s="216"/>
      <c r="G566" s="215"/>
      <c r="H566" s="216"/>
      <c r="I566" s="215"/>
      <c r="J566" s="216"/>
      <c r="K566" s="215"/>
      <c r="L566" s="217"/>
      <c r="M566" s="218"/>
      <c r="N566" s="218"/>
      <c r="O566" s="218"/>
      <c r="P566" s="218"/>
      <c r="Q566" s="218"/>
      <c r="R566" s="218"/>
      <c r="S566" s="218"/>
      <c r="T566" s="218"/>
    </row>
    <row r="567" spans="1:22">
      <c r="A567" s="219" t="s">
        <v>122</v>
      </c>
      <c r="B567" s="214" t="s">
        <v>123</v>
      </c>
      <c r="C567" s="215" t="s">
        <v>23</v>
      </c>
      <c r="D567" s="226">
        <v>61977.6</v>
      </c>
      <c r="E567" s="215" t="s">
        <v>23</v>
      </c>
      <c r="F567" s="226">
        <v>87256.76</v>
      </c>
      <c r="G567" s="215" t="s">
        <v>23</v>
      </c>
      <c r="H567" s="226">
        <f>J567-F567</f>
        <v>2743.24</v>
      </c>
      <c r="I567" s="215" t="s">
        <v>23</v>
      </c>
      <c r="J567" s="226">
        <v>90000</v>
      </c>
      <c r="K567" s="215" t="s">
        <v>23</v>
      </c>
      <c r="L567" s="228">
        <v>140000</v>
      </c>
      <c r="M567" s="224"/>
      <c r="N567" s="224"/>
      <c r="O567" s="224"/>
      <c r="P567" s="224"/>
      <c r="Q567" s="224"/>
      <c r="R567" s="224"/>
      <c r="S567" s="224"/>
      <c r="T567" s="224"/>
    </row>
    <row r="568" spans="1:22">
      <c r="A568" s="219" t="s">
        <v>126</v>
      </c>
      <c r="B568" s="214" t="s">
        <v>127</v>
      </c>
      <c r="C568" s="215"/>
      <c r="D568" s="229">
        <v>48867.76</v>
      </c>
      <c r="E568" s="215"/>
      <c r="F568" s="229">
        <v>40400</v>
      </c>
      <c r="G568" s="215"/>
      <c r="H568" s="229">
        <f>J568-F568</f>
        <v>44600</v>
      </c>
      <c r="I568" s="215"/>
      <c r="J568" s="229">
        <v>85000</v>
      </c>
      <c r="K568" s="215"/>
      <c r="L568" s="231">
        <v>100000</v>
      </c>
      <c r="M568" s="224"/>
      <c r="N568" s="224"/>
      <c r="O568" s="224"/>
      <c r="P568" s="224"/>
      <c r="Q568" s="224"/>
      <c r="R568" s="224"/>
      <c r="S568" s="224"/>
      <c r="T568" s="224"/>
    </row>
    <row r="569" spans="1:22">
      <c r="A569" s="219" t="s">
        <v>144</v>
      </c>
      <c r="B569" s="214" t="s">
        <v>145</v>
      </c>
      <c r="C569" s="215"/>
      <c r="D569" s="229">
        <v>60000</v>
      </c>
      <c r="E569" s="215"/>
      <c r="F569" s="229">
        <v>30000</v>
      </c>
      <c r="G569" s="215"/>
      <c r="H569" s="229">
        <f>J569-F569</f>
        <v>30000</v>
      </c>
      <c r="I569" s="215"/>
      <c r="J569" s="229">
        <v>60000</v>
      </c>
      <c r="K569" s="215"/>
      <c r="L569" s="231">
        <v>24000</v>
      </c>
      <c r="M569" s="224"/>
      <c r="N569" s="224"/>
      <c r="O569" s="224"/>
      <c r="P569" s="224"/>
      <c r="Q569" s="224"/>
      <c r="R569" s="224"/>
      <c r="S569" s="224"/>
      <c r="T569" s="224"/>
    </row>
    <row r="570" spans="1:22">
      <c r="A570" s="219" t="s">
        <v>146</v>
      </c>
      <c r="B570" s="214" t="s">
        <v>147</v>
      </c>
      <c r="C570" s="215"/>
      <c r="D570" s="229">
        <v>24268.8</v>
      </c>
      <c r="E570" s="215"/>
      <c r="F570" s="229">
        <v>10112</v>
      </c>
      <c r="G570" s="215"/>
      <c r="H570" s="229">
        <f>J570-F570</f>
        <v>14888</v>
      </c>
      <c r="I570" s="215"/>
      <c r="J570" s="229">
        <v>25000</v>
      </c>
      <c r="K570" s="215"/>
      <c r="L570" s="231">
        <v>25000</v>
      </c>
      <c r="M570" s="224"/>
      <c r="N570" s="224"/>
      <c r="O570" s="224"/>
      <c r="P570" s="224"/>
      <c r="Q570" s="224"/>
      <c r="R570" s="224"/>
      <c r="S570" s="224"/>
      <c r="T570" s="224"/>
    </row>
    <row r="571" spans="1:22">
      <c r="A571" s="219" t="s">
        <v>156</v>
      </c>
      <c r="B571" s="214" t="s">
        <v>157</v>
      </c>
      <c r="C571" s="215"/>
      <c r="D571" s="220">
        <v>6000</v>
      </c>
      <c r="E571" s="215"/>
      <c r="F571" s="229">
        <v>7035</v>
      </c>
      <c r="G571" s="215"/>
      <c r="H571" s="229">
        <f>J571-F571</f>
        <v>2965</v>
      </c>
      <c r="I571" s="215"/>
      <c r="J571" s="229">
        <v>10000</v>
      </c>
      <c r="K571" s="215"/>
      <c r="L571" s="231">
        <v>25000</v>
      </c>
      <c r="M571" s="224"/>
      <c r="N571" s="224"/>
      <c r="O571" s="224"/>
      <c r="P571" s="224"/>
      <c r="Q571" s="224"/>
      <c r="R571" s="224"/>
      <c r="S571" s="224"/>
      <c r="T571" s="224"/>
    </row>
    <row r="572" spans="1:22" customHeight="1" ht="15.75">
      <c r="A572" s="219" t="s">
        <v>169</v>
      </c>
      <c r="B572" s="214" t="s">
        <v>170</v>
      </c>
      <c r="C572" s="215"/>
      <c r="D572" s="239">
        <v>20000</v>
      </c>
      <c r="E572" s="215"/>
      <c r="F572" s="239">
        <v>7165</v>
      </c>
      <c r="G572" s="215"/>
      <c r="H572" s="279">
        <f>J572-F572</f>
        <v>500</v>
      </c>
      <c r="I572" s="215"/>
      <c r="J572" s="239">
        <v>7665</v>
      </c>
      <c r="K572" s="215"/>
      <c r="L572" s="257">
        <f>12665+36000</f>
        <v>48665</v>
      </c>
      <c r="M572" s="224"/>
      <c r="N572" s="224"/>
      <c r="O572" s="224"/>
      <c r="P572" s="224"/>
      <c r="Q572" s="224"/>
      <c r="R572" s="224"/>
      <c r="S572" s="224"/>
      <c r="T572" s="224"/>
    </row>
    <row r="573" spans="1:22" customHeight="1" ht="15.75">
      <c r="A573" s="225" t="s">
        <v>200</v>
      </c>
      <c r="B573" s="254"/>
      <c r="C573" s="258" t="s">
        <v>23</v>
      </c>
      <c r="D573" s="245">
        <f>SUM(D567:D572)</f>
        <v>221114.16</v>
      </c>
      <c r="E573" s="258" t="s">
        <v>23</v>
      </c>
      <c r="F573" s="245">
        <f>SUM(F567:F572)</f>
        <v>181968.76</v>
      </c>
      <c r="G573" s="258" t="s">
        <v>23</v>
      </c>
      <c r="H573" s="245">
        <f>SUM(H567:H572)</f>
        <v>95696.24</v>
      </c>
      <c r="I573" s="258" t="s">
        <v>23</v>
      </c>
      <c r="J573" s="245">
        <f>SUM(J567:J572)</f>
        <v>277665</v>
      </c>
      <c r="K573" s="258" t="s">
        <v>23</v>
      </c>
      <c r="L573" s="247">
        <f>SUM(L567:L572)</f>
        <v>362665</v>
      </c>
      <c r="M573" s="248"/>
      <c r="N573" s="248"/>
      <c r="O573" s="248"/>
      <c r="P573" s="248"/>
      <c r="Q573" s="248"/>
      <c r="R573" s="248"/>
      <c r="S573" s="248"/>
      <c r="T573" s="248"/>
    </row>
    <row r="574" spans="1:22">
      <c r="A574" s="225" t="s">
        <v>201</v>
      </c>
      <c r="B574" s="254"/>
      <c r="C574" s="215"/>
      <c r="D574" s="280"/>
      <c r="E574" s="215"/>
      <c r="F574" s="280"/>
      <c r="G574" s="215"/>
      <c r="H574" s="280"/>
      <c r="I574" s="215"/>
      <c r="J574" s="280"/>
      <c r="K574" s="215"/>
      <c r="L574" s="281"/>
      <c r="M574" s="224"/>
      <c r="N574" s="224"/>
      <c r="O574" s="224"/>
      <c r="P574" s="224"/>
      <c r="Q574" s="224"/>
      <c r="R574" s="224"/>
      <c r="S574" s="224"/>
      <c r="T574" s="224"/>
    </row>
    <row r="575" spans="1:22" customHeight="1" ht="15.75">
      <c r="A575" s="219" t="s">
        <v>367</v>
      </c>
      <c r="B575" s="214" t="s">
        <v>209</v>
      </c>
      <c r="C575" s="215" t="s">
        <v>23</v>
      </c>
      <c r="D575" s="226">
        <v>0</v>
      </c>
      <c r="E575" s="215" t="s">
        <v>23</v>
      </c>
      <c r="F575" s="226">
        <v>75000</v>
      </c>
      <c r="G575" s="215" t="s">
        <v>23</v>
      </c>
      <c r="H575" s="239">
        <f>J575-F575</f>
        <v>0</v>
      </c>
      <c r="I575" s="215" t="s">
        <v>23</v>
      </c>
      <c r="J575" s="226">
        <v>75000</v>
      </c>
      <c r="K575" s="215" t="s">
        <v>23</v>
      </c>
      <c r="L575" s="228">
        <v>90000</v>
      </c>
      <c r="M575" s="224"/>
      <c r="N575" s="224"/>
      <c r="O575" s="224"/>
      <c r="P575" s="224"/>
      <c r="Q575" s="224"/>
      <c r="R575" s="224"/>
      <c r="S575" s="224"/>
      <c r="T575" s="224"/>
    </row>
    <row r="576" spans="1:22" customHeight="1" ht="15.75">
      <c r="A576" s="225" t="s">
        <v>214</v>
      </c>
      <c r="B576" s="214"/>
      <c r="C576" s="258" t="s">
        <v>23</v>
      </c>
      <c r="D576" s="282">
        <f>SUM(D575)</f>
        <v>0</v>
      </c>
      <c r="E576" s="258" t="s">
        <v>23</v>
      </c>
      <c r="F576" s="282">
        <f>SUM(F575)</f>
        <v>75000</v>
      </c>
      <c r="G576" s="258" t="s">
        <v>23</v>
      </c>
      <c r="H576" s="282">
        <f>SUM(H575)</f>
        <v>0</v>
      </c>
      <c r="I576" s="258" t="s">
        <v>23</v>
      </c>
      <c r="J576" s="282">
        <f>SUM(J575)</f>
        <v>75000</v>
      </c>
      <c r="K576" s="258" t="s">
        <v>23</v>
      </c>
      <c r="L576" s="283">
        <f>SUM(L575)</f>
        <v>90000</v>
      </c>
      <c r="M576" s="248"/>
      <c r="N576" s="248"/>
      <c r="O576" s="248"/>
      <c r="P576" s="248"/>
      <c r="Q576" s="248"/>
      <c r="R576" s="299"/>
      <c r="S576" s="248"/>
      <c r="T576" s="248"/>
    </row>
    <row r="577" spans="1:22" customHeight="1" ht="15.75">
      <c r="A577" s="284" t="s">
        <v>370</v>
      </c>
      <c r="B577" s="285"/>
      <c r="C577" s="286" t="s">
        <v>23</v>
      </c>
      <c r="D577" s="287">
        <f>D549+D573+D576</f>
        <v>2563620.4</v>
      </c>
      <c r="E577" s="288" t="s">
        <v>23</v>
      </c>
      <c r="F577" s="287">
        <f>F549+F573+F576</f>
        <v>1409588.98</v>
      </c>
      <c r="G577" s="288" t="s">
        <v>23</v>
      </c>
      <c r="H577" s="287">
        <f>H549+H573+H576</f>
        <v>1301116.34</v>
      </c>
      <c r="I577" s="288" t="s">
        <v>23</v>
      </c>
      <c r="J577" s="287">
        <f>J549+J573+J576</f>
        <v>2710705.32</v>
      </c>
      <c r="K577" s="288" t="s">
        <v>23</v>
      </c>
      <c r="L577" s="289">
        <f>L549+L573+L576</f>
        <v>3005875</v>
      </c>
      <c r="M577" s="248"/>
      <c r="N577" s="248"/>
      <c r="O577" s="248"/>
      <c r="P577" s="248"/>
      <c r="Q577" s="248"/>
      <c r="R577" s="248"/>
      <c r="S577" s="248"/>
      <c r="T577" s="248"/>
    </row>
    <row r="578" spans="1:22" customHeight="1" ht="15.75"/>
    <row r="580" spans="1:22">
      <c r="A580" s="215" t="s">
        <v>371</v>
      </c>
      <c r="B580" s="215" t="s">
        <v>372</v>
      </c>
      <c r="C580" s="215"/>
      <c r="D580" s="215"/>
      <c r="E580" s="215"/>
      <c r="F580" s="215"/>
      <c r="G580" s="215" t="s">
        <v>373</v>
      </c>
      <c r="H580" s="215"/>
      <c r="L580" s="188" t="s">
        <v>81</v>
      </c>
    </row>
    <row r="581" spans="1:22">
      <c r="A581" s="215"/>
      <c r="B581" s="215"/>
      <c r="C581" s="215"/>
      <c r="D581" s="215"/>
      <c r="E581" s="215"/>
      <c r="F581" s="215"/>
      <c r="G581" s="215"/>
      <c r="H581" s="215"/>
    </row>
    <row r="583" spans="1:22">
      <c r="A583" s="268" t="s">
        <v>374</v>
      </c>
      <c r="B583" s="269" t="s">
        <v>374</v>
      </c>
      <c r="C583" s="269"/>
      <c r="D583" s="269"/>
      <c r="E583" s="269"/>
      <c r="F583" s="269"/>
      <c r="G583" s="270"/>
      <c r="H583" s="269" t="s">
        <v>326</v>
      </c>
      <c r="I583" s="269"/>
      <c r="J583" s="269"/>
      <c r="K583" s="269"/>
      <c r="L583" s="269"/>
      <c r="M583" s="268"/>
      <c r="N583" s="268"/>
      <c r="O583" s="268"/>
      <c r="P583" s="268"/>
      <c r="Q583" s="268"/>
      <c r="R583" s="268"/>
      <c r="S583" s="268"/>
      <c r="T583" s="268"/>
    </row>
    <row r="584" spans="1:22">
      <c r="A584" s="271" t="s">
        <v>375</v>
      </c>
      <c r="B584" s="272" t="s">
        <v>375</v>
      </c>
      <c r="C584" s="272"/>
      <c r="D584" s="272"/>
      <c r="E584" s="272"/>
      <c r="F584" s="272"/>
      <c r="G584" s="215"/>
      <c r="H584" s="272" t="s">
        <v>327</v>
      </c>
      <c r="I584" s="272"/>
      <c r="J584" s="272"/>
      <c r="K584" s="272"/>
      <c r="L584" s="272"/>
      <c r="M584" s="271"/>
      <c r="N584" s="271"/>
      <c r="O584" s="271"/>
      <c r="P584" s="271"/>
      <c r="Q584" s="271"/>
      <c r="R584" s="271"/>
      <c r="S584" s="271"/>
      <c r="T584" s="271"/>
    </row>
    <row r="589" spans="1:22">
      <c r="J589" s="215"/>
    </row>
    <row r="593" spans="1:22">
      <c r="A593" s="273" t="s">
        <v>346</v>
      </c>
      <c r="B593" s="273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4"/>
      <c r="N593" s="274"/>
      <c r="O593" s="274"/>
      <c r="P593" s="274"/>
      <c r="Q593" s="274"/>
      <c r="R593" s="274"/>
      <c r="S593" s="274"/>
      <c r="T593" s="274"/>
    </row>
    <row r="595" spans="1:22" customHeight="1" ht="15.75">
      <c r="A595" s="183" t="s">
        <v>347</v>
      </c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4"/>
      <c r="N595" s="184"/>
      <c r="O595" s="184"/>
      <c r="P595" s="184"/>
      <c r="Q595" s="184"/>
      <c r="R595" s="184"/>
      <c r="S595" s="184"/>
      <c r="T595" s="184"/>
    </row>
    <row r="596" spans="1:22">
      <c r="A596" s="185" t="s">
        <v>348</v>
      </c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6"/>
      <c r="N596" s="186"/>
      <c r="O596" s="186"/>
      <c r="P596" s="186"/>
      <c r="Q596" s="186"/>
      <c r="R596" s="186"/>
      <c r="S596" s="186"/>
      <c r="T596" s="186"/>
    </row>
    <row r="598" spans="1:22">
      <c r="A598" s="187" t="s">
        <v>394</v>
      </c>
    </row>
    <row r="599" spans="1:22" customHeight="1" ht="15.75"/>
    <row r="600" spans="1:22">
      <c r="A600" s="189"/>
      <c r="B600" s="190"/>
      <c r="C600" s="191" t="s">
        <v>350</v>
      </c>
      <c r="D600" s="192"/>
      <c r="E600" s="193" t="s">
        <v>351</v>
      </c>
      <c r="F600" s="194"/>
      <c r="G600" s="194"/>
      <c r="H600" s="194"/>
      <c r="I600" s="194"/>
      <c r="J600" s="195"/>
      <c r="K600" s="191" t="s">
        <v>352</v>
      </c>
      <c r="L600" s="196"/>
      <c r="M600" s="186"/>
      <c r="N600" s="186"/>
      <c r="O600" s="186"/>
      <c r="P600" s="186"/>
      <c r="Q600" s="186"/>
      <c r="R600" s="186"/>
      <c r="S600" s="186"/>
      <c r="T600" s="186"/>
    </row>
    <row r="601" spans="1:22">
      <c r="A601" s="197" t="s">
        <v>353</v>
      </c>
      <c r="B601" s="198" t="s">
        <v>354</v>
      </c>
      <c r="C601" s="199">
        <v>2023</v>
      </c>
      <c r="D601" s="200"/>
      <c r="E601" s="201" t="s">
        <v>11</v>
      </c>
      <c r="F601" s="202"/>
      <c r="G601" s="201" t="s">
        <v>355</v>
      </c>
      <c r="H601" s="202"/>
      <c r="I601" s="203" t="s">
        <v>356</v>
      </c>
      <c r="J601" s="204"/>
      <c r="K601" s="199">
        <v>2025</v>
      </c>
      <c r="L601" s="205"/>
      <c r="M601" s="186"/>
      <c r="N601" s="186"/>
      <c r="O601" s="186"/>
      <c r="P601" s="186"/>
      <c r="Q601" s="186"/>
      <c r="R601" s="186"/>
      <c r="S601" s="186"/>
      <c r="T601" s="186"/>
    </row>
    <row r="602" spans="1:22" customHeight="1" ht="15.75">
      <c r="A602" s="206"/>
      <c r="B602" s="207"/>
      <c r="C602" s="208" t="s">
        <v>17</v>
      </c>
      <c r="D602" s="209"/>
      <c r="E602" s="208" t="s">
        <v>17</v>
      </c>
      <c r="F602" s="209"/>
      <c r="G602" s="208" t="s">
        <v>18</v>
      </c>
      <c r="H602" s="209"/>
      <c r="I602" s="210"/>
      <c r="J602" s="211"/>
      <c r="K602" s="208" t="s">
        <v>357</v>
      </c>
      <c r="L602" s="212"/>
      <c r="M602" s="186"/>
      <c r="N602" s="186"/>
      <c r="O602" s="186"/>
      <c r="P602" s="186"/>
      <c r="Q602" s="186"/>
      <c r="R602" s="186"/>
      <c r="S602" s="186"/>
      <c r="T602" s="186"/>
    </row>
    <row r="603" spans="1:22">
      <c r="A603" s="213" t="s">
        <v>80</v>
      </c>
      <c r="B603" s="214"/>
      <c r="C603" s="215"/>
      <c r="D603" s="216"/>
      <c r="E603" s="215"/>
      <c r="F603" s="216"/>
      <c r="G603" s="215"/>
      <c r="H603" s="216"/>
      <c r="I603" s="215"/>
      <c r="J603" s="216"/>
      <c r="K603" s="215"/>
      <c r="L603" s="217"/>
      <c r="M603" s="218"/>
      <c r="N603" s="218"/>
      <c r="O603" s="218"/>
      <c r="P603" s="218"/>
      <c r="Q603" s="218"/>
      <c r="R603" s="218"/>
      <c r="S603" s="218"/>
      <c r="T603" s="218"/>
    </row>
    <row r="604" spans="1:22">
      <c r="A604" s="219" t="s">
        <v>82</v>
      </c>
      <c r="B604" s="214" t="s">
        <v>83</v>
      </c>
      <c r="C604" s="215" t="s">
        <v>23</v>
      </c>
      <c r="D604" s="220">
        <v>1761195</v>
      </c>
      <c r="E604" s="215" t="s">
        <v>23</v>
      </c>
      <c r="F604" s="220">
        <v>810434</v>
      </c>
      <c r="G604" s="215" t="s">
        <v>23</v>
      </c>
      <c r="H604" s="220">
        <f>J604-F604</f>
        <v>950854</v>
      </c>
      <c r="I604" s="215" t="s">
        <v>23</v>
      </c>
      <c r="J604" s="220">
        <v>1761288</v>
      </c>
      <c r="K604" s="215" t="s">
        <v>23</v>
      </c>
      <c r="L604" s="223">
        <v>1884162</v>
      </c>
      <c r="M604" s="224"/>
      <c r="N604" s="224"/>
      <c r="O604" s="224"/>
      <c r="P604" s="224"/>
      <c r="Q604" s="224"/>
      <c r="R604" s="224"/>
      <c r="S604" s="224"/>
      <c r="T604" s="224"/>
    </row>
    <row r="605" spans="1:22">
      <c r="A605" s="225" t="s">
        <v>338</v>
      </c>
      <c r="B605" s="214"/>
      <c r="C605" s="215"/>
      <c r="D605" s="226"/>
      <c r="E605" s="215"/>
      <c r="F605" s="226"/>
      <c r="G605" s="215"/>
      <c r="H605" s="226"/>
      <c r="I605" s="215"/>
      <c r="J605" s="226"/>
      <c r="K605" s="215"/>
      <c r="L605" s="228"/>
      <c r="M605" s="224"/>
      <c r="N605" s="224"/>
      <c r="O605" s="224"/>
      <c r="P605" s="224"/>
      <c r="Q605" s="224"/>
      <c r="R605" s="224"/>
      <c r="S605" s="224"/>
      <c r="T605" s="224"/>
    </row>
    <row r="606" spans="1:22">
      <c r="A606" s="219" t="s">
        <v>84</v>
      </c>
      <c r="B606" s="214" t="s">
        <v>85</v>
      </c>
      <c r="C606" s="215"/>
      <c r="D606" s="226">
        <v>120000</v>
      </c>
      <c r="E606" s="215"/>
      <c r="F606" s="226">
        <v>50000</v>
      </c>
      <c r="G606" s="215"/>
      <c r="H606" s="220">
        <f>J606-F606</f>
        <v>70000</v>
      </c>
      <c r="I606" s="215"/>
      <c r="J606" s="226">
        <v>120000</v>
      </c>
      <c r="K606" s="215"/>
      <c r="L606" s="228">
        <v>120000</v>
      </c>
      <c r="M606" s="224"/>
      <c r="N606" s="224"/>
      <c r="O606" s="224"/>
      <c r="P606" s="224"/>
      <c r="Q606" s="224"/>
      <c r="R606" s="224"/>
      <c r="S606" s="224"/>
      <c r="T606" s="224"/>
    </row>
    <row r="607" spans="1:22">
      <c r="A607" s="219" t="s">
        <v>86</v>
      </c>
      <c r="B607" s="214" t="s">
        <v>87</v>
      </c>
      <c r="C607" s="215"/>
      <c r="D607" s="229">
        <v>72000</v>
      </c>
      <c r="E607" s="215"/>
      <c r="F607" s="229">
        <v>40800</v>
      </c>
      <c r="G607" s="215"/>
      <c r="H607" s="220">
        <f>J607-F607</f>
        <v>40800</v>
      </c>
      <c r="I607" s="215"/>
      <c r="J607" s="229">
        <v>81600</v>
      </c>
      <c r="K607" s="215"/>
      <c r="L607" s="231">
        <v>81600</v>
      </c>
      <c r="M607" s="224"/>
      <c r="N607" s="224"/>
      <c r="O607" s="224"/>
      <c r="P607" s="224"/>
      <c r="Q607" s="224"/>
      <c r="R607" s="224"/>
      <c r="S607" s="224"/>
      <c r="T607" s="224"/>
    </row>
    <row r="608" spans="1:22">
      <c r="A608" s="219" t="s">
        <v>88</v>
      </c>
      <c r="B608" s="214" t="s">
        <v>89</v>
      </c>
      <c r="C608" s="215"/>
      <c r="D608" s="229">
        <v>72000</v>
      </c>
      <c r="E608" s="215"/>
      <c r="F608" s="229">
        <v>40800</v>
      </c>
      <c r="G608" s="215"/>
      <c r="H608" s="220">
        <f>J608-F608</f>
        <v>40800</v>
      </c>
      <c r="I608" s="215"/>
      <c r="J608" s="229">
        <v>81600</v>
      </c>
      <c r="K608" s="215"/>
      <c r="L608" s="231">
        <v>81600</v>
      </c>
      <c r="M608" s="224"/>
      <c r="N608" s="224"/>
      <c r="O608" s="224"/>
      <c r="P608" s="224"/>
      <c r="Q608" s="224"/>
      <c r="R608" s="224"/>
      <c r="S608" s="224"/>
      <c r="T608" s="224"/>
    </row>
    <row r="609" spans="1:22">
      <c r="A609" s="219" t="s">
        <v>90</v>
      </c>
      <c r="B609" s="214" t="s">
        <v>91</v>
      </c>
      <c r="C609" s="215"/>
      <c r="D609" s="229">
        <v>30000</v>
      </c>
      <c r="E609" s="215"/>
      <c r="F609" s="229">
        <v>34000</v>
      </c>
      <c r="G609" s="215"/>
      <c r="H609" s="220">
        <f>J609-F609</f>
        <v>1000</v>
      </c>
      <c r="I609" s="215"/>
      <c r="J609" s="229">
        <v>35000</v>
      </c>
      <c r="K609" s="215"/>
      <c r="L609" s="231">
        <v>35000</v>
      </c>
      <c r="M609" s="224"/>
      <c r="N609" s="224"/>
      <c r="O609" s="224"/>
      <c r="P609" s="224"/>
      <c r="Q609" s="224"/>
      <c r="R609" s="224"/>
      <c r="S609" s="224"/>
      <c r="T609" s="224"/>
    </row>
    <row r="610" spans="1:22">
      <c r="A610" s="219" t="s">
        <v>96</v>
      </c>
      <c r="B610" s="214" t="s">
        <v>97</v>
      </c>
      <c r="C610" s="215"/>
      <c r="D610" s="229">
        <v>25000</v>
      </c>
      <c r="E610" s="215"/>
      <c r="F610" s="229">
        <v>0</v>
      </c>
      <c r="G610" s="215"/>
      <c r="H610" s="220">
        <f>J610-F610</f>
        <v>25000</v>
      </c>
      <c r="I610" s="215"/>
      <c r="J610" s="229">
        <v>25000</v>
      </c>
      <c r="K610" s="215"/>
      <c r="L610" s="231">
        <v>25000</v>
      </c>
      <c r="M610" s="224"/>
      <c r="N610" s="224"/>
      <c r="O610" s="224"/>
      <c r="P610" s="224"/>
      <c r="Q610" s="224"/>
      <c r="R610" s="224"/>
      <c r="S610" s="224"/>
      <c r="T610" s="224"/>
    </row>
    <row r="611" spans="1:22">
      <c r="A611" s="219" t="s">
        <v>358</v>
      </c>
      <c r="B611" s="214" t="s">
        <v>99</v>
      </c>
      <c r="C611" s="215"/>
      <c r="D611" s="229">
        <v>75000</v>
      </c>
      <c r="E611" s="215"/>
      <c r="F611" s="229">
        <v>0</v>
      </c>
      <c r="G611" s="215"/>
      <c r="H611" s="220">
        <f>J611-F611</f>
        <v>50000</v>
      </c>
      <c r="I611" s="215"/>
      <c r="J611" s="229">
        <v>50000</v>
      </c>
      <c r="K611" s="215"/>
      <c r="L611" s="231">
        <v>100000</v>
      </c>
      <c r="M611" s="224"/>
      <c r="N611" s="224"/>
      <c r="O611" s="224"/>
      <c r="P611" s="224"/>
      <c r="Q611" s="224"/>
      <c r="R611" s="224"/>
      <c r="S611" s="224"/>
      <c r="T611" s="224"/>
    </row>
    <row r="612" spans="1:22">
      <c r="A612" s="219" t="s">
        <v>102</v>
      </c>
      <c r="B612" s="214" t="s">
        <v>103</v>
      </c>
      <c r="C612" s="215"/>
      <c r="D612" s="229">
        <v>146774</v>
      </c>
      <c r="E612" s="215"/>
      <c r="F612" s="229">
        <v>0</v>
      </c>
      <c r="G612" s="215"/>
      <c r="H612" s="220">
        <f>J612-F612</f>
        <v>146774</v>
      </c>
      <c r="I612" s="215"/>
      <c r="J612" s="229">
        <v>146774</v>
      </c>
      <c r="K612" s="215"/>
      <c r="L612" s="231">
        <v>161477</v>
      </c>
      <c r="M612" s="224"/>
      <c r="N612" s="224"/>
      <c r="O612" s="224"/>
      <c r="P612" s="224"/>
      <c r="Q612" s="224"/>
      <c r="R612" s="224"/>
      <c r="S612" s="224"/>
      <c r="T612" s="224"/>
    </row>
    <row r="613" spans="1:22">
      <c r="A613" s="219" t="s">
        <v>104</v>
      </c>
      <c r="B613" s="214" t="s">
        <v>105</v>
      </c>
      <c r="C613" s="215"/>
      <c r="D613" s="229">
        <v>25000</v>
      </c>
      <c r="E613" s="215"/>
      <c r="F613" s="229">
        <v>0</v>
      </c>
      <c r="G613" s="215"/>
      <c r="H613" s="220">
        <f>J613-F613</f>
        <v>25000</v>
      </c>
      <c r="I613" s="215"/>
      <c r="J613" s="229">
        <v>25000</v>
      </c>
      <c r="K613" s="215"/>
      <c r="L613" s="231">
        <v>25000</v>
      </c>
      <c r="M613" s="224"/>
      <c r="N613" s="224"/>
      <c r="O613" s="224"/>
      <c r="P613" s="224"/>
      <c r="Q613" s="224"/>
      <c r="R613" s="224"/>
      <c r="S613" s="224"/>
      <c r="T613" s="224"/>
    </row>
    <row r="614" spans="1:22">
      <c r="A614" s="219" t="s">
        <v>106</v>
      </c>
      <c r="B614" s="214" t="s">
        <v>107</v>
      </c>
      <c r="C614" s="215"/>
      <c r="D614" s="229">
        <v>146774</v>
      </c>
      <c r="E614" s="215"/>
      <c r="F614" s="229">
        <v>132732</v>
      </c>
      <c r="G614" s="215"/>
      <c r="H614" s="220">
        <f>J614-F614</f>
        <v>14042</v>
      </c>
      <c r="I614" s="215"/>
      <c r="J614" s="229">
        <v>146774</v>
      </c>
      <c r="K614" s="215"/>
      <c r="L614" s="231">
        <v>154869</v>
      </c>
      <c r="M614" s="224"/>
      <c r="N614" s="224"/>
      <c r="O614" s="224"/>
      <c r="P614" s="224"/>
      <c r="Q614" s="224"/>
      <c r="R614" s="224"/>
      <c r="S614" s="224"/>
      <c r="T614" s="224"/>
    </row>
    <row r="615" spans="1:22">
      <c r="A615" s="225" t="s">
        <v>340</v>
      </c>
      <c r="B615" s="214"/>
      <c r="C615" s="215"/>
      <c r="D615" s="226"/>
      <c r="E615" s="215"/>
      <c r="F615" s="226"/>
      <c r="G615" s="215"/>
      <c r="H615" s="226"/>
      <c r="I615" s="215"/>
      <c r="J615" s="226"/>
      <c r="K615" s="215"/>
      <c r="L615" s="228"/>
      <c r="M615" s="224"/>
      <c r="N615" s="224"/>
      <c r="O615" s="224"/>
      <c r="P615" s="224"/>
      <c r="Q615" s="224"/>
      <c r="R615" s="224"/>
      <c r="S615" s="224"/>
      <c r="T615" s="224"/>
    </row>
    <row r="616" spans="1:22">
      <c r="A616" s="219" t="s">
        <v>108</v>
      </c>
      <c r="B616" s="214" t="s">
        <v>109</v>
      </c>
      <c r="C616" s="215"/>
      <c r="D616" s="226">
        <v>211343.4</v>
      </c>
      <c r="E616" s="215"/>
      <c r="F616" s="226">
        <v>97252.08</v>
      </c>
      <c r="G616" s="215"/>
      <c r="H616" s="220">
        <f>J616-F616</f>
        <v>114102.48</v>
      </c>
      <c r="I616" s="215"/>
      <c r="J616" s="226">
        <v>211354.56</v>
      </c>
      <c r="K616" s="215"/>
      <c r="L616" s="228">
        <v>226100</v>
      </c>
      <c r="M616" s="224"/>
      <c r="N616" s="224"/>
      <c r="O616" s="224"/>
      <c r="P616" s="224"/>
      <c r="Q616" s="224"/>
      <c r="R616" s="224"/>
      <c r="S616" s="224"/>
      <c r="T616" s="224"/>
    </row>
    <row r="617" spans="1:22">
      <c r="A617" s="219" t="s">
        <v>110</v>
      </c>
      <c r="B617" s="214" t="s">
        <v>111</v>
      </c>
      <c r="C617" s="215"/>
      <c r="D617" s="229">
        <v>6000</v>
      </c>
      <c r="E617" s="215"/>
      <c r="F617" s="229">
        <v>4500</v>
      </c>
      <c r="G617" s="215"/>
      <c r="H617" s="220">
        <f>J617-F617</f>
        <v>7500</v>
      </c>
      <c r="I617" s="215"/>
      <c r="J617" s="229">
        <v>12000</v>
      </c>
      <c r="K617" s="215"/>
      <c r="L617" s="231">
        <v>12000</v>
      </c>
      <c r="M617" s="224"/>
      <c r="N617" s="224"/>
      <c r="O617" s="224"/>
      <c r="P617" s="224"/>
      <c r="Q617" s="224"/>
      <c r="R617" s="224"/>
      <c r="S617" s="224"/>
      <c r="T617" s="224"/>
    </row>
    <row r="618" spans="1:22">
      <c r="A618" s="219" t="s">
        <v>112</v>
      </c>
      <c r="B618" s="214" t="s">
        <v>113</v>
      </c>
      <c r="C618" s="215"/>
      <c r="D618" s="229">
        <v>35223.9</v>
      </c>
      <c r="E618" s="215"/>
      <c r="F618" s="229">
        <v>20260.91</v>
      </c>
      <c r="G618" s="215"/>
      <c r="H618" s="220">
        <f>J618-F618</f>
        <v>23771.29</v>
      </c>
      <c r="I618" s="215"/>
      <c r="J618" s="229">
        <v>44032.2</v>
      </c>
      <c r="K618" s="215"/>
      <c r="L618" s="231">
        <v>47105</v>
      </c>
      <c r="M618" s="224"/>
      <c r="N618" s="224"/>
      <c r="O618" s="224"/>
      <c r="P618" s="224"/>
      <c r="Q618" s="224"/>
      <c r="R618" s="224"/>
      <c r="S618" s="224"/>
      <c r="T618" s="224"/>
    </row>
    <row r="619" spans="1:22">
      <c r="A619" s="219" t="s">
        <v>114</v>
      </c>
      <c r="B619" s="214" t="s">
        <v>115</v>
      </c>
      <c r="C619" s="215"/>
      <c r="D619" s="229">
        <v>6000</v>
      </c>
      <c r="E619" s="215"/>
      <c r="F619" s="229">
        <v>2500</v>
      </c>
      <c r="G619" s="215"/>
      <c r="H619" s="220">
        <f>J619-F619</f>
        <v>3500</v>
      </c>
      <c r="I619" s="215"/>
      <c r="J619" s="229">
        <v>6000</v>
      </c>
      <c r="K619" s="215"/>
      <c r="L619" s="231">
        <v>6000</v>
      </c>
      <c r="M619" s="224"/>
      <c r="N619" s="224"/>
      <c r="O619" s="224"/>
      <c r="P619" s="224"/>
      <c r="Q619" s="224"/>
      <c r="R619" s="224"/>
      <c r="S619" s="224"/>
      <c r="T619" s="224"/>
    </row>
    <row r="620" spans="1:22">
      <c r="A620" s="225" t="s">
        <v>359</v>
      </c>
      <c r="B620" s="214"/>
      <c r="C620" s="221"/>
      <c r="D620" s="226"/>
      <c r="E620" s="215"/>
      <c r="F620" s="226"/>
      <c r="G620" s="215"/>
      <c r="H620" s="226"/>
      <c r="I620" s="215"/>
      <c r="J620" s="226"/>
      <c r="K620" s="215"/>
      <c r="L620" s="228"/>
      <c r="M620" s="224"/>
      <c r="N620" s="224"/>
      <c r="O620" s="224"/>
      <c r="P620" s="224"/>
      <c r="Q620" s="224"/>
      <c r="R620" s="224"/>
      <c r="S620" s="224"/>
      <c r="T620" s="224"/>
    </row>
    <row r="621" spans="1:22">
      <c r="A621" s="219" t="s">
        <v>360</v>
      </c>
      <c r="B621" s="214" t="s">
        <v>117</v>
      </c>
      <c r="C621" s="215"/>
      <c r="D621" s="220">
        <v>0</v>
      </c>
      <c r="E621" s="215"/>
      <c r="F621" s="220">
        <v>0</v>
      </c>
      <c r="G621" s="215"/>
      <c r="H621" s="220">
        <v>0</v>
      </c>
      <c r="I621" s="215"/>
      <c r="J621" s="220">
        <v>0</v>
      </c>
      <c r="K621" s="215"/>
      <c r="L621" s="223">
        <v>0</v>
      </c>
      <c r="M621" s="224"/>
      <c r="N621" s="224"/>
      <c r="O621" s="224"/>
      <c r="P621" s="224"/>
      <c r="Q621" s="224"/>
      <c r="R621" s="224"/>
      <c r="S621" s="224"/>
      <c r="T621" s="224"/>
    </row>
    <row r="622" spans="1:22" customHeight="1" ht="15.75">
      <c r="A622" s="219" t="s">
        <v>361</v>
      </c>
      <c r="B622" s="214" t="s">
        <v>119</v>
      </c>
      <c r="C622" s="215"/>
      <c r="D622" s="239">
        <v>0</v>
      </c>
      <c r="E622" s="215"/>
      <c r="F622" s="239">
        <v>0</v>
      </c>
      <c r="G622" s="215"/>
      <c r="H622" s="239">
        <v>0</v>
      </c>
      <c r="I622" s="215"/>
      <c r="J622" s="239">
        <v>0</v>
      </c>
      <c r="K622" s="215"/>
      <c r="L622" s="257">
        <v>50000</v>
      </c>
      <c r="M622" s="224"/>
      <c r="N622" s="224"/>
      <c r="O622" s="224"/>
      <c r="P622" s="224"/>
      <c r="Q622" s="224"/>
      <c r="R622" s="224"/>
      <c r="S622" s="224"/>
      <c r="T622" s="224"/>
    </row>
    <row r="623" spans="1:22" customHeight="1" ht="15.75">
      <c r="A623" s="242" t="s">
        <v>120</v>
      </c>
      <c r="B623" s="243"/>
      <c r="C623" s="244" t="s">
        <v>23</v>
      </c>
      <c r="D623" s="245">
        <f>SUM(D604:D622)</f>
        <v>2732310.3</v>
      </c>
      <c r="E623" s="246" t="s">
        <v>23</v>
      </c>
      <c r="F623" s="245">
        <f>SUM(F604:F622)</f>
        <v>1233278.99</v>
      </c>
      <c r="G623" s="246" t="s">
        <v>23</v>
      </c>
      <c r="H623" s="245">
        <f>SUM(H604:H622)</f>
        <v>1513143.77</v>
      </c>
      <c r="I623" s="246" t="s">
        <v>23</v>
      </c>
      <c r="J623" s="245">
        <f>SUM(J604:J622)</f>
        <v>2746422.76</v>
      </c>
      <c r="K623" s="246" t="s">
        <v>23</v>
      </c>
      <c r="L623" s="300">
        <f>SUM(L604:L622)</f>
        <v>3009913</v>
      </c>
      <c r="M623" s="248"/>
      <c r="N623" s="248"/>
      <c r="O623" s="248"/>
      <c r="P623" s="248"/>
      <c r="Q623" s="248"/>
      <c r="R623" s="248"/>
      <c r="S623" s="248"/>
      <c r="T623" s="248"/>
    </row>
    <row r="627" spans="1:22">
      <c r="J627" s="215"/>
    </row>
    <row r="630" spans="1:22">
      <c r="A630" s="273" t="s">
        <v>346</v>
      </c>
      <c r="B630" s="273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4"/>
      <c r="N630" s="274"/>
      <c r="O630" s="274"/>
      <c r="P630" s="274"/>
      <c r="Q630" s="274"/>
      <c r="R630" s="274"/>
      <c r="S630" s="274"/>
      <c r="T630" s="274"/>
    </row>
    <row r="632" spans="1:22" customHeight="1" ht="15.75">
      <c r="A632" s="183" t="s">
        <v>347</v>
      </c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4"/>
      <c r="N632" s="184"/>
      <c r="O632" s="184"/>
      <c r="P632" s="184"/>
      <c r="Q632" s="184"/>
      <c r="R632" s="184"/>
      <c r="S632" s="184"/>
      <c r="T632" s="184"/>
    </row>
    <row r="633" spans="1:22">
      <c r="A633" s="185" t="s">
        <v>348</v>
      </c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6"/>
      <c r="N633" s="186"/>
      <c r="O633" s="186"/>
      <c r="P633" s="186"/>
      <c r="Q633" s="186"/>
      <c r="R633" s="186"/>
      <c r="S633" s="186"/>
      <c r="T633" s="186"/>
    </row>
    <row r="635" spans="1:22">
      <c r="A635" s="187" t="s">
        <v>394</v>
      </c>
    </row>
    <row r="636" spans="1:22" customHeight="1" ht="15.75"/>
    <row r="637" spans="1:22">
      <c r="A637" s="189"/>
      <c r="B637" s="190"/>
      <c r="C637" s="191" t="s">
        <v>350</v>
      </c>
      <c r="D637" s="192"/>
      <c r="E637" s="193" t="s">
        <v>351</v>
      </c>
      <c r="F637" s="194"/>
      <c r="G637" s="194"/>
      <c r="H637" s="194"/>
      <c r="I637" s="194"/>
      <c r="J637" s="195"/>
      <c r="K637" s="191" t="s">
        <v>352</v>
      </c>
      <c r="L637" s="196"/>
      <c r="M637" s="186"/>
      <c r="N637" s="186"/>
      <c r="O637" s="186"/>
      <c r="P637" s="186"/>
      <c r="Q637" s="186"/>
      <c r="R637" s="186"/>
      <c r="S637" s="186"/>
      <c r="T637" s="186"/>
    </row>
    <row r="638" spans="1:22">
      <c r="A638" s="197" t="s">
        <v>353</v>
      </c>
      <c r="B638" s="198" t="s">
        <v>354</v>
      </c>
      <c r="C638" s="199">
        <v>2023</v>
      </c>
      <c r="D638" s="200"/>
      <c r="E638" s="201" t="s">
        <v>11</v>
      </c>
      <c r="F638" s="202"/>
      <c r="G638" s="201" t="s">
        <v>355</v>
      </c>
      <c r="H638" s="202"/>
      <c r="I638" s="203" t="s">
        <v>356</v>
      </c>
      <c r="J638" s="204"/>
      <c r="K638" s="199">
        <v>2025</v>
      </c>
      <c r="L638" s="205"/>
      <c r="M638" s="186"/>
      <c r="N638" s="186"/>
      <c r="O638" s="186"/>
      <c r="P638" s="186"/>
      <c r="Q638" s="186"/>
      <c r="R638" s="186"/>
      <c r="S638" s="186"/>
      <c r="T638" s="186"/>
    </row>
    <row r="639" spans="1:22" customHeight="1" ht="15.75">
      <c r="A639" s="206"/>
      <c r="B639" s="207"/>
      <c r="C639" s="208" t="s">
        <v>17</v>
      </c>
      <c r="D639" s="209"/>
      <c r="E639" s="208" t="s">
        <v>17</v>
      </c>
      <c r="F639" s="209"/>
      <c r="G639" s="208" t="s">
        <v>18</v>
      </c>
      <c r="H639" s="209"/>
      <c r="I639" s="210"/>
      <c r="J639" s="211"/>
      <c r="K639" s="208" t="s">
        <v>357</v>
      </c>
      <c r="L639" s="212"/>
      <c r="M639" s="186"/>
      <c r="N639" s="186"/>
      <c r="O639" s="186"/>
      <c r="P639" s="186"/>
      <c r="Q639" s="186"/>
      <c r="R639" s="186"/>
      <c r="S639" s="186"/>
      <c r="T639" s="186"/>
    </row>
    <row r="640" spans="1:22">
      <c r="A640" s="225" t="s">
        <v>121</v>
      </c>
      <c r="B640" s="254"/>
      <c r="C640" s="215"/>
      <c r="D640" s="216"/>
      <c r="E640" s="215"/>
      <c r="F640" s="216"/>
      <c r="G640" s="215"/>
      <c r="H640" s="216"/>
      <c r="I640" s="215"/>
      <c r="J640" s="216"/>
      <c r="K640" s="215"/>
      <c r="L640" s="217"/>
      <c r="M640" s="218"/>
      <c r="N640" s="218"/>
      <c r="O640" s="218"/>
      <c r="P640" s="218"/>
      <c r="Q640" s="218"/>
      <c r="R640" s="218"/>
      <c r="S640" s="218"/>
      <c r="T640" s="218"/>
    </row>
    <row r="641" spans="1:22">
      <c r="A641" s="219" t="s">
        <v>122</v>
      </c>
      <c r="B641" s="214" t="s">
        <v>123</v>
      </c>
      <c r="C641" s="215" t="s">
        <v>23</v>
      </c>
      <c r="D641" s="226">
        <v>48547</v>
      </c>
      <c r="E641" s="215" t="s">
        <v>23</v>
      </c>
      <c r="F641" s="226">
        <v>41400</v>
      </c>
      <c r="G641" s="215" t="s">
        <v>23</v>
      </c>
      <c r="H641" s="226">
        <f>J641-F641</f>
        <v>41600</v>
      </c>
      <c r="I641" s="215" t="s">
        <v>23</v>
      </c>
      <c r="J641" s="226">
        <v>83000</v>
      </c>
      <c r="K641" s="215" t="s">
        <v>23</v>
      </c>
      <c r="L641" s="228">
        <v>115000</v>
      </c>
      <c r="M641" s="224"/>
      <c r="N641" s="224"/>
      <c r="O641" s="224"/>
      <c r="P641" s="224"/>
      <c r="Q641" s="224"/>
      <c r="R641" s="224"/>
      <c r="S641" s="224"/>
      <c r="T641" s="224"/>
    </row>
    <row r="642" spans="1:22">
      <c r="A642" s="219" t="s">
        <v>126</v>
      </c>
      <c r="B642" s="214" t="s">
        <v>127</v>
      </c>
      <c r="C642" s="215"/>
      <c r="D642" s="229">
        <v>99761</v>
      </c>
      <c r="E642" s="215"/>
      <c r="F642" s="229">
        <v>41939.71</v>
      </c>
      <c r="G642" s="215"/>
      <c r="H642" s="229">
        <f>J642-F642</f>
        <v>79165.29</v>
      </c>
      <c r="I642" s="215"/>
      <c r="J642" s="229">
        <v>121105</v>
      </c>
      <c r="K642" s="215"/>
      <c r="L642" s="231">
        <v>141605</v>
      </c>
      <c r="M642" s="224"/>
      <c r="N642" s="224"/>
      <c r="O642" s="224"/>
      <c r="P642" s="224"/>
      <c r="Q642" s="224"/>
      <c r="R642" s="224"/>
      <c r="S642" s="224"/>
      <c r="T642" s="224"/>
    </row>
    <row r="643" spans="1:22">
      <c r="A643" s="219" t="s">
        <v>144</v>
      </c>
      <c r="B643" s="214" t="s">
        <v>145</v>
      </c>
      <c r="C643" s="215"/>
      <c r="D643" s="229">
        <v>60000</v>
      </c>
      <c r="E643" s="215"/>
      <c r="F643" s="229">
        <v>30000</v>
      </c>
      <c r="G643" s="215"/>
      <c r="H643" s="229">
        <f>J643-F643</f>
        <v>30000</v>
      </c>
      <c r="I643" s="215"/>
      <c r="J643" s="229">
        <v>60000</v>
      </c>
      <c r="K643" s="215"/>
      <c r="L643" s="231">
        <v>24000</v>
      </c>
      <c r="M643" s="224"/>
      <c r="N643" s="224"/>
      <c r="O643" s="224"/>
      <c r="P643" s="224"/>
      <c r="Q643" s="224"/>
      <c r="R643" s="224"/>
      <c r="S643" s="224"/>
      <c r="T643" s="224"/>
    </row>
    <row r="644" spans="1:22">
      <c r="A644" s="219" t="s">
        <v>146</v>
      </c>
      <c r="B644" s="214" t="s">
        <v>147</v>
      </c>
      <c r="C644" s="215"/>
      <c r="D644" s="229">
        <v>24834.74</v>
      </c>
      <c r="E644" s="215"/>
      <c r="F644" s="229">
        <v>13095.4</v>
      </c>
      <c r="G644" s="215"/>
      <c r="H644" s="229">
        <f>J644-F644</f>
        <v>16904.6</v>
      </c>
      <c r="I644" s="215"/>
      <c r="J644" s="229">
        <v>30000</v>
      </c>
      <c r="K644" s="215"/>
      <c r="L644" s="231">
        <v>30000</v>
      </c>
      <c r="M644" s="224"/>
      <c r="N644" s="224"/>
      <c r="O644" s="224"/>
      <c r="P644" s="224"/>
      <c r="Q644" s="224"/>
      <c r="R644" s="224"/>
      <c r="S644" s="224"/>
      <c r="T644" s="224"/>
    </row>
    <row r="645" spans="1:22">
      <c r="A645" s="219" t="s">
        <v>150</v>
      </c>
      <c r="B645" s="214" t="s">
        <v>151</v>
      </c>
      <c r="C645" s="215"/>
      <c r="D645" s="229">
        <v>62943</v>
      </c>
      <c r="E645" s="215"/>
      <c r="F645" s="229">
        <v>0</v>
      </c>
      <c r="G645" s="215"/>
      <c r="H645" s="229">
        <f>J645-F645</f>
        <v>71500</v>
      </c>
      <c r="I645" s="215"/>
      <c r="J645" s="229">
        <v>71500</v>
      </c>
      <c r="K645" s="215"/>
      <c r="L645" s="231">
        <v>80000</v>
      </c>
      <c r="M645" s="224"/>
      <c r="N645" s="224"/>
      <c r="O645" s="224"/>
      <c r="P645" s="224"/>
      <c r="Q645" s="224"/>
      <c r="R645" s="224"/>
      <c r="S645" s="224"/>
      <c r="T645" s="224"/>
    </row>
    <row r="646" spans="1:22">
      <c r="A646" s="219" t="s">
        <v>156</v>
      </c>
      <c r="B646" s="214" t="s">
        <v>157</v>
      </c>
      <c r="C646" s="215"/>
      <c r="D646" s="229">
        <v>11064</v>
      </c>
      <c r="E646" s="215"/>
      <c r="F646" s="229">
        <v>2400</v>
      </c>
      <c r="G646" s="215"/>
      <c r="H646" s="229">
        <f>J646-F646</f>
        <v>17600</v>
      </c>
      <c r="I646" s="215"/>
      <c r="J646" s="229">
        <v>20000</v>
      </c>
      <c r="K646" s="215"/>
      <c r="L646" s="231">
        <v>25000</v>
      </c>
      <c r="M646" s="224"/>
      <c r="N646" s="224"/>
      <c r="O646" s="224"/>
      <c r="P646" s="224"/>
      <c r="Q646" s="224"/>
      <c r="R646" s="224"/>
      <c r="S646" s="224"/>
      <c r="T646" s="224"/>
    </row>
    <row r="647" spans="1:22" customHeight="1" ht="15.75">
      <c r="A647" s="219" t="s">
        <v>169</v>
      </c>
      <c r="B647" s="214" t="s">
        <v>170</v>
      </c>
      <c r="C647" s="215"/>
      <c r="D647" s="239">
        <v>2550</v>
      </c>
      <c r="E647" s="215"/>
      <c r="F647" s="239">
        <v>0</v>
      </c>
      <c r="G647" s="215"/>
      <c r="H647" s="279">
        <f>J647-F647</f>
        <v>0</v>
      </c>
      <c r="I647" s="215"/>
      <c r="J647" s="239">
        <v>0</v>
      </c>
      <c r="K647" s="215"/>
      <c r="L647" s="257"/>
      <c r="M647" s="224"/>
      <c r="N647" s="224"/>
      <c r="O647" s="224"/>
      <c r="P647" s="224"/>
      <c r="Q647" s="224"/>
      <c r="R647" s="224"/>
      <c r="S647" s="224"/>
      <c r="T647" s="224"/>
    </row>
    <row r="648" spans="1:22" customHeight="1" ht="15.75">
      <c r="A648" s="225" t="s">
        <v>200</v>
      </c>
      <c r="B648" s="254"/>
      <c r="C648" s="258" t="s">
        <v>23</v>
      </c>
      <c r="D648" s="245">
        <f>SUM(D641:D647)</f>
        <v>309699.74</v>
      </c>
      <c r="E648" s="258" t="s">
        <v>23</v>
      </c>
      <c r="F648" s="245">
        <f>SUM(F641:F647)</f>
        <v>128835.11</v>
      </c>
      <c r="G648" s="258" t="s">
        <v>23</v>
      </c>
      <c r="H648" s="245">
        <f>SUM(H641:H647)</f>
        <v>256769.89</v>
      </c>
      <c r="I648" s="258" t="s">
        <v>23</v>
      </c>
      <c r="J648" s="245">
        <f>SUM(J641:J647)</f>
        <v>385605</v>
      </c>
      <c r="K648" s="258" t="s">
        <v>23</v>
      </c>
      <c r="L648" s="247">
        <f>SUM(L641:L647)</f>
        <v>415605</v>
      </c>
      <c r="M648" s="248"/>
      <c r="N648" s="248"/>
      <c r="O648" s="248"/>
      <c r="P648" s="248"/>
      <c r="Q648" s="248"/>
      <c r="R648" s="248"/>
      <c r="S648" s="248"/>
      <c r="T648" s="248"/>
    </row>
    <row r="649" spans="1:22">
      <c r="A649" s="225" t="s">
        <v>201</v>
      </c>
      <c r="B649" s="254"/>
      <c r="C649" s="215"/>
      <c r="D649" s="280"/>
      <c r="E649" s="215"/>
      <c r="F649" s="280"/>
      <c r="G649" s="215"/>
      <c r="H649" s="280"/>
      <c r="I649" s="215"/>
      <c r="J649" s="280"/>
      <c r="K649" s="215"/>
      <c r="L649" s="281"/>
      <c r="M649" s="224"/>
      <c r="N649" s="224"/>
      <c r="O649" s="224"/>
      <c r="P649" s="224"/>
      <c r="Q649" s="224"/>
      <c r="R649" s="224"/>
      <c r="S649" s="224"/>
      <c r="T649" s="224"/>
    </row>
    <row r="650" spans="1:22" customHeight="1" ht="15.75">
      <c r="A650" s="219" t="s">
        <v>367</v>
      </c>
      <c r="B650" s="214" t="s">
        <v>209</v>
      </c>
      <c r="C650" s="215" t="s">
        <v>23</v>
      </c>
      <c r="D650" s="226">
        <v>0</v>
      </c>
      <c r="E650" s="215" t="s">
        <v>23</v>
      </c>
      <c r="F650" s="226">
        <v>0</v>
      </c>
      <c r="G650" s="215" t="s">
        <v>23</v>
      </c>
      <c r="H650" s="226">
        <v>0</v>
      </c>
      <c r="I650" s="215" t="s">
        <v>23</v>
      </c>
      <c r="J650" s="226">
        <v>0</v>
      </c>
      <c r="K650" s="215" t="s">
        <v>23</v>
      </c>
      <c r="L650" s="228">
        <v>70000</v>
      </c>
      <c r="M650" s="224"/>
      <c r="N650" s="224"/>
      <c r="O650" s="224"/>
      <c r="P650" s="224"/>
      <c r="Q650" s="224"/>
      <c r="R650" s="224"/>
      <c r="S650" s="224"/>
      <c r="T650" s="224"/>
    </row>
    <row r="651" spans="1:22" customHeight="1" ht="15.75">
      <c r="A651" s="225" t="s">
        <v>214</v>
      </c>
      <c r="B651" s="214"/>
      <c r="C651" s="258" t="s">
        <v>23</v>
      </c>
      <c r="D651" s="282">
        <f>SUM(D650)</f>
        <v>0</v>
      </c>
      <c r="E651" s="258" t="s">
        <v>23</v>
      </c>
      <c r="F651" s="282">
        <f>SUM(F650)</f>
        <v>0</v>
      </c>
      <c r="G651" s="258" t="s">
        <v>23</v>
      </c>
      <c r="H651" s="282">
        <f>SUM(H650)</f>
        <v>0</v>
      </c>
      <c r="I651" s="258" t="s">
        <v>23</v>
      </c>
      <c r="J651" s="282">
        <f>SUM(J650)</f>
        <v>0</v>
      </c>
      <c r="K651" s="258" t="s">
        <v>23</v>
      </c>
      <c r="L651" s="283">
        <f>SUM(L650)</f>
        <v>70000</v>
      </c>
      <c r="M651" s="248"/>
      <c r="N651" s="248"/>
      <c r="O651" s="248"/>
      <c r="P651" s="248"/>
      <c r="Q651" s="248"/>
      <c r="R651" s="248"/>
      <c r="S651" s="248"/>
      <c r="T651" s="248"/>
    </row>
    <row r="652" spans="1:22" customHeight="1" ht="15.75">
      <c r="A652" s="284" t="s">
        <v>370</v>
      </c>
      <c r="B652" s="285"/>
      <c r="C652" s="286" t="s">
        <v>23</v>
      </c>
      <c r="D652" s="287">
        <f>D623+D648+D651</f>
        <v>3042010.04</v>
      </c>
      <c r="E652" s="288" t="s">
        <v>23</v>
      </c>
      <c r="F652" s="287">
        <f>F623+F648+F651</f>
        <v>1362114.1</v>
      </c>
      <c r="G652" s="288" t="s">
        <v>23</v>
      </c>
      <c r="H652" s="287">
        <f>H623+H648+H651</f>
        <v>1769913.66</v>
      </c>
      <c r="I652" s="288" t="s">
        <v>23</v>
      </c>
      <c r="J652" s="287">
        <f>J623+J648+J651</f>
        <v>3132027.76</v>
      </c>
      <c r="K652" s="288" t="s">
        <v>23</v>
      </c>
      <c r="L652" s="289">
        <f>L623+L648+L651</f>
        <v>3495518</v>
      </c>
      <c r="M652" s="248"/>
      <c r="N652" s="248"/>
      <c r="O652" s="248"/>
      <c r="P652" s="248"/>
      <c r="Q652" s="248"/>
      <c r="R652" s="248"/>
      <c r="S652" s="248"/>
      <c r="T652" s="248"/>
    </row>
    <row r="653" spans="1:22" customHeight="1" ht="15.75"/>
    <row r="654" spans="1:22">
      <c r="A654" s="215" t="s">
        <v>371</v>
      </c>
      <c r="B654" s="215" t="s">
        <v>372</v>
      </c>
      <c r="C654" s="215"/>
      <c r="D654" s="215"/>
      <c r="E654" s="215"/>
      <c r="F654" s="215"/>
      <c r="G654" s="215" t="s">
        <v>373</v>
      </c>
      <c r="H654" s="215"/>
    </row>
    <row r="655" spans="1:22">
      <c r="A655" s="215"/>
      <c r="B655" s="215"/>
      <c r="C655" s="215"/>
      <c r="D655" s="215"/>
      <c r="E655" s="215"/>
      <c r="F655" s="215"/>
      <c r="G655" s="215"/>
      <c r="H655" s="215"/>
    </row>
    <row r="657" spans="1:22">
      <c r="A657" s="268" t="s">
        <v>395</v>
      </c>
      <c r="B657" s="269" t="s">
        <v>374</v>
      </c>
      <c r="C657" s="269"/>
      <c r="D657" s="269"/>
      <c r="E657" s="269"/>
      <c r="F657" s="269"/>
      <c r="G657" s="270"/>
      <c r="H657" s="269" t="s">
        <v>326</v>
      </c>
      <c r="I657" s="269"/>
      <c r="J657" s="269"/>
      <c r="K657" s="269"/>
      <c r="L657" s="269"/>
      <c r="M657" s="268"/>
      <c r="N657" s="268"/>
      <c r="O657" s="268"/>
      <c r="P657" s="268"/>
      <c r="Q657" s="268"/>
      <c r="R657" s="268"/>
      <c r="S657" s="268"/>
      <c r="T657" s="268"/>
    </row>
    <row r="658" spans="1:22">
      <c r="A658" s="271" t="s">
        <v>396</v>
      </c>
      <c r="B658" s="272" t="s">
        <v>375</v>
      </c>
      <c r="C658" s="272"/>
      <c r="D658" s="272"/>
      <c r="E658" s="272"/>
      <c r="F658" s="272"/>
      <c r="G658" s="215"/>
      <c r="H658" s="272" t="s">
        <v>327</v>
      </c>
      <c r="I658" s="272"/>
      <c r="J658" s="272"/>
      <c r="K658" s="272"/>
      <c r="L658" s="272"/>
      <c r="M658" s="271"/>
      <c r="N658" s="271"/>
      <c r="O658" s="271"/>
      <c r="P658" s="271"/>
      <c r="Q658" s="271"/>
      <c r="R658" s="271"/>
      <c r="S658" s="271"/>
      <c r="T658" s="271"/>
    </row>
    <row r="662" spans="1:22">
      <c r="L662" s="188" t="s">
        <v>397</v>
      </c>
    </row>
    <row r="663" spans="1:22">
      <c r="J663" s="215"/>
    </row>
    <row r="667" spans="1:22">
      <c r="A667" s="273" t="s">
        <v>346</v>
      </c>
      <c r="B667" s="273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4"/>
      <c r="N667" s="274"/>
      <c r="O667" s="274"/>
      <c r="P667" s="274"/>
      <c r="Q667" s="274"/>
      <c r="R667" s="274"/>
      <c r="S667" s="274"/>
      <c r="T667" s="274"/>
    </row>
    <row r="669" spans="1:22" customHeight="1" ht="15.75">
      <c r="A669" s="183" t="s">
        <v>347</v>
      </c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4"/>
      <c r="N669" s="184"/>
      <c r="O669" s="184"/>
      <c r="P669" s="184"/>
      <c r="Q669" s="184"/>
      <c r="R669" s="184"/>
      <c r="S669" s="184"/>
      <c r="T669" s="184"/>
    </row>
    <row r="670" spans="1:22">
      <c r="A670" s="185" t="s">
        <v>348</v>
      </c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6"/>
      <c r="N670" s="186"/>
      <c r="O670" s="186"/>
      <c r="P670" s="186"/>
      <c r="Q670" s="186"/>
      <c r="R670" s="186"/>
      <c r="S670" s="186"/>
      <c r="T670" s="186"/>
    </row>
    <row r="672" spans="1:22">
      <c r="A672" s="187" t="s">
        <v>398</v>
      </c>
    </row>
    <row r="673" spans="1:22" customHeight="1" ht="15.75"/>
    <row r="674" spans="1:22">
      <c r="A674" s="189"/>
      <c r="B674" s="190"/>
      <c r="C674" s="191" t="s">
        <v>350</v>
      </c>
      <c r="D674" s="192"/>
      <c r="E674" s="193" t="s">
        <v>351</v>
      </c>
      <c r="F674" s="194"/>
      <c r="G674" s="194"/>
      <c r="H674" s="194"/>
      <c r="I674" s="194"/>
      <c r="J674" s="195"/>
      <c r="K674" s="191" t="s">
        <v>352</v>
      </c>
      <c r="L674" s="196"/>
      <c r="M674" s="186"/>
      <c r="N674" s="186"/>
      <c r="O674" s="186"/>
      <c r="P674" s="186"/>
      <c r="Q674" s="186"/>
      <c r="R674" s="186"/>
      <c r="S674" s="186"/>
      <c r="T674" s="186"/>
    </row>
    <row r="675" spans="1:22">
      <c r="A675" s="197" t="s">
        <v>353</v>
      </c>
      <c r="B675" s="198" t="s">
        <v>354</v>
      </c>
      <c r="C675" s="199">
        <v>2023</v>
      </c>
      <c r="D675" s="200"/>
      <c r="E675" s="201" t="s">
        <v>11</v>
      </c>
      <c r="F675" s="202"/>
      <c r="G675" s="201" t="s">
        <v>355</v>
      </c>
      <c r="H675" s="202"/>
      <c r="I675" s="203" t="s">
        <v>356</v>
      </c>
      <c r="J675" s="204"/>
      <c r="K675" s="199">
        <v>2025</v>
      </c>
      <c r="L675" s="205"/>
      <c r="M675" s="186"/>
      <c r="N675" s="186"/>
      <c r="O675" s="186"/>
      <c r="P675" s="186"/>
      <c r="Q675" s="186"/>
      <c r="R675" s="186"/>
      <c r="S675" s="186"/>
      <c r="T675" s="186"/>
    </row>
    <row r="676" spans="1:22" customHeight="1" ht="15.75">
      <c r="A676" s="206"/>
      <c r="B676" s="207"/>
      <c r="C676" s="208" t="s">
        <v>17</v>
      </c>
      <c r="D676" s="209"/>
      <c r="E676" s="208" t="s">
        <v>17</v>
      </c>
      <c r="F676" s="209"/>
      <c r="G676" s="208" t="s">
        <v>18</v>
      </c>
      <c r="H676" s="209"/>
      <c r="I676" s="210"/>
      <c r="J676" s="211"/>
      <c r="K676" s="208" t="s">
        <v>357</v>
      </c>
      <c r="L676" s="212"/>
      <c r="M676" s="186"/>
      <c r="N676" s="186"/>
      <c r="O676" s="186"/>
      <c r="P676" s="186"/>
      <c r="Q676" s="186"/>
      <c r="R676" s="186"/>
      <c r="S676" s="186"/>
      <c r="T676" s="186"/>
    </row>
    <row r="677" spans="1:22">
      <c r="A677" s="213" t="s">
        <v>80</v>
      </c>
      <c r="B677" s="214"/>
      <c r="C677" s="215"/>
      <c r="D677" s="216"/>
      <c r="E677" s="215"/>
      <c r="F677" s="216"/>
      <c r="G677" s="215"/>
      <c r="H677" s="216"/>
      <c r="I677" s="215"/>
      <c r="J677" s="216"/>
      <c r="K677" s="215"/>
      <c r="L677" s="217"/>
      <c r="M677" s="218"/>
      <c r="N677" s="218"/>
      <c r="O677" s="218"/>
      <c r="P677" s="218"/>
      <c r="Q677" s="218"/>
      <c r="R677" s="218"/>
      <c r="S677" s="218"/>
      <c r="T677" s="218"/>
    </row>
    <row r="678" spans="1:22">
      <c r="A678" s="219" t="s">
        <v>82</v>
      </c>
      <c r="B678" s="214" t="s">
        <v>83</v>
      </c>
      <c r="C678" s="215" t="s">
        <v>23</v>
      </c>
      <c r="D678" s="220">
        <v>1076007.76</v>
      </c>
      <c r="E678" s="215" t="s">
        <v>23</v>
      </c>
      <c r="F678" s="220">
        <v>680592</v>
      </c>
      <c r="G678" s="215" t="s">
        <v>23</v>
      </c>
      <c r="H678" s="220">
        <f>J678-F678</f>
        <v>1969752</v>
      </c>
      <c r="I678" s="215" t="s">
        <v>23</v>
      </c>
      <c r="J678" s="220">
        <v>2650344</v>
      </c>
      <c r="K678" s="215" t="s">
        <v>23</v>
      </c>
      <c r="L678" s="223">
        <v>2802742</v>
      </c>
      <c r="M678" s="224"/>
      <c r="N678" s="224"/>
      <c r="O678" s="224"/>
      <c r="P678" s="224"/>
      <c r="Q678" s="224"/>
      <c r="R678" s="224"/>
      <c r="S678" s="224"/>
      <c r="T678" s="224"/>
    </row>
    <row r="679" spans="1:22">
      <c r="A679" s="225" t="s">
        <v>338</v>
      </c>
      <c r="B679" s="214"/>
      <c r="C679" s="215"/>
      <c r="D679" s="226"/>
      <c r="E679" s="215"/>
      <c r="F679" s="226"/>
      <c r="G679" s="215"/>
      <c r="H679" s="226"/>
      <c r="I679" s="215"/>
      <c r="J679" s="226"/>
      <c r="K679" s="215"/>
      <c r="L679" s="228"/>
      <c r="M679" s="224"/>
      <c r="N679" s="224"/>
      <c r="O679" s="224"/>
      <c r="P679" s="224"/>
      <c r="Q679" s="224"/>
      <c r="R679" s="224"/>
      <c r="S679" s="224"/>
      <c r="T679" s="224"/>
    </row>
    <row r="680" spans="1:22">
      <c r="A680" s="219" t="s">
        <v>84</v>
      </c>
      <c r="B680" s="214" t="s">
        <v>85</v>
      </c>
      <c r="C680" s="215"/>
      <c r="D680" s="226">
        <v>120000</v>
      </c>
      <c r="E680" s="215"/>
      <c r="F680" s="226">
        <v>70000</v>
      </c>
      <c r="G680" s="215"/>
      <c r="H680" s="220">
        <f>J680-F680</f>
        <v>122000</v>
      </c>
      <c r="I680" s="215"/>
      <c r="J680" s="226">
        <v>192000</v>
      </c>
      <c r="K680" s="215"/>
      <c r="L680" s="228">
        <v>192000</v>
      </c>
      <c r="M680" s="224"/>
      <c r="N680" s="224"/>
      <c r="O680" s="224"/>
      <c r="P680" s="224"/>
      <c r="Q680" s="224"/>
      <c r="R680" s="224"/>
      <c r="S680" s="224"/>
      <c r="T680" s="224"/>
    </row>
    <row r="681" spans="1:22">
      <c r="A681" s="219" t="s">
        <v>86</v>
      </c>
      <c r="B681" s="214" t="s">
        <v>87</v>
      </c>
      <c r="C681" s="215"/>
      <c r="D681" s="229">
        <v>72000</v>
      </c>
      <c r="E681" s="215"/>
      <c r="F681" s="229">
        <v>40800</v>
      </c>
      <c r="G681" s="215"/>
      <c r="H681" s="220">
        <f>J681-F681</f>
        <v>40800</v>
      </c>
      <c r="I681" s="215"/>
      <c r="J681" s="229">
        <v>81600</v>
      </c>
      <c r="K681" s="215"/>
      <c r="L681" s="231">
        <v>81600</v>
      </c>
      <c r="M681" s="224"/>
      <c r="N681" s="224"/>
      <c r="O681" s="224"/>
      <c r="P681" s="224"/>
      <c r="Q681" s="224"/>
      <c r="R681" s="224"/>
      <c r="S681" s="224"/>
      <c r="T681" s="224"/>
    </row>
    <row r="682" spans="1:22">
      <c r="A682" s="219" t="s">
        <v>88</v>
      </c>
      <c r="B682" s="214" t="s">
        <v>89</v>
      </c>
      <c r="C682" s="215"/>
      <c r="D682" s="229">
        <v>72000</v>
      </c>
      <c r="E682" s="215"/>
      <c r="F682" s="229">
        <v>40800</v>
      </c>
      <c r="G682" s="215"/>
      <c r="H682" s="220">
        <f>J682-F682</f>
        <v>40800</v>
      </c>
      <c r="I682" s="215"/>
      <c r="J682" s="229">
        <v>81600</v>
      </c>
      <c r="K682" s="215"/>
      <c r="L682" s="231">
        <v>81600</v>
      </c>
      <c r="M682" s="224"/>
      <c r="N682" s="224"/>
      <c r="O682" s="224"/>
      <c r="P682" s="224"/>
      <c r="Q682" s="224"/>
      <c r="R682" s="224"/>
      <c r="S682" s="224"/>
      <c r="T682" s="224"/>
    </row>
    <row r="683" spans="1:22">
      <c r="A683" s="219" t="s">
        <v>90</v>
      </c>
      <c r="B683" s="214" t="s">
        <v>91</v>
      </c>
      <c r="C683" s="215"/>
      <c r="D683" s="229">
        <v>30000</v>
      </c>
      <c r="E683" s="215"/>
      <c r="F683" s="229">
        <v>36000</v>
      </c>
      <c r="G683" s="215"/>
      <c r="H683" s="220">
        <f>J683-F683</f>
        <v>15790</v>
      </c>
      <c r="I683" s="215"/>
      <c r="J683" s="229">
        <v>51790</v>
      </c>
      <c r="K683" s="215"/>
      <c r="L683" s="231">
        <v>56000</v>
      </c>
      <c r="M683" s="224"/>
      <c r="N683" s="224"/>
      <c r="O683" s="224"/>
      <c r="P683" s="224"/>
      <c r="Q683" s="224"/>
      <c r="R683" s="224"/>
      <c r="S683" s="224"/>
      <c r="T683" s="224"/>
    </row>
    <row r="684" spans="1:22">
      <c r="A684" s="219" t="s">
        <v>96</v>
      </c>
      <c r="B684" s="214" t="s">
        <v>97</v>
      </c>
      <c r="C684" s="215"/>
      <c r="D684" s="229">
        <v>25000</v>
      </c>
      <c r="E684" s="215"/>
      <c r="F684" s="229">
        <v>0</v>
      </c>
      <c r="G684" s="215"/>
      <c r="H684" s="220">
        <f>J684-F684</f>
        <v>40000</v>
      </c>
      <c r="I684" s="215"/>
      <c r="J684" s="229">
        <v>40000</v>
      </c>
      <c r="K684" s="215"/>
      <c r="L684" s="231">
        <v>40000</v>
      </c>
      <c r="M684" s="224"/>
      <c r="N684" s="224"/>
      <c r="O684" s="224"/>
      <c r="P684" s="224"/>
      <c r="Q684" s="224"/>
      <c r="R684" s="224"/>
      <c r="S684" s="224"/>
      <c r="T684" s="224"/>
    </row>
    <row r="685" spans="1:22">
      <c r="A685" s="219" t="s">
        <v>358</v>
      </c>
      <c r="B685" s="214" t="s">
        <v>99</v>
      </c>
      <c r="C685" s="215"/>
      <c r="D685" s="229">
        <v>75000</v>
      </c>
      <c r="E685" s="215"/>
      <c r="F685" s="229">
        <v>0</v>
      </c>
      <c r="G685" s="215"/>
      <c r="H685" s="220">
        <f>J685-F685</f>
        <v>80000</v>
      </c>
      <c r="I685" s="215"/>
      <c r="J685" s="229">
        <v>80000</v>
      </c>
      <c r="K685" s="215"/>
      <c r="L685" s="231">
        <v>160000</v>
      </c>
      <c r="M685" s="224"/>
      <c r="N685" s="224"/>
      <c r="O685" s="224"/>
      <c r="P685" s="224"/>
      <c r="Q685" s="224"/>
      <c r="R685" s="224"/>
      <c r="S685" s="224"/>
      <c r="T685" s="224"/>
    </row>
    <row r="686" spans="1:22">
      <c r="A686" s="219" t="s">
        <v>102</v>
      </c>
      <c r="B686" s="214" t="s">
        <v>103</v>
      </c>
      <c r="C686" s="215"/>
      <c r="D686" s="229">
        <v>89669</v>
      </c>
      <c r="E686" s="215"/>
      <c r="F686" s="229">
        <v>0</v>
      </c>
      <c r="G686" s="215"/>
      <c r="H686" s="220">
        <f>J686-F686</f>
        <v>220960</v>
      </c>
      <c r="I686" s="215"/>
      <c r="J686" s="229">
        <v>220960</v>
      </c>
      <c r="K686" s="215"/>
      <c r="L686" s="231">
        <v>240428</v>
      </c>
      <c r="M686" s="224"/>
      <c r="N686" s="224"/>
      <c r="O686" s="224"/>
      <c r="P686" s="224"/>
      <c r="Q686" s="224"/>
      <c r="R686" s="224"/>
      <c r="S686" s="224"/>
      <c r="T686" s="224"/>
    </row>
    <row r="687" spans="1:22">
      <c r="A687" s="219" t="s">
        <v>104</v>
      </c>
      <c r="B687" s="214" t="s">
        <v>105</v>
      </c>
      <c r="C687" s="215"/>
      <c r="D687" s="229">
        <v>25000</v>
      </c>
      <c r="E687" s="215"/>
      <c r="F687" s="229">
        <v>0</v>
      </c>
      <c r="G687" s="215"/>
      <c r="H687" s="220">
        <f>J687-F687</f>
        <v>40000</v>
      </c>
      <c r="I687" s="215"/>
      <c r="J687" s="229">
        <v>40000</v>
      </c>
      <c r="K687" s="215"/>
      <c r="L687" s="231">
        <v>40000</v>
      </c>
      <c r="M687" s="224"/>
      <c r="N687" s="224"/>
      <c r="O687" s="224"/>
      <c r="P687" s="224"/>
      <c r="Q687" s="224"/>
      <c r="R687" s="224"/>
      <c r="S687" s="224"/>
      <c r="T687" s="224"/>
    </row>
    <row r="688" spans="1:22">
      <c r="A688" s="219" t="s">
        <v>106</v>
      </c>
      <c r="B688" s="214" t="s">
        <v>107</v>
      </c>
      <c r="C688" s="215"/>
      <c r="D688" s="229">
        <v>89669</v>
      </c>
      <c r="E688" s="215"/>
      <c r="F688" s="229">
        <v>118227</v>
      </c>
      <c r="G688" s="215"/>
      <c r="H688" s="220">
        <f>J688-F688</f>
        <v>0</v>
      </c>
      <c r="I688" s="215"/>
      <c r="J688" s="229">
        <v>118227</v>
      </c>
      <c r="K688" s="215"/>
      <c r="L688" s="231">
        <v>230142</v>
      </c>
      <c r="M688" s="224"/>
      <c r="N688" s="224"/>
      <c r="O688" s="224"/>
      <c r="P688" s="224"/>
      <c r="Q688" s="224"/>
      <c r="R688" s="224"/>
      <c r="S688" s="224"/>
      <c r="T688" s="224"/>
    </row>
    <row r="689" spans="1:22">
      <c r="A689" s="225" t="s">
        <v>340</v>
      </c>
      <c r="B689" s="214"/>
      <c r="C689" s="215"/>
      <c r="D689" s="226"/>
      <c r="E689" s="215"/>
      <c r="F689" s="226"/>
      <c r="G689" s="215"/>
      <c r="H689" s="226"/>
      <c r="I689" s="215"/>
      <c r="J689" s="226"/>
      <c r="K689" s="215"/>
      <c r="L689" s="228"/>
      <c r="M689" s="224"/>
      <c r="N689" s="224"/>
      <c r="O689" s="224"/>
      <c r="P689" s="224"/>
      <c r="Q689" s="224"/>
      <c r="R689" s="224"/>
      <c r="S689" s="224"/>
      <c r="T689" s="224"/>
    </row>
    <row r="690" spans="1:22">
      <c r="A690" s="219" t="s">
        <v>108</v>
      </c>
      <c r="B690" s="214" t="s">
        <v>109</v>
      </c>
      <c r="C690" s="215"/>
      <c r="D690" s="226">
        <v>129120.93</v>
      </c>
      <c r="E690" s="215"/>
      <c r="F690" s="226">
        <v>81671.04</v>
      </c>
      <c r="G690" s="215"/>
      <c r="H690" s="220">
        <f>J690-F690</f>
        <v>236370.22</v>
      </c>
      <c r="I690" s="215"/>
      <c r="J690" s="226">
        <v>318041.26</v>
      </c>
      <c r="K690" s="215"/>
      <c r="L690" s="228">
        <v>336331</v>
      </c>
      <c r="M690" s="224"/>
      <c r="N690" s="224"/>
      <c r="O690" s="224"/>
      <c r="P690" s="224"/>
      <c r="Q690" s="224"/>
      <c r="R690" s="224"/>
      <c r="S690" s="224"/>
      <c r="T690" s="224"/>
    </row>
    <row r="691" spans="1:22">
      <c r="A691" s="219" t="s">
        <v>110</v>
      </c>
      <c r="B691" s="214" t="s">
        <v>111</v>
      </c>
      <c r="C691" s="215"/>
      <c r="D691" s="229">
        <v>6000</v>
      </c>
      <c r="E691" s="215"/>
      <c r="F691" s="229">
        <v>6500</v>
      </c>
      <c r="G691" s="215"/>
      <c r="H691" s="220">
        <f>J691-F691</f>
        <v>12700</v>
      </c>
      <c r="I691" s="215"/>
      <c r="J691" s="229">
        <v>19200</v>
      </c>
      <c r="K691" s="215"/>
      <c r="L691" s="231">
        <v>19200</v>
      </c>
      <c r="M691" s="224"/>
      <c r="N691" s="224"/>
      <c r="O691" s="224"/>
      <c r="P691" s="224"/>
      <c r="Q691" s="224"/>
      <c r="R691" s="224"/>
      <c r="S691" s="224"/>
      <c r="T691" s="224"/>
    </row>
    <row r="692" spans="1:22">
      <c r="A692" s="219" t="s">
        <v>112</v>
      </c>
      <c r="B692" s="214" t="s">
        <v>113</v>
      </c>
      <c r="C692" s="215"/>
      <c r="D692" s="229">
        <v>22020.15</v>
      </c>
      <c r="E692" s="215"/>
      <c r="F692" s="229">
        <v>17014.89</v>
      </c>
      <c r="G692" s="215"/>
      <c r="H692" s="220">
        <f>J692-F692</f>
        <v>49243.71</v>
      </c>
      <c r="I692" s="215"/>
      <c r="J692" s="229">
        <v>66258.6</v>
      </c>
      <c r="K692" s="215"/>
      <c r="L692" s="231">
        <v>70069</v>
      </c>
      <c r="M692" s="224"/>
      <c r="N692" s="224"/>
      <c r="O692" s="224"/>
      <c r="P692" s="224"/>
      <c r="Q692" s="224"/>
      <c r="R692" s="224"/>
      <c r="S692" s="224"/>
      <c r="T692" s="224"/>
    </row>
    <row r="693" spans="1:22">
      <c r="A693" s="219" t="s">
        <v>114</v>
      </c>
      <c r="B693" s="214" t="s">
        <v>115</v>
      </c>
      <c r="C693" s="215"/>
      <c r="D693" s="229">
        <v>5500</v>
      </c>
      <c r="E693" s="215"/>
      <c r="F693" s="229">
        <v>3500</v>
      </c>
      <c r="G693" s="215"/>
      <c r="H693" s="220">
        <f>J693-F693</f>
        <v>6100</v>
      </c>
      <c r="I693" s="215"/>
      <c r="J693" s="229">
        <v>9600</v>
      </c>
      <c r="K693" s="215"/>
      <c r="L693" s="231">
        <v>9600</v>
      </c>
      <c r="M693" s="224"/>
      <c r="N693" s="224"/>
      <c r="O693" s="224"/>
      <c r="P693" s="224"/>
      <c r="Q693" s="224"/>
      <c r="R693" s="224"/>
      <c r="S693" s="224"/>
      <c r="T693" s="224"/>
    </row>
    <row r="694" spans="1:22">
      <c r="A694" s="225" t="s">
        <v>359</v>
      </c>
      <c r="B694" s="214"/>
      <c r="C694" s="221"/>
      <c r="D694" s="226"/>
      <c r="E694" s="215"/>
      <c r="F694" s="226"/>
      <c r="G694" s="215"/>
      <c r="H694" s="226"/>
      <c r="I694" s="215"/>
      <c r="J694" s="226"/>
      <c r="K694" s="215"/>
      <c r="L694" s="228"/>
      <c r="M694" s="224"/>
      <c r="N694" s="224"/>
      <c r="O694" s="224"/>
      <c r="P694" s="224"/>
      <c r="Q694" s="224"/>
      <c r="R694" s="224"/>
      <c r="S694" s="224"/>
      <c r="T694" s="224"/>
    </row>
    <row r="695" spans="1:22">
      <c r="A695" s="219" t="s">
        <v>399</v>
      </c>
      <c r="B695" s="214" t="s">
        <v>117</v>
      </c>
      <c r="C695" s="215"/>
      <c r="D695" s="220">
        <v>0</v>
      </c>
      <c r="E695" s="215"/>
      <c r="F695" s="220">
        <v>0</v>
      </c>
      <c r="G695" s="215"/>
      <c r="H695" s="220">
        <f>J695-F695</f>
        <v>0</v>
      </c>
      <c r="I695" s="215"/>
      <c r="J695" s="220">
        <v>0</v>
      </c>
      <c r="K695" s="215"/>
      <c r="L695" s="223">
        <v>0</v>
      </c>
      <c r="M695" s="224"/>
      <c r="N695" s="224"/>
      <c r="O695" s="224"/>
      <c r="P695" s="224"/>
      <c r="Q695" s="224"/>
      <c r="R695" s="224"/>
      <c r="S695" s="224"/>
      <c r="T695" s="224"/>
    </row>
    <row r="696" spans="1:22" customHeight="1" ht="15.75">
      <c r="A696" s="219" t="s">
        <v>341</v>
      </c>
      <c r="B696" s="214" t="s">
        <v>119</v>
      </c>
      <c r="C696" s="215"/>
      <c r="D696" s="239">
        <v>0</v>
      </c>
      <c r="E696" s="215"/>
      <c r="F696" s="239">
        <v>0</v>
      </c>
      <c r="G696" s="215"/>
      <c r="H696" s="220">
        <f>J696-F696</f>
        <v>0</v>
      </c>
      <c r="I696" s="215"/>
      <c r="J696" s="239">
        <v>0</v>
      </c>
      <c r="K696" s="215"/>
      <c r="L696" s="257">
        <v>61000</v>
      </c>
      <c r="M696" s="224"/>
      <c r="N696" s="224"/>
      <c r="O696" s="224"/>
      <c r="P696" s="224"/>
      <c r="Q696" s="224"/>
      <c r="R696" s="224"/>
      <c r="S696" s="224"/>
      <c r="T696" s="224"/>
    </row>
    <row r="697" spans="1:22" customHeight="1" ht="15.75">
      <c r="A697" s="242" t="s">
        <v>120</v>
      </c>
      <c r="B697" s="243"/>
      <c r="C697" s="244" t="s">
        <v>23</v>
      </c>
      <c r="D697" s="245">
        <f>SUM(D678:D696)</f>
        <v>1836986.84</v>
      </c>
      <c r="E697" s="246" t="s">
        <v>23</v>
      </c>
      <c r="F697" s="245">
        <f>SUM(F678:F696)</f>
        <v>1095104.93</v>
      </c>
      <c r="G697" s="246" t="s">
        <v>23</v>
      </c>
      <c r="H697" s="245">
        <f>SUM(H678:H696)</f>
        <v>2874515.93</v>
      </c>
      <c r="I697" s="246" t="s">
        <v>23</v>
      </c>
      <c r="J697" s="245">
        <f>SUM(J678:J696)</f>
        <v>3969620.86</v>
      </c>
      <c r="K697" s="246" t="s">
        <v>23</v>
      </c>
      <c r="L697" s="300">
        <f>SUM(L678:L696)</f>
        <v>4420712</v>
      </c>
      <c r="M697" s="248"/>
      <c r="N697" s="248"/>
      <c r="O697" s="248"/>
      <c r="P697" s="248"/>
      <c r="Q697" s="248"/>
      <c r="R697" s="248"/>
      <c r="S697" s="248"/>
      <c r="T697" s="248"/>
    </row>
    <row r="701" spans="1:22">
      <c r="J701" s="215"/>
    </row>
    <row r="704" spans="1:22">
      <c r="A704" s="273" t="s">
        <v>346</v>
      </c>
      <c r="B704" s="273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4"/>
      <c r="N704" s="274"/>
      <c r="O704" s="274"/>
      <c r="P704" s="274"/>
      <c r="Q704" s="274"/>
      <c r="R704" s="274"/>
      <c r="S704" s="274"/>
      <c r="T704" s="274"/>
    </row>
    <row r="706" spans="1:22" customHeight="1" ht="15.75">
      <c r="A706" s="183" t="s">
        <v>347</v>
      </c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4"/>
      <c r="N706" s="184"/>
      <c r="O706" s="184"/>
      <c r="P706" s="184"/>
      <c r="Q706" s="184"/>
      <c r="R706" s="184"/>
      <c r="S706" s="184"/>
      <c r="T706" s="184"/>
    </row>
    <row r="707" spans="1:22">
      <c r="A707" s="185" t="s">
        <v>348</v>
      </c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6"/>
      <c r="N707" s="186"/>
      <c r="O707" s="186"/>
      <c r="P707" s="186"/>
      <c r="Q707" s="186"/>
      <c r="R707" s="186"/>
      <c r="S707" s="186"/>
      <c r="T707" s="186"/>
    </row>
    <row r="709" spans="1:22">
      <c r="A709" s="187" t="s">
        <v>398</v>
      </c>
    </row>
    <row r="710" spans="1:22" customHeight="1" ht="15.75"/>
    <row r="711" spans="1:22">
      <c r="A711" s="189"/>
      <c r="B711" s="190"/>
      <c r="C711" s="191" t="s">
        <v>350</v>
      </c>
      <c r="D711" s="192"/>
      <c r="E711" s="193" t="s">
        <v>351</v>
      </c>
      <c r="F711" s="194"/>
      <c r="G711" s="194"/>
      <c r="H711" s="194"/>
      <c r="I711" s="194"/>
      <c r="J711" s="195"/>
      <c r="K711" s="191" t="s">
        <v>352</v>
      </c>
      <c r="L711" s="196"/>
      <c r="M711" s="186"/>
      <c r="N711" s="186"/>
      <c r="O711" s="186"/>
      <c r="P711" s="186"/>
      <c r="Q711" s="186"/>
      <c r="R711" s="186"/>
      <c r="S711" s="186"/>
      <c r="T711" s="186"/>
    </row>
    <row r="712" spans="1:22">
      <c r="A712" s="197" t="s">
        <v>353</v>
      </c>
      <c r="B712" s="198" t="s">
        <v>354</v>
      </c>
      <c r="C712" s="199">
        <v>2023</v>
      </c>
      <c r="D712" s="200"/>
      <c r="E712" s="201" t="s">
        <v>11</v>
      </c>
      <c r="F712" s="202"/>
      <c r="G712" s="201" t="s">
        <v>355</v>
      </c>
      <c r="H712" s="202"/>
      <c r="I712" s="203" t="s">
        <v>356</v>
      </c>
      <c r="J712" s="204"/>
      <c r="K712" s="199">
        <v>2025</v>
      </c>
      <c r="L712" s="205"/>
      <c r="M712" s="186"/>
      <c r="N712" s="186"/>
      <c r="O712" s="186"/>
      <c r="P712" s="186"/>
      <c r="Q712" s="186"/>
      <c r="R712" s="186"/>
      <c r="S712" s="186"/>
      <c r="T712" s="186"/>
    </row>
    <row r="713" spans="1:22" customHeight="1" ht="15.75">
      <c r="A713" s="206"/>
      <c r="B713" s="207"/>
      <c r="C713" s="208" t="s">
        <v>17</v>
      </c>
      <c r="D713" s="209"/>
      <c r="E713" s="208" t="s">
        <v>17</v>
      </c>
      <c r="F713" s="209"/>
      <c r="G713" s="208" t="s">
        <v>18</v>
      </c>
      <c r="H713" s="209"/>
      <c r="I713" s="210"/>
      <c r="J713" s="211"/>
      <c r="K713" s="208" t="s">
        <v>357</v>
      </c>
      <c r="L713" s="212"/>
      <c r="M713" s="186"/>
      <c r="N713" s="186"/>
      <c r="O713" s="186"/>
      <c r="P713" s="186"/>
      <c r="Q713" s="186"/>
      <c r="R713" s="186"/>
      <c r="S713" s="186"/>
      <c r="T713" s="186"/>
    </row>
    <row r="714" spans="1:22">
      <c r="A714" s="225" t="s">
        <v>121</v>
      </c>
      <c r="B714" s="254"/>
      <c r="C714" s="215"/>
      <c r="D714" s="216"/>
      <c r="E714" s="215"/>
      <c r="F714" s="216"/>
      <c r="G714" s="215"/>
      <c r="H714" s="216"/>
      <c r="I714" s="215"/>
      <c r="J714" s="216"/>
      <c r="K714" s="215"/>
      <c r="L714" s="217"/>
      <c r="M714" s="218"/>
      <c r="N714" s="218"/>
      <c r="O714" s="218"/>
      <c r="P714" s="218"/>
      <c r="Q714" s="218"/>
      <c r="R714" s="218"/>
      <c r="S714" s="218"/>
      <c r="T714" s="218"/>
    </row>
    <row r="715" spans="1:22">
      <c r="A715" s="219" t="s">
        <v>122</v>
      </c>
      <c r="B715" s="214" t="s">
        <v>123</v>
      </c>
      <c r="C715" s="215" t="s">
        <v>23</v>
      </c>
      <c r="D715" s="226">
        <v>168506.33</v>
      </c>
      <c r="E715" s="215" t="s">
        <v>23</v>
      </c>
      <c r="F715" s="226">
        <v>76709.45</v>
      </c>
      <c r="G715" s="215" t="s">
        <v>23</v>
      </c>
      <c r="H715" s="226">
        <f>J715-F715</f>
        <v>48290.55</v>
      </c>
      <c r="I715" s="215" t="s">
        <v>23</v>
      </c>
      <c r="J715" s="226">
        <v>125000</v>
      </c>
      <c r="K715" s="215" t="s">
        <v>23</v>
      </c>
      <c r="L715" s="228">
        <v>180000</v>
      </c>
      <c r="M715" s="224"/>
      <c r="N715" s="224"/>
      <c r="O715" s="224"/>
      <c r="P715" s="224"/>
      <c r="Q715" s="224"/>
      <c r="R715" s="224"/>
      <c r="S715" s="224"/>
      <c r="T715" s="224"/>
    </row>
    <row r="716" spans="1:22">
      <c r="A716" s="219" t="s">
        <v>126</v>
      </c>
      <c r="B716" s="214" t="s">
        <v>127</v>
      </c>
      <c r="C716" s="215"/>
      <c r="D716" s="229">
        <v>87533</v>
      </c>
      <c r="E716" s="215"/>
      <c r="F716" s="229">
        <v>68610.16</v>
      </c>
      <c r="G716" s="215"/>
      <c r="H716" s="229">
        <f>J716-F716</f>
        <v>36389.84</v>
      </c>
      <c r="I716" s="215"/>
      <c r="J716" s="229">
        <v>105000</v>
      </c>
      <c r="K716" s="215"/>
      <c r="L716" s="231">
        <v>114570</v>
      </c>
      <c r="M716" s="224"/>
      <c r="N716" s="224"/>
      <c r="O716" s="224"/>
      <c r="P716" s="224"/>
      <c r="Q716" s="224"/>
      <c r="R716" s="224"/>
      <c r="S716" s="224"/>
      <c r="T716" s="224"/>
    </row>
    <row r="717" spans="1:22">
      <c r="A717" s="219" t="s">
        <v>128</v>
      </c>
      <c r="B717" s="214" t="s">
        <v>129</v>
      </c>
      <c r="C717" s="215"/>
      <c r="D717" s="229">
        <v>94120</v>
      </c>
      <c r="E717" s="215"/>
      <c r="F717" s="229">
        <v>59980</v>
      </c>
      <c r="G717" s="215"/>
      <c r="H717" s="229">
        <f>J717-F717</f>
        <v>50020</v>
      </c>
      <c r="I717" s="215"/>
      <c r="J717" s="229">
        <v>110000</v>
      </c>
      <c r="K717" s="215"/>
      <c r="L717" s="231">
        <v>110000</v>
      </c>
      <c r="M717" s="224"/>
      <c r="N717" s="224"/>
      <c r="O717" s="224"/>
      <c r="P717" s="224"/>
      <c r="Q717" s="224"/>
      <c r="R717" s="224"/>
      <c r="S717" s="224"/>
      <c r="T717" s="224"/>
    </row>
    <row r="718" spans="1:22">
      <c r="A718" s="219" t="s">
        <v>142</v>
      </c>
      <c r="B718" s="214" t="s">
        <v>143</v>
      </c>
      <c r="C718" s="215"/>
      <c r="D718" s="229">
        <v>382</v>
      </c>
      <c r="E718" s="215"/>
      <c r="F718" s="229">
        <v>2000</v>
      </c>
      <c r="G718" s="215"/>
      <c r="H718" s="229">
        <f>J718-F718</f>
        <v>0</v>
      </c>
      <c r="I718" s="215"/>
      <c r="J718" s="229">
        <v>2000</v>
      </c>
      <c r="K718" s="215"/>
      <c r="L718" s="231">
        <v>5000</v>
      </c>
      <c r="M718" s="224"/>
      <c r="N718" s="224"/>
      <c r="O718" s="224"/>
      <c r="P718" s="224"/>
      <c r="Q718" s="224"/>
      <c r="R718" s="224"/>
      <c r="S718" s="224"/>
      <c r="T718" s="224"/>
    </row>
    <row r="719" spans="1:22">
      <c r="A719" s="219" t="s">
        <v>144</v>
      </c>
      <c r="B719" s="214" t="s">
        <v>145</v>
      </c>
      <c r="C719" s="215"/>
      <c r="D719" s="229">
        <v>60000</v>
      </c>
      <c r="E719" s="215"/>
      <c r="F719" s="229">
        <v>30000</v>
      </c>
      <c r="G719" s="215"/>
      <c r="H719" s="229">
        <f>J719-F719</f>
        <v>30000</v>
      </c>
      <c r="I719" s="215"/>
      <c r="J719" s="229">
        <v>60000</v>
      </c>
      <c r="K719" s="215"/>
      <c r="L719" s="231">
        <v>24000</v>
      </c>
      <c r="M719" s="224"/>
      <c r="N719" s="224"/>
      <c r="O719" s="224"/>
      <c r="P719" s="224"/>
      <c r="Q719" s="224"/>
      <c r="R719" s="224"/>
      <c r="S719" s="224"/>
      <c r="T719" s="224"/>
    </row>
    <row r="720" spans="1:22">
      <c r="A720" s="219" t="s">
        <v>146</v>
      </c>
      <c r="B720" s="214" t="s">
        <v>147</v>
      </c>
      <c r="C720" s="215"/>
      <c r="D720" s="229">
        <v>23475.44</v>
      </c>
      <c r="E720" s="215"/>
      <c r="F720" s="229">
        <v>4801.15</v>
      </c>
      <c r="G720" s="215"/>
      <c r="H720" s="229">
        <f>J720-F720</f>
        <v>25198.85</v>
      </c>
      <c r="I720" s="215"/>
      <c r="J720" s="229">
        <v>30000</v>
      </c>
      <c r="K720" s="215"/>
      <c r="L720" s="231">
        <v>30000</v>
      </c>
      <c r="M720" s="224"/>
      <c r="N720" s="224"/>
      <c r="O720" s="224"/>
      <c r="P720" s="224"/>
      <c r="Q720" s="224"/>
      <c r="R720" s="224"/>
      <c r="S720" s="224"/>
      <c r="T720" s="224"/>
    </row>
    <row r="721" spans="1:22">
      <c r="A721" s="219" t="s">
        <v>156</v>
      </c>
      <c r="B721" s="214" t="s">
        <v>157</v>
      </c>
      <c r="C721" s="215"/>
      <c r="D721" s="229">
        <v>5500</v>
      </c>
      <c r="E721" s="215"/>
      <c r="F721" s="229">
        <v>3500</v>
      </c>
      <c r="G721" s="215"/>
      <c r="H721" s="229">
        <f>J721-F721</f>
        <v>16500</v>
      </c>
      <c r="I721" s="215"/>
      <c r="J721" s="229">
        <v>20000</v>
      </c>
      <c r="K721" s="215"/>
      <c r="L721" s="231">
        <v>25000</v>
      </c>
      <c r="M721" s="224"/>
      <c r="N721" s="224"/>
      <c r="O721" s="224"/>
      <c r="P721" s="224"/>
      <c r="Q721" s="224"/>
      <c r="R721" s="224"/>
      <c r="S721" s="224"/>
      <c r="T721" s="224"/>
    </row>
    <row r="722" spans="1:22">
      <c r="A722" s="219" t="s">
        <v>364</v>
      </c>
      <c r="B722" s="214" t="s">
        <v>163</v>
      </c>
      <c r="C722" s="215"/>
      <c r="D722" s="229">
        <v>60682.5</v>
      </c>
      <c r="E722" s="215"/>
      <c r="F722" s="229">
        <v>59272.5</v>
      </c>
      <c r="G722" s="215"/>
      <c r="H722" s="229">
        <f>J722-F722</f>
        <v>11647.5</v>
      </c>
      <c r="I722" s="215"/>
      <c r="J722" s="229">
        <v>70920</v>
      </c>
      <c r="K722" s="215"/>
      <c r="L722" s="231">
        <v>70920</v>
      </c>
      <c r="M722" s="224"/>
      <c r="N722" s="224"/>
      <c r="O722" s="224"/>
      <c r="P722" s="224"/>
      <c r="Q722" s="224"/>
      <c r="R722" s="224"/>
      <c r="S722" s="224"/>
      <c r="T722" s="224"/>
    </row>
    <row r="723" spans="1:22" customHeight="1" ht="15.75">
      <c r="A723" s="219" t="s">
        <v>169</v>
      </c>
      <c r="B723" s="214" t="s">
        <v>170</v>
      </c>
      <c r="C723" s="215"/>
      <c r="D723" s="239">
        <v>21535</v>
      </c>
      <c r="E723" s="215"/>
      <c r="F723" s="239">
        <v>4516</v>
      </c>
      <c r="G723" s="215"/>
      <c r="H723" s="279">
        <f>J723-F723</f>
        <v>18054</v>
      </c>
      <c r="I723" s="215"/>
      <c r="J723" s="239">
        <v>22570</v>
      </c>
      <c r="K723" s="215"/>
      <c r="L723" s="257">
        <f>25000+6000</f>
        <v>31000</v>
      </c>
      <c r="M723" s="224"/>
      <c r="N723" s="224"/>
      <c r="O723" s="224"/>
      <c r="P723" s="224"/>
      <c r="Q723" s="224"/>
      <c r="R723" s="224"/>
      <c r="S723" s="224"/>
      <c r="T723" s="224"/>
    </row>
    <row r="724" spans="1:22" customHeight="1" ht="15.75">
      <c r="A724" s="225" t="s">
        <v>200</v>
      </c>
      <c r="B724" s="254"/>
      <c r="C724" s="258" t="s">
        <v>23</v>
      </c>
      <c r="D724" s="245">
        <f>SUM(D715:D723)</f>
        <v>521734.27</v>
      </c>
      <c r="E724" s="258" t="s">
        <v>23</v>
      </c>
      <c r="F724" s="245">
        <f>SUM(F715:F723)</f>
        <v>309389.26</v>
      </c>
      <c r="G724" s="258" t="s">
        <v>23</v>
      </c>
      <c r="H724" s="245">
        <f>SUM(H715:H723)</f>
        <v>236100.74</v>
      </c>
      <c r="I724" s="258" t="s">
        <v>23</v>
      </c>
      <c r="J724" s="245">
        <f>SUM(J715:J723)</f>
        <v>545490</v>
      </c>
      <c r="K724" s="258" t="s">
        <v>23</v>
      </c>
      <c r="L724" s="247">
        <f>SUM(L715:L723)</f>
        <v>590490</v>
      </c>
      <c r="M724" s="248"/>
      <c r="N724" s="248"/>
      <c r="O724" s="248"/>
      <c r="P724" s="248"/>
      <c r="Q724" s="248"/>
      <c r="R724" s="248"/>
      <c r="S724" s="248"/>
      <c r="T724" s="248"/>
    </row>
    <row r="725" spans="1:22">
      <c r="A725" s="225" t="s">
        <v>201</v>
      </c>
      <c r="B725" s="254"/>
      <c r="C725" s="215"/>
      <c r="D725" s="280"/>
      <c r="E725" s="215"/>
      <c r="F725" s="280"/>
      <c r="G725" s="215"/>
      <c r="H725" s="280"/>
      <c r="I725" s="215"/>
      <c r="J725" s="280"/>
      <c r="K725" s="215"/>
      <c r="L725" s="281"/>
      <c r="M725" s="224"/>
      <c r="N725" s="224"/>
      <c r="O725" s="224"/>
      <c r="P725" s="224"/>
      <c r="Q725" s="224"/>
      <c r="R725" s="224"/>
      <c r="S725" s="224"/>
      <c r="T725" s="224"/>
    </row>
    <row r="726" spans="1:22" customHeight="1" ht="15.75">
      <c r="A726" s="219" t="s">
        <v>367</v>
      </c>
      <c r="B726" s="214" t="s">
        <v>209</v>
      </c>
      <c r="C726" s="215" t="s">
        <v>23</v>
      </c>
      <c r="D726" s="226">
        <v>15800</v>
      </c>
      <c r="E726" s="215" t="s">
        <v>23</v>
      </c>
      <c r="F726" s="226">
        <v>0</v>
      </c>
      <c r="G726" s="215" t="s">
        <v>23</v>
      </c>
      <c r="H726" s="226">
        <v>0</v>
      </c>
      <c r="I726" s="215" t="s">
        <v>23</v>
      </c>
      <c r="J726" s="226">
        <v>35000</v>
      </c>
      <c r="K726" s="215" t="s">
        <v>23</v>
      </c>
      <c r="L726" s="228">
        <v>90000</v>
      </c>
      <c r="M726" s="224"/>
      <c r="N726" s="224"/>
      <c r="O726" s="224"/>
      <c r="P726" s="224"/>
      <c r="Q726" s="224"/>
      <c r="R726" s="224"/>
      <c r="S726" s="224"/>
      <c r="T726" s="224"/>
    </row>
    <row r="727" spans="1:22" customHeight="1" ht="15.75">
      <c r="A727" s="225" t="s">
        <v>214</v>
      </c>
      <c r="B727" s="214"/>
      <c r="C727" s="258" t="s">
        <v>23</v>
      </c>
      <c r="D727" s="282">
        <f>SUM(D726)</f>
        <v>15800</v>
      </c>
      <c r="E727" s="258" t="s">
        <v>23</v>
      </c>
      <c r="F727" s="282">
        <f>SUM(F726)</f>
        <v>0</v>
      </c>
      <c r="G727" s="258" t="s">
        <v>23</v>
      </c>
      <c r="H727" s="282">
        <f>SUM(H726)</f>
        <v>0</v>
      </c>
      <c r="I727" s="258" t="s">
        <v>23</v>
      </c>
      <c r="J727" s="282">
        <f>SUM(J726)</f>
        <v>35000</v>
      </c>
      <c r="K727" s="258" t="s">
        <v>23</v>
      </c>
      <c r="L727" s="283">
        <f>SUM(L726)</f>
        <v>90000</v>
      </c>
      <c r="M727" s="248"/>
      <c r="N727" s="248"/>
      <c r="O727" s="248"/>
      <c r="P727" s="248"/>
      <c r="Q727" s="248"/>
      <c r="R727" s="248"/>
      <c r="S727" s="248"/>
      <c r="T727" s="248"/>
    </row>
    <row r="728" spans="1:22" customHeight="1" ht="15.75">
      <c r="A728" s="284" t="s">
        <v>370</v>
      </c>
      <c r="B728" s="285"/>
      <c r="C728" s="286" t="s">
        <v>23</v>
      </c>
      <c r="D728" s="287">
        <f>D697+D724+D727</f>
        <v>2374521.11</v>
      </c>
      <c r="E728" s="288" t="s">
        <v>23</v>
      </c>
      <c r="F728" s="287">
        <f>F697+F724+F727</f>
        <v>1404494.19</v>
      </c>
      <c r="G728" s="288" t="s">
        <v>23</v>
      </c>
      <c r="H728" s="287">
        <f>H697+H724+H727</f>
        <v>3110616.67</v>
      </c>
      <c r="I728" s="288" t="s">
        <v>23</v>
      </c>
      <c r="J728" s="287">
        <f>J697+J724+J727</f>
        <v>4550110.86</v>
      </c>
      <c r="K728" s="288" t="s">
        <v>23</v>
      </c>
      <c r="L728" s="289">
        <f>L697+L724+L727</f>
        <v>5101202</v>
      </c>
      <c r="M728" s="248"/>
      <c r="N728" s="248"/>
      <c r="O728" s="248"/>
      <c r="P728" s="248"/>
      <c r="Q728" s="248"/>
      <c r="R728" s="248"/>
      <c r="S728" s="248"/>
      <c r="T728" s="248"/>
    </row>
    <row r="729" spans="1:22" customHeight="1" ht="15.75">
      <c r="A729" s="187"/>
      <c r="C729" s="258"/>
      <c r="D729" s="261"/>
      <c r="E729" s="258"/>
      <c r="F729" s="261"/>
      <c r="G729" s="258"/>
      <c r="H729" s="261"/>
      <c r="I729" s="258"/>
      <c r="J729" s="261"/>
      <c r="K729" s="258"/>
      <c r="L729" s="248"/>
      <c r="M729" s="248"/>
      <c r="N729" s="248"/>
      <c r="O729" s="248"/>
      <c r="P729" s="248"/>
      <c r="Q729" s="248"/>
      <c r="R729" s="248"/>
      <c r="S729" s="248"/>
      <c r="T729" s="248"/>
    </row>
    <row r="730" spans="1:22">
      <c r="A730" s="215" t="s">
        <v>371</v>
      </c>
      <c r="B730" s="215" t="s">
        <v>372</v>
      </c>
      <c r="C730" s="215"/>
      <c r="D730" s="215"/>
      <c r="E730" s="215"/>
      <c r="F730" s="215"/>
      <c r="G730" s="215" t="s">
        <v>373</v>
      </c>
      <c r="H730" s="215"/>
    </row>
    <row r="733" spans="1:22">
      <c r="A733" s="268" t="s">
        <v>400</v>
      </c>
      <c r="B733" s="269" t="s">
        <v>374</v>
      </c>
      <c r="C733" s="269"/>
      <c r="D733" s="269"/>
      <c r="E733" s="269"/>
      <c r="F733" s="269"/>
      <c r="G733" s="270"/>
      <c r="H733" s="269" t="s">
        <v>326</v>
      </c>
      <c r="I733" s="269"/>
      <c r="J733" s="269"/>
      <c r="K733" s="269"/>
      <c r="L733" s="269"/>
      <c r="M733" s="268"/>
      <c r="N733" s="268"/>
      <c r="O733" s="268"/>
      <c r="P733" s="268"/>
      <c r="Q733" s="268"/>
      <c r="R733" s="268"/>
      <c r="S733" s="268"/>
      <c r="T733" s="268"/>
    </row>
    <row r="734" spans="1:22">
      <c r="A734" s="271" t="s">
        <v>401</v>
      </c>
      <c r="B734" s="272" t="s">
        <v>375</v>
      </c>
      <c r="C734" s="272"/>
      <c r="D734" s="272"/>
      <c r="E734" s="272"/>
      <c r="F734" s="272"/>
      <c r="G734" s="215"/>
      <c r="H734" s="272" t="s">
        <v>327</v>
      </c>
      <c r="I734" s="272"/>
      <c r="J734" s="272"/>
      <c r="K734" s="272"/>
      <c r="L734" s="272"/>
      <c r="M734" s="271"/>
      <c r="N734" s="271"/>
      <c r="O734" s="271"/>
      <c r="P734" s="271"/>
      <c r="Q734" s="271"/>
      <c r="R734" s="271"/>
      <c r="S734" s="271"/>
      <c r="T734" s="271"/>
    </row>
    <row r="738" spans="1:22">
      <c r="J738" s="215"/>
    </row>
    <row r="741" spans="1:22">
      <c r="A741" s="273" t="s">
        <v>346</v>
      </c>
      <c r="B741" s="273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4"/>
      <c r="N741" s="274"/>
      <c r="O741" s="274"/>
      <c r="P741" s="274"/>
      <c r="Q741" s="274"/>
      <c r="R741" s="274"/>
      <c r="S741" s="274"/>
      <c r="T741" s="274"/>
    </row>
    <row r="743" spans="1:22" customHeight="1" ht="15.75">
      <c r="A743" s="183" t="s">
        <v>347</v>
      </c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4"/>
      <c r="N743" s="184"/>
      <c r="O743" s="184"/>
      <c r="P743" s="184"/>
      <c r="Q743" s="184"/>
      <c r="R743" s="184"/>
      <c r="S743" s="184"/>
      <c r="T743" s="184"/>
    </row>
    <row r="744" spans="1:22">
      <c r="A744" s="185" t="s">
        <v>348</v>
      </c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6"/>
      <c r="N744" s="186"/>
      <c r="O744" s="186"/>
      <c r="P744" s="186"/>
      <c r="Q744" s="186"/>
      <c r="R744" s="186"/>
      <c r="S744" s="186"/>
      <c r="T744" s="186"/>
    </row>
    <row r="746" spans="1:22">
      <c r="A746" s="187" t="s">
        <v>402</v>
      </c>
    </row>
    <row r="747" spans="1:22" customHeight="1" ht="15.75"/>
    <row r="748" spans="1:22">
      <c r="A748" s="189"/>
      <c r="B748" s="190"/>
      <c r="C748" s="191" t="s">
        <v>350</v>
      </c>
      <c r="D748" s="192"/>
      <c r="E748" s="193" t="s">
        <v>351</v>
      </c>
      <c r="F748" s="194"/>
      <c r="G748" s="194"/>
      <c r="H748" s="194"/>
      <c r="I748" s="194"/>
      <c r="J748" s="195"/>
      <c r="K748" s="191" t="s">
        <v>352</v>
      </c>
      <c r="L748" s="196"/>
      <c r="M748" s="186"/>
      <c r="N748" s="186"/>
      <c r="O748" s="186"/>
      <c r="P748" s="186"/>
      <c r="Q748" s="186"/>
      <c r="R748" s="186"/>
      <c r="S748" s="186"/>
      <c r="T748" s="186"/>
    </row>
    <row r="749" spans="1:22">
      <c r="A749" s="197" t="s">
        <v>353</v>
      </c>
      <c r="B749" s="198" t="s">
        <v>354</v>
      </c>
      <c r="C749" s="199">
        <v>2023</v>
      </c>
      <c r="D749" s="200"/>
      <c r="E749" s="201" t="s">
        <v>11</v>
      </c>
      <c r="F749" s="202"/>
      <c r="G749" s="201" t="s">
        <v>355</v>
      </c>
      <c r="H749" s="202"/>
      <c r="I749" s="203" t="s">
        <v>356</v>
      </c>
      <c r="J749" s="204"/>
      <c r="K749" s="199">
        <v>2025</v>
      </c>
      <c r="L749" s="205"/>
      <c r="M749" s="186"/>
      <c r="N749" s="186"/>
      <c r="O749" s="186"/>
      <c r="P749" s="186"/>
      <c r="Q749" s="186"/>
      <c r="R749" s="186"/>
      <c r="S749" s="186"/>
      <c r="T749" s="186"/>
    </row>
    <row r="750" spans="1:22" customHeight="1" ht="15.75">
      <c r="A750" s="206"/>
      <c r="B750" s="207"/>
      <c r="C750" s="208" t="s">
        <v>17</v>
      </c>
      <c r="D750" s="209"/>
      <c r="E750" s="208" t="s">
        <v>17</v>
      </c>
      <c r="F750" s="209"/>
      <c r="G750" s="208" t="s">
        <v>18</v>
      </c>
      <c r="H750" s="209"/>
      <c r="I750" s="210"/>
      <c r="J750" s="211"/>
      <c r="K750" s="208" t="s">
        <v>357</v>
      </c>
      <c r="L750" s="212"/>
      <c r="M750" s="186"/>
      <c r="N750" s="186"/>
      <c r="O750" s="186"/>
      <c r="P750" s="186"/>
      <c r="Q750" s="186"/>
      <c r="R750" s="186"/>
      <c r="S750" s="186"/>
      <c r="T750" s="186"/>
    </row>
    <row r="751" spans="1:22">
      <c r="A751" s="213" t="s">
        <v>80</v>
      </c>
      <c r="B751" s="214"/>
      <c r="C751" s="215"/>
      <c r="D751" s="216"/>
      <c r="E751" s="215"/>
      <c r="F751" s="216"/>
      <c r="G751" s="215"/>
      <c r="H751" s="216"/>
      <c r="I751" s="215"/>
      <c r="J751" s="216"/>
      <c r="K751" s="215"/>
      <c r="L751" s="217"/>
      <c r="M751" s="218"/>
      <c r="N751" s="218"/>
      <c r="O751" s="218"/>
      <c r="P751" s="218"/>
      <c r="Q751" s="218"/>
      <c r="R751" s="218"/>
      <c r="S751" s="218"/>
      <c r="T751" s="218"/>
    </row>
    <row r="752" spans="1:22">
      <c r="A752" s="219" t="s">
        <v>82</v>
      </c>
      <c r="B752" s="214" t="s">
        <v>83</v>
      </c>
      <c r="C752" s="215" t="s">
        <v>23</v>
      </c>
      <c r="D752" s="226">
        <v>1539672</v>
      </c>
      <c r="E752" s="215" t="s">
        <v>23</v>
      </c>
      <c r="F752" s="220">
        <v>769836</v>
      </c>
      <c r="G752" s="215" t="s">
        <v>23</v>
      </c>
      <c r="H752" s="220">
        <f>J752-F752</f>
        <v>771658</v>
      </c>
      <c r="I752" s="215" t="s">
        <v>23</v>
      </c>
      <c r="J752" s="220">
        <v>1541494</v>
      </c>
      <c r="K752" s="215" t="s">
        <v>23</v>
      </c>
      <c r="L752" s="223">
        <v>1652514</v>
      </c>
      <c r="M752" s="224"/>
      <c r="N752" s="224"/>
      <c r="O752" s="224"/>
      <c r="P752" s="224"/>
      <c r="Q752" s="224"/>
      <c r="R752" s="224"/>
      <c r="S752" s="224"/>
      <c r="T752" s="224"/>
    </row>
    <row r="753" spans="1:22">
      <c r="A753" s="225" t="s">
        <v>338</v>
      </c>
      <c r="B753" s="214"/>
      <c r="C753" s="215"/>
      <c r="D753" s="232"/>
      <c r="E753" s="215"/>
      <c r="F753" s="226"/>
      <c r="G753" s="215"/>
      <c r="H753" s="226"/>
      <c r="I753" s="215"/>
      <c r="J753" s="226"/>
      <c r="K753" s="215"/>
      <c r="L753" s="228"/>
      <c r="M753" s="224"/>
      <c r="N753" s="224"/>
      <c r="O753" s="224"/>
      <c r="P753" s="224"/>
      <c r="Q753" s="224"/>
      <c r="R753" s="224"/>
      <c r="S753" s="224"/>
      <c r="T753" s="224"/>
    </row>
    <row r="754" spans="1:22">
      <c r="A754" s="219" t="s">
        <v>84</v>
      </c>
      <c r="B754" s="214" t="s">
        <v>85</v>
      </c>
      <c r="C754" s="215"/>
      <c r="D754" s="220">
        <v>96000</v>
      </c>
      <c r="E754" s="215"/>
      <c r="F754" s="226">
        <v>48000</v>
      </c>
      <c r="G754" s="215"/>
      <c r="H754" s="220">
        <f>J754-F754</f>
        <v>48000</v>
      </c>
      <c r="I754" s="215"/>
      <c r="J754" s="226">
        <v>96000</v>
      </c>
      <c r="K754" s="215"/>
      <c r="L754" s="228">
        <v>96000</v>
      </c>
      <c r="M754" s="224"/>
      <c r="N754" s="224"/>
      <c r="O754" s="224"/>
      <c r="P754" s="224"/>
      <c r="Q754" s="224"/>
      <c r="R754" s="224"/>
      <c r="S754" s="224"/>
      <c r="T754" s="224"/>
    </row>
    <row r="755" spans="1:22">
      <c r="A755" s="219" t="s">
        <v>86</v>
      </c>
      <c r="B755" s="214" t="s">
        <v>87</v>
      </c>
      <c r="C755" s="215"/>
      <c r="D755" s="229">
        <v>72000</v>
      </c>
      <c r="E755" s="215"/>
      <c r="F755" s="229">
        <v>40800</v>
      </c>
      <c r="G755" s="215"/>
      <c r="H755" s="220">
        <f>J755-F755</f>
        <v>40800</v>
      </c>
      <c r="I755" s="215"/>
      <c r="J755" s="229">
        <v>81600</v>
      </c>
      <c r="K755" s="215"/>
      <c r="L755" s="231">
        <v>81600</v>
      </c>
      <c r="M755" s="224"/>
      <c r="N755" s="224"/>
      <c r="O755" s="224"/>
      <c r="P755" s="224"/>
      <c r="Q755" s="224"/>
      <c r="R755" s="224"/>
      <c r="S755" s="224"/>
      <c r="T755" s="224"/>
    </row>
    <row r="756" spans="1:22">
      <c r="A756" s="219" t="s">
        <v>88</v>
      </c>
      <c r="B756" s="214" t="s">
        <v>89</v>
      </c>
      <c r="C756" s="215"/>
      <c r="D756" s="229">
        <v>72000</v>
      </c>
      <c r="E756" s="215"/>
      <c r="F756" s="229">
        <v>40800</v>
      </c>
      <c r="G756" s="215"/>
      <c r="H756" s="220">
        <f>J756-F756</f>
        <v>40800</v>
      </c>
      <c r="I756" s="215"/>
      <c r="J756" s="229">
        <v>81600</v>
      </c>
      <c r="K756" s="215"/>
      <c r="L756" s="231">
        <v>81600</v>
      </c>
      <c r="M756" s="224"/>
      <c r="N756" s="224"/>
      <c r="O756" s="224"/>
      <c r="P756" s="224"/>
      <c r="Q756" s="224"/>
      <c r="R756" s="224"/>
      <c r="S756" s="224"/>
      <c r="T756" s="224"/>
    </row>
    <row r="757" spans="1:22">
      <c r="A757" s="219" t="s">
        <v>90</v>
      </c>
      <c r="B757" s="214" t="s">
        <v>91</v>
      </c>
      <c r="C757" s="215"/>
      <c r="D757" s="229">
        <v>24000</v>
      </c>
      <c r="E757" s="215"/>
      <c r="F757" s="229">
        <v>28000</v>
      </c>
      <c r="G757" s="215"/>
      <c r="H757" s="220">
        <f>J757-F757</f>
        <v>0</v>
      </c>
      <c r="I757" s="215"/>
      <c r="J757" s="229">
        <v>28000</v>
      </c>
      <c r="K757" s="215"/>
      <c r="L757" s="231">
        <v>28000</v>
      </c>
      <c r="M757" s="224"/>
      <c r="N757" s="224"/>
      <c r="O757" s="224"/>
      <c r="P757" s="224"/>
      <c r="Q757" s="224"/>
      <c r="R757" s="224"/>
      <c r="S757" s="224"/>
      <c r="T757" s="224"/>
    </row>
    <row r="758" spans="1:22">
      <c r="A758" s="219" t="s">
        <v>96</v>
      </c>
      <c r="B758" s="214" t="s">
        <v>97</v>
      </c>
      <c r="C758" s="215"/>
      <c r="D758" s="229">
        <v>20000</v>
      </c>
      <c r="E758" s="215"/>
      <c r="F758" s="229">
        <v>0</v>
      </c>
      <c r="G758" s="215"/>
      <c r="H758" s="220">
        <f>J758-F758</f>
        <v>20000</v>
      </c>
      <c r="I758" s="215"/>
      <c r="J758" s="229">
        <v>20000</v>
      </c>
      <c r="K758" s="215"/>
      <c r="L758" s="231">
        <v>20000</v>
      </c>
      <c r="M758" s="224"/>
      <c r="N758" s="224"/>
      <c r="O758" s="224"/>
      <c r="P758" s="224"/>
      <c r="Q758" s="224"/>
      <c r="R758" s="224"/>
      <c r="S758" s="224"/>
      <c r="T758" s="224"/>
    </row>
    <row r="759" spans="1:22">
      <c r="A759" s="219" t="s">
        <v>358</v>
      </c>
      <c r="B759" s="214" t="s">
        <v>99</v>
      </c>
      <c r="C759" s="215"/>
      <c r="D759" s="229">
        <v>60000</v>
      </c>
      <c r="E759" s="215"/>
      <c r="F759" s="229">
        <v>0</v>
      </c>
      <c r="G759" s="215"/>
      <c r="H759" s="220">
        <f>J759-F759</f>
        <v>40000</v>
      </c>
      <c r="I759" s="215"/>
      <c r="J759" s="229">
        <v>40000</v>
      </c>
      <c r="K759" s="215"/>
      <c r="L759" s="231">
        <v>80000</v>
      </c>
      <c r="M759" s="224"/>
      <c r="N759" s="224"/>
      <c r="O759" s="224"/>
      <c r="P759" s="224"/>
      <c r="Q759" s="224"/>
      <c r="R759" s="224"/>
      <c r="S759" s="224"/>
      <c r="T759" s="224"/>
    </row>
    <row r="760" spans="1:22">
      <c r="A760" s="219" t="s">
        <v>102</v>
      </c>
      <c r="B760" s="214" t="s">
        <v>103</v>
      </c>
      <c r="C760" s="215"/>
      <c r="D760" s="229">
        <v>128306</v>
      </c>
      <c r="E760" s="215"/>
      <c r="F760" s="229">
        <v>0</v>
      </c>
      <c r="G760" s="215"/>
      <c r="H760" s="220">
        <f>J760-F760</f>
        <v>128416</v>
      </c>
      <c r="I760" s="215"/>
      <c r="J760" s="229">
        <v>128416</v>
      </c>
      <c r="K760" s="215"/>
      <c r="L760" s="231">
        <v>141562</v>
      </c>
      <c r="M760" s="224"/>
      <c r="N760" s="224"/>
      <c r="O760" s="224"/>
      <c r="P760" s="224"/>
      <c r="Q760" s="224"/>
      <c r="R760" s="224"/>
      <c r="S760" s="224"/>
      <c r="T760" s="224"/>
    </row>
    <row r="761" spans="1:22">
      <c r="A761" s="219" t="s">
        <v>104</v>
      </c>
      <c r="B761" s="214" t="s">
        <v>105</v>
      </c>
      <c r="C761" s="215"/>
      <c r="D761" s="229">
        <v>20000</v>
      </c>
      <c r="E761" s="215"/>
      <c r="F761" s="229">
        <v>0</v>
      </c>
      <c r="G761" s="215"/>
      <c r="H761" s="220">
        <f>J761-F761</f>
        <v>20000</v>
      </c>
      <c r="I761" s="215"/>
      <c r="J761" s="229">
        <v>20000</v>
      </c>
      <c r="K761" s="215"/>
      <c r="L761" s="231">
        <v>20000</v>
      </c>
      <c r="M761" s="224"/>
      <c r="N761" s="224"/>
      <c r="O761" s="224"/>
      <c r="P761" s="224"/>
      <c r="Q761" s="224"/>
      <c r="R761" s="224"/>
      <c r="S761" s="224"/>
      <c r="T761" s="224"/>
    </row>
    <row r="762" spans="1:22">
      <c r="A762" s="219" t="s">
        <v>106</v>
      </c>
      <c r="B762" s="214" t="s">
        <v>107</v>
      </c>
      <c r="C762" s="215"/>
      <c r="D762" s="229">
        <v>128306</v>
      </c>
      <c r="E762" s="215"/>
      <c r="F762" s="229">
        <v>128306</v>
      </c>
      <c r="G762" s="215"/>
      <c r="H762" s="220">
        <f>J762-F762</f>
        <v>0</v>
      </c>
      <c r="I762" s="215"/>
      <c r="J762" s="229">
        <v>128306</v>
      </c>
      <c r="K762" s="215"/>
      <c r="L762" s="231">
        <v>135823</v>
      </c>
      <c r="M762" s="224"/>
      <c r="N762" s="224"/>
      <c r="O762" s="224"/>
      <c r="P762" s="224"/>
      <c r="Q762" s="224"/>
      <c r="R762" s="224"/>
      <c r="S762" s="224"/>
      <c r="T762" s="224"/>
    </row>
    <row r="763" spans="1:22">
      <c r="A763" s="225" t="s">
        <v>340</v>
      </c>
      <c r="B763" s="214"/>
      <c r="C763" s="215"/>
      <c r="D763" s="226"/>
      <c r="E763" s="215"/>
      <c r="F763" s="226"/>
      <c r="G763" s="215"/>
      <c r="H763" s="226"/>
      <c r="I763" s="215"/>
      <c r="J763" s="226"/>
      <c r="K763" s="215"/>
      <c r="L763" s="228"/>
      <c r="M763" s="224"/>
      <c r="N763" s="224"/>
      <c r="O763" s="224"/>
      <c r="P763" s="224"/>
      <c r="Q763" s="224"/>
      <c r="R763" s="224"/>
      <c r="S763" s="224"/>
      <c r="T763" s="224"/>
    </row>
    <row r="764" spans="1:22">
      <c r="A764" s="219" t="s">
        <v>108</v>
      </c>
      <c r="B764" s="214" t="s">
        <v>109</v>
      </c>
      <c r="C764" s="215"/>
      <c r="D764" s="226">
        <v>184760.64</v>
      </c>
      <c r="E764" s="215"/>
      <c r="F764" s="226">
        <v>92380.32</v>
      </c>
      <c r="G764" s="215"/>
      <c r="H764" s="220">
        <f>J764-F764</f>
        <v>92598.96</v>
      </c>
      <c r="I764" s="215"/>
      <c r="J764" s="226">
        <v>184979.28</v>
      </c>
      <c r="K764" s="215"/>
      <c r="L764" s="228">
        <v>198302</v>
      </c>
      <c r="M764" s="224"/>
      <c r="N764" s="224"/>
      <c r="O764" s="224"/>
      <c r="P764" s="224"/>
      <c r="Q764" s="224"/>
      <c r="R764" s="224"/>
      <c r="S764" s="224"/>
      <c r="T764" s="224"/>
    </row>
    <row r="765" spans="1:22">
      <c r="A765" s="219" t="s">
        <v>110</v>
      </c>
      <c r="B765" s="214" t="s">
        <v>111</v>
      </c>
      <c r="C765" s="215"/>
      <c r="D765" s="229">
        <v>4800</v>
      </c>
      <c r="E765" s="215"/>
      <c r="F765" s="229">
        <v>4400</v>
      </c>
      <c r="G765" s="215"/>
      <c r="H765" s="220">
        <f>J765-F765</f>
        <v>5200</v>
      </c>
      <c r="I765" s="215"/>
      <c r="J765" s="229">
        <v>9600</v>
      </c>
      <c r="K765" s="215"/>
      <c r="L765" s="231">
        <v>9600</v>
      </c>
      <c r="M765" s="224"/>
      <c r="N765" s="224"/>
      <c r="O765" s="224"/>
      <c r="P765" s="224"/>
      <c r="Q765" s="224"/>
      <c r="R765" s="224"/>
      <c r="S765" s="224"/>
      <c r="T765" s="224"/>
    </row>
    <row r="766" spans="1:22">
      <c r="A766" s="219" t="s">
        <v>112</v>
      </c>
      <c r="B766" s="214" t="s">
        <v>113</v>
      </c>
      <c r="C766" s="215"/>
      <c r="D766" s="229">
        <v>30793.44</v>
      </c>
      <c r="E766" s="215"/>
      <c r="F766" s="229">
        <v>19245.96</v>
      </c>
      <c r="G766" s="215"/>
      <c r="H766" s="220">
        <f>J766-F766</f>
        <v>19291.39</v>
      </c>
      <c r="I766" s="215"/>
      <c r="J766" s="229">
        <v>38537.35</v>
      </c>
      <c r="K766" s="215"/>
      <c r="L766" s="231">
        <v>41313</v>
      </c>
      <c r="M766" s="224"/>
      <c r="N766" s="224"/>
      <c r="O766" s="224"/>
      <c r="P766" s="224"/>
      <c r="Q766" s="224"/>
      <c r="R766" s="224"/>
      <c r="S766" s="224"/>
      <c r="T766" s="224"/>
    </row>
    <row r="767" spans="1:22">
      <c r="A767" s="219" t="s">
        <v>114</v>
      </c>
      <c r="B767" s="214" t="s">
        <v>115</v>
      </c>
      <c r="C767" s="215"/>
      <c r="D767" s="229">
        <v>4800</v>
      </c>
      <c r="E767" s="215"/>
      <c r="F767" s="229">
        <v>2400</v>
      </c>
      <c r="G767" s="215"/>
      <c r="H767" s="220">
        <f>J767-F767</f>
        <v>2400</v>
      </c>
      <c r="I767" s="215"/>
      <c r="J767" s="229">
        <v>4800</v>
      </c>
      <c r="K767" s="215"/>
      <c r="L767" s="231">
        <v>4800</v>
      </c>
      <c r="M767" s="224"/>
      <c r="N767" s="224"/>
      <c r="O767" s="224"/>
      <c r="P767" s="224"/>
      <c r="Q767" s="224"/>
      <c r="R767" s="224"/>
      <c r="S767" s="224"/>
      <c r="T767" s="224"/>
    </row>
    <row r="768" spans="1:22">
      <c r="A768" s="225" t="s">
        <v>359</v>
      </c>
      <c r="B768" s="214"/>
      <c r="C768" s="221"/>
      <c r="D768" s="226"/>
      <c r="E768" s="215"/>
      <c r="F768" s="226"/>
      <c r="G768" s="215"/>
      <c r="H768" s="226"/>
      <c r="I768" s="215"/>
      <c r="J768" s="226"/>
      <c r="K768" s="215"/>
      <c r="L768" s="228"/>
      <c r="M768" s="224"/>
      <c r="N768" s="224"/>
      <c r="O768" s="224"/>
      <c r="P768" s="224"/>
      <c r="Q768" s="224"/>
      <c r="R768" s="224"/>
      <c r="S768" s="224"/>
      <c r="T768" s="224"/>
    </row>
    <row r="769" spans="1:22">
      <c r="A769" s="219" t="s">
        <v>360</v>
      </c>
      <c r="B769" s="214" t="s">
        <v>117</v>
      </c>
      <c r="C769" s="215"/>
      <c r="D769" s="220">
        <v>0</v>
      </c>
      <c r="E769" s="215"/>
      <c r="F769" s="220">
        <v>0</v>
      </c>
      <c r="G769" s="215"/>
      <c r="H769" s="220">
        <f>J769-F769</f>
        <v>0</v>
      </c>
      <c r="I769" s="215"/>
      <c r="J769" s="220">
        <v>0</v>
      </c>
      <c r="K769" s="215"/>
      <c r="L769" s="223">
        <v>0</v>
      </c>
      <c r="M769" s="224"/>
      <c r="N769" s="224"/>
      <c r="O769" s="224"/>
      <c r="P769" s="224"/>
      <c r="Q769" s="224"/>
      <c r="R769" s="224"/>
      <c r="S769" s="224"/>
      <c r="T769" s="224"/>
    </row>
    <row r="770" spans="1:22" customHeight="1" ht="15.75">
      <c r="A770" s="219" t="s">
        <v>361</v>
      </c>
      <c r="B770" s="214" t="s">
        <v>119</v>
      </c>
      <c r="C770" s="215"/>
      <c r="D770" s="239">
        <v>0</v>
      </c>
      <c r="E770" s="215"/>
      <c r="F770" s="239">
        <v>0</v>
      </c>
      <c r="G770" s="215"/>
      <c r="H770" s="220">
        <f>J770-F770</f>
        <v>20000</v>
      </c>
      <c r="I770" s="215"/>
      <c r="J770" s="239">
        <v>20000</v>
      </c>
      <c r="K770" s="215"/>
      <c r="L770" s="257">
        <v>28000</v>
      </c>
      <c r="M770" s="224"/>
      <c r="N770" s="224"/>
      <c r="O770" s="224"/>
      <c r="P770" s="224"/>
      <c r="Q770" s="224"/>
      <c r="R770" s="224"/>
      <c r="S770" s="224"/>
      <c r="T770" s="224"/>
    </row>
    <row r="771" spans="1:22" customHeight="1" ht="15.75">
      <c r="A771" s="242" t="s">
        <v>120</v>
      </c>
      <c r="B771" s="243"/>
      <c r="C771" s="244" t="s">
        <v>23</v>
      </c>
      <c r="D771" s="245">
        <f>SUM(D752:D770)</f>
        <v>2385438.08</v>
      </c>
      <c r="E771" s="246" t="s">
        <v>23</v>
      </c>
      <c r="F771" s="245">
        <f>SUM(F752:F770)</f>
        <v>1174168.28</v>
      </c>
      <c r="G771" s="246" t="s">
        <v>23</v>
      </c>
      <c r="H771" s="245">
        <f>SUM(H752:H770)</f>
        <v>1249164.35</v>
      </c>
      <c r="I771" s="246" t="s">
        <v>23</v>
      </c>
      <c r="J771" s="245">
        <f>SUM(J752:J770)</f>
        <v>2423332.63</v>
      </c>
      <c r="K771" s="246" t="s">
        <v>23</v>
      </c>
      <c r="L771" s="300">
        <f>SUM(L752:L770)</f>
        <v>2619114</v>
      </c>
      <c r="M771" s="248"/>
      <c r="N771" s="248"/>
      <c r="O771" s="248"/>
      <c r="P771" s="248"/>
      <c r="Q771" s="248"/>
      <c r="R771" s="248"/>
      <c r="S771" s="248"/>
      <c r="T771" s="248"/>
    </row>
    <row r="775" spans="1:22">
      <c r="J775" s="215"/>
    </row>
    <row r="778" spans="1:22">
      <c r="A778" s="273" t="s">
        <v>346</v>
      </c>
      <c r="B778" s="273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4"/>
      <c r="N778" s="274"/>
      <c r="O778" s="274"/>
      <c r="P778" s="274"/>
      <c r="Q778" s="274"/>
      <c r="R778" s="274"/>
      <c r="S778" s="274"/>
      <c r="T778" s="274"/>
    </row>
    <row r="780" spans="1:22" customHeight="1" ht="15.75">
      <c r="A780" s="183" t="s">
        <v>347</v>
      </c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4"/>
      <c r="N780" s="184"/>
      <c r="O780" s="184"/>
      <c r="P780" s="184"/>
      <c r="Q780" s="184"/>
      <c r="R780" s="184"/>
      <c r="S780" s="184"/>
      <c r="T780" s="184"/>
    </row>
    <row r="781" spans="1:22">
      <c r="A781" s="185" t="s">
        <v>348</v>
      </c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6"/>
      <c r="N781" s="186"/>
      <c r="O781" s="186"/>
      <c r="P781" s="186"/>
      <c r="Q781" s="186"/>
      <c r="R781" s="186"/>
      <c r="S781" s="186"/>
      <c r="T781" s="186"/>
    </row>
    <row r="783" spans="1:22">
      <c r="A783" s="187" t="s">
        <v>402</v>
      </c>
    </row>
    <row r="784" spans="1:22" customHeight="1" ht="15.75"/>
    <row r="785" spans="1:22">
      <c r="A785" s="189"/>
      <c r="B785" s="190"/>
      <c r="C785" s="191" t="s">
        <v>350</v>
      </c>
      <c r="D785" s="192"/>
      <c r="E785" s="193" t="s">
        <v>351</v>
      </c>
      <c r="F785" s="194"/>
      <c r="G785" s="194"/>
      <c r="H785" s="194"/>
      <c r="I785" s="194"/>
      <c r="J785" s="195"/>
      <c r="K785" s="191" t="s">
        <v>352</v>
      </c>
      <c r="L785" s="196"/>
      <c r="M785" s="186"/>
      <c r="N785" s="186"/>
      <c r="O785" s="186"/>
      <c r="P785" s="186"/>
      <c r="Q785" s="186"/>
      <c r="R785" s="186"/>
      <c r="S785" s="186"/>
      <c r="T785" s="186"/>
    </row>
    <row r="786" spans="1:22">
      <c r="A786" s="197" t="s">
        <v>353</v>
      </c>
      <c r="B786" s="198" t="s">
        <v>354</v>
      </c>
      <c r="C786" s="199">
        <v>2023</v>
      </c>
      <c r="D786" s="200"/>
      <c r="E786" s="201" t="s">
        <v>11</v>
      </c>
      <c r="F786" s="202"/>
      <c r="G786" s="201" t="s">
        <v>355</v>
      </c>
      <c r="H786" s="202"/>
      <c r="I786" s="203" t="s">
        <v>356</v>
      </c>
      <c r="J786" s="204"/>
      <c r="K786" s="199">
        <v>2025</v>
      </c>
      <c r="L786" s="205"/>
      <c r="M786" s="186"/>
      <c r="N786" s="186"/>
      <c r="O786" s="186"/>
      <c r="P786" s="186"/>
      <c r="Q786" s="186"/>
      <c r="R786" s="186"/>
      <c r="S786" s="186"/>
      <c r="T786" s="186"/>
    </row>
    <row r="787" spans="1:22" customHeight="1" ht="15.75">
      <c r="A787" s="206"/>
      <c r="B787" s="207"/>
      <c r="C787" s="208" t="s">
        <v>17</v>
      </c>
      <c r="D787" s="209"/>
      <c r="E787" s="208" t="s">
        <v>17</v>
      </c>
      <c r="F787" s="209"/>
      <c r="G787" s="208" t="s">
        <v>18</v>
      </c>
      <c r="H787" s="209"/>
      <c r="I787" s="210"/>
      <c r="J787" s="211"/>
      <c r="K787" s="208" t="s">
        <v>357</v>
      </c>
      <c r="L787" s="212"/>
      <c r="M787" s="186"/>
      <c r="N787" s="186"/>
      <c r="O787" s="186"/>
      <c r="P787" s="186"/>
      <c r="Q787" s="186"/>
      <c r="R787" s="186"/>
      <c r="S787" s="186"/>
      <c r="T787" s="186"/>
    </row>
    <row r="788" spans="1:22">
      <c r="A788" s="225" t="s">
        <v>121</v>
      </c>
      <c r="B788" s="254"/>
      <c r="C788" s="215"/>
      <c r="D788" s="216"/>
      <c r="E788" s="215"/>
      <c r="F788" s="216"/>
      <c r="G788" s="215"/>
      <c r="H788" s="216"/>
      <c r="I788" s="215"/>
      <c r="J788" s="216"/>
      <c r="K788" s="215"/>
      <c r="L788" s="217"/>
      <c r="M788" s="218"/>
      <c r="N788" s="218"/>
      <c r="O788" s="218"/>
      <c r="P788" s="218"/>
      <c r="Q788" s="218"/>
      <c r="R788" s="218"/>
      <c r="S788" s="218"/>
      <c r="T788" s="218"/>
    </row>
    <row r="789" spans="1:22">
      <c r="A789" s="219" t="s">
        <v>122</v>
      </c>
      <c r="B789" s="214" t="s">
        <v>123</v>
      </c>
      <c r="C789" s="215" t="s">
        <v>23</v>
      </c>
      <c r="D789" s="226">
        <v>117350</v>
      </c>
      <c r="E789" s="215" t="s">
        <v>23</v>
      </c>
      <c r="F789" s="226">
        <v>105588.9</v>
      </c>
      <c r="G789" s="215" t="s">
        <v>23</v>
      </c>
      <c r="H789" s="226">
        <f>J789-F789</f>
        <v>24411.1</v>
      </c>
      <c r="I789" s="215" t="s">
        <v>23</v>
      </c>
      <c r="J789" s="226">
        <v>130000</v>
      </c>
      <c r="K789" s="215" t="s">
        <v>23</v>
      </c>
      <c r="L789" s="228">
        <v>170000</v>
      </c>
      <c r="M789" s="224"/>
      <c r="N789" s="224"/>
      <c r="O789" s="224"/>
      <c r="P789" s="224"/>
      <c r="Q789" s="224"/>
      <c r="R789" s="224"/>
      <c r="S789" s="224"/>
      <c r="T789" s="224"/>
    </row>
    <row r="790" spans="1:22">
      <c r="A790" s="219" t="s">
        <v>126</v>
      </c>
      <c r="B790" s="214" t="s">
        <v>127</v>
      </c>
      <c r="C790" s="215"/>
      <c r="D790" s="229">
        <v>46585</v>
      </c>
      <c r="E790" s="215"/>
      <c r="F790" s="229">
        <v>30195</v>
      </c>
      <c r="G790" s="215"/>
      <c r="H790" s="229">
        <f>J790-F790</f>
        <v>11302.5</v>
      </c>
      <c r="I790" s="215"/>
      <c r="J790" s="229">
        <v>41497.5</v>
      </c>
      <c r="K790" s="215"/>
      <c r="L790" s="231">
        <v>67497.5</v>
      </c>
      <c r="M790" s="224"/>
      <c r="N790" s="224"/>
      <c r="O790" s="224"/>
      <c r="P790" s="224"/>
      <c r="Q790" s="224"/>
      <c r="R790" s="224"/>
      <c r="S790" s="224"/>
      <c r="T790" s="224"/>
    </row>
    <row r="791" spans="1:22">
      <c r="A791" s="219" t="s">
        <v>142</v>
      </c>
      <c r="B791" s="214" t="s">
        <v>143</v>
      </c>
      <c r="C791" s="215"/>
      <c r="D791" s="229">
        <v>1000</v>
      </c>
      <c r="E791" s="215"/>
      <c r="F791" s="229">
        <v>0</v>
      </c>
      <c r="G791" s="215"/>
      <c r="H791" s="229">
        <f>J791-F791</f>
        <v>500</v>
      </c>
      <c r="I791" s="215"/>
      <c r="J791" s="229">
        <v>500</v>
      </c>
      <c r="K791" s="215"/>
      <c r="L791" s="231">
        <v>500</v>
      </c>
      <c r="M791" s="224"/>
      <c r="N791" s="224"/>
      <c r="O791" s="224"/>
      <c r="P791" s="224"/>
      <c r="Q791" s="224"/>
      <c r="R791" s="224"/>
      <c r="S791" s="224"/>
      <c r="T791" s="224"/>
    </row>
    <row r="792" spans="1:22">
      <c r="A792" s="219" t="s">
        <v>144</v>
      </c>
      <c r="B792" s="214" t="s">
        <v>145</v>
      </c>
      <c r="C792" s="215"/>
      <c r="D792" s="229">
        <v>60000</v>
      </c>
      <c r="E792" s="215"/>
      <c r="F792" s="229">
        <v>30000</v>
      </c>
      <c r="G792" s="215"/>
      <c r="H792" s="229">
        <f>J792-F792</f>
        <v>30000</v>
      </c>
      <c r="I792" s="215"/>
      <c r="J792" s="229">
        <v>60000</v>
      </c>
      <c r="K792" s="215"/>
      <c r="L792" s="231">
        <v>24000</v>
      </c>
      <c r="M792" s="224"/>
      <c r="N792" s="224"/>
      <c r="O792" s="224"/>
      <c r="P792" s="224"/>
      <c r="Q792" s="224"/>
      <c r="R792" s="224"/>
      <c r="S792" s="224"/>
      <c r="T792" s="224"/>
    </row>
    <row r="793" spans="1:22">
      <c r="A793" s="219" t="s">
        <v>146</v>
      </c>
      <c r="B793" s="214" t="s">
        <v>147</v>
      </c>
      <c r="C793" s="215"/>
      <c r="D793" s="229">
        <v>25000</v>
      </c>
      <c r="E793" s="215"/>
      <c r="F793" s="229">
        <v>12847.47</v>
      </c>
      <c r="G793" s="215"/>
      <c r="H793" s="229">
        <f>J793-F793</f>
        <v>12152.53</v>
      </c>
      <c r="I793" s="215"/>
      <c r="J793" s="229">
        <v>25000</v>
      </c>
      <c r="K793" s="215"/>
      <c r="L793" s="231">
        <v>27000</v>
      </c>
      <c r="M793" s="224"/>
      <c r="N793" s="224"/>
      <c r="O793" s="224"/>
      <c r="P793" s="224"/>
      <c r="Q793" s="224"/>
      <c r="R793" s="224"/>
      <c r="S793" s="224"/>
      <c r="T793" s="224"/>
    </row>
    <row r="794" spans="1:22">
      <c r="A794" s="219" t="s">
        <v>156</v>
      </c>
      <c r="B794" s="214" t="s">
        <v>157</v>
      </c>
      <c r="C794" s="215"/>
      <c r="D794" s="229">
        <v>10000</v>
      </c>
      <c r="E794" s="215"/>
      <c r="F794" s="229">
        <v>2400</v>
      </c>
      <c r="G794" s="215"/>
      <c r="H794" s="229">
        <f>J794-F794</f>
        <v>7600</v>
      </c>
      <c r="I794" s="215"/>
      <c r="J794" s="229">
        <v>10000</v>
      </c>
      <c r="K794" s="215"/>
      <c r="L794" s="231">
        <v>15000</v>
      </c>
      <c r="M794" s="224"/>
      <c r="N794" s="224"/>
      <c r="O794" s="224"/>
      <c r="P794" s="224"/>
      <c r="Q794" s="224"/>
      <c r="R794" s="224"/>
      <c r="S794" s="224"/>
      <c r="T794" s="224"/>
    </row>
    <row r="795" spans="1:22" customHeight="1" ht="15.75">
      <c r="A795" s="219" t="s">
        <v>169</v>
      </c>
      <c r="B795" s="214" t="s">
        <v>170</v>
      </c>
      <c r="C795" s="215"/>
      <c r="D795" s="239">
        <v>12118.99</v>
      </c>
      <c r="E795" s="215"/>
      <c r="F795" s="239">
        <v>0</v>
      </c>
      <c r="G795" s="215"/>
      <c r="H795" s="279">
        <f>J795-F795</f>
        <v>0</v>
      </c>
      <c r="I795" s="215"/>
      <c r="J795" s="239">
        <v>0</v>
      </c>
      <c r="K795" s="215"/>
      <c r="L795" s="257">
        <v>8000</v>
      </c>
      <c r="M795" s="224"/>
      <c r="N795" s="224"/>
      <c r="O795" s="224"/>
      <c r="P795" s="224"/>
      <c r="Q795" s="224"/>
      <c r="R795" s="224"/>
      <c r="S795" s="224"/>
      <c r="T795" s="224"/>
    </row>
    <row r="796" spans="1:22" customHeight="1" ht="15.75">
      <c r="A796" s="225" t="s">
        <v>200</v>
      </c>
      <c r="B796" s="254"/>
      <c r="C796" s="258" t="s">
        <v>23</v>
      </c>
      <c r="D796" s="245">
        <f>SUM(D789:D795)</f>
        <v>272053.99</v>
      </c>
      <c r="E796" s="258" t="s">
        <v>23</v>
      </c>
      <c r="F796" s="245">
        <f>SUM(F789:F795)</f>
        <v>181031.37</v>
      </c>
      <c r="G796" s="258" t="s">
        <v>23</v>
      </c>
      <c r="H796" s="245">
        <f>SUM(H789:H795)</f>
        <v>85966.13</v>
      </c>
      <c r="I796" s="258" t="s">
        <v>23</v>
      </c>
      <c r="J796" s="245">
        <f>SUM(J789:J795)</f>
        <v>266997.5</v>
      </c>
      <c r="K796" s="258" t="s">
        <v>23</v>
      </c>
      <c r="L796" s="247">
        <f>SUM(L789:L795)</f>
        <v>311997.5</v>
      </c>
      <c r="M796" s="248"/>
      <c r="N796" s="248"/>
      <c r="O796" s="248"/>
      <c r="P796" s="248"/>
      <c r="Q796" s="248"/>
      <c r="R796" s="248"/>
      <c r="S796" s="248"/>
      <c r="T796" s="248"/>
    </row>
    <row r="797" spans="1:22">
      <c r="A797" s="225" t="s">
        <v>201</v>
      </c>
      <c r="B797" s="254"/>
      <c r="C797" s="215"/>
      <c r="D797" s="280"/>
      <c r="E797" s="215"/>
      <c r="F797" s="280"/>
      <c r="G797" s="215"/>
      <c r="H797" s="280"/>
      <c r="I797" s="215"/>
      <c r="J797" s="280"/>
      <c r="K797" s="215"/>
      <c r="L797" s="281"/>
      <c r="M797" s="224"/>
      <c r="N797" s="224"/>
      <c r="O797" s="224"/>
      <c r="P797" s="224"/>
      <c r="Q797" s="224"/>
      <c r="R797" s="224"/>
      <c r="S797" s="224"/>
      <c r="T797" s="224"/>
    </row>
    <row r="798" spans="1:22" customHeight="1" ht="15.75">
      <c r="A798" s="219" t="s">
        <v>367</v>
      </c>
      <c r="B798" s="214" t="s">
        <v>209</v>
      </c>
      <c r="C798" s="215" t="s">
        <v>23</v>
      </c>
      <c r="D798" s="226">
        <v>0</v>
      </c>
      <c r="E798" s="215" t="s">
        <v>23</v>
      </c>
      <c r="F798" s="226">
        <v>0</v>
      </c>
      <c r="G798" s="215" t="s">
        <v>23</v>
      </c>
      <c r="H798" s="226">
        <v>0</v>
      </c>
      <c r="I798" s="215" t="s">
        <v>23</v>
      </c>
      <c r="J798" s="226">
        <v>0</v>
      </c>
      <c r="K798" s="215" t="s">
        <v>23</v>
      </c>
      <c r="L798" s="228">
        <v>55000</v>
      </c>
      <c r="M798" s="224"/>
      <c r="N798" s="224"/>
      <c r="O798" s="224"/>
      <c r="P798" s="224"/>
      <c r="Q798" s="224"/>
      <c r="R798" s="224"/>
      <c r="S798" s="224"/>
      <c r="T798" s="224"/>
    </row>
    <row r="799" spans="1:22" customHeight="1" ht="15.75">
      <c r="A799" s="225" t="s">
        <v>214</v>
      </c>
      <c r="B799" s="214"/>
      <c r="C799" s="258" t="s">
        <v>23</v>
      </c>
      <c r="D799" s="282">
        <f>SUM(D798)</f>
        <v>0</v>
      </c>
      <c r="E799" s="258" t="s">
        <v>23</v>
      </c>
      <c r="F799" s="282">
        <f>SUM(F798)</f>
        <v>0</v>
      </c>
      <c r="G799" s="258" t="s">
        <v>23</v>
      </c>
      <c r="H799" s="282">
        <f>SUM(H798)</f>
        <v>0</v>
      </c>
      <c r="I799" s="258" t="s">
        <v>23</v>
      </c>
      <c r="J799" s="282">
        <f>SUM(J798)</f>
        <v>0</v>
      </c>
      <c r="K799" s="258" t="s">
        <v>23</v>
      </c>
      <c r="L799" s="283">
        <f>SUM(L798)</f>
        <v>55000</v>
      </c>
      <c r="M799" s="248"/>
      <c r="N799" s="248"/>
      <c r="O799" s="248"/>
      <c r="P799" s="248"/>
      <c r="Q799" s="248"/>
      <c r="R799" s="248"/>
      <c r="S799" s="248"/>
      <c r="T799" s="248"/>
    </row>
    <row r="800" spans="1:22" customHeight="1" ht="15.75">
      <c r="A800" s="284" t="s">
        <v>370</v>
      </c>
      <c r="B800" s="285"/>
      <c r="C800" s="286" t="s">
        <v>23</v>
      </c>
      <c r="D800" s="287">
        <f>D771+D796+D799</f>
        <v>2657492.07</v>
      </c>
      <c r="E800" s="288" t="s">
        <v>23</v>
      </c>
      <c r="F800" s="287">
        <f>F771+F796+F799</f>
        <v>1355199.65</v>
      </c>
      <c r="G800" s="288" t="s">
        <v>23</v>
      </c>
      <c r="H800" s="287">
        <f>H771+H796+H799</f>
        <v>1335130.48</v>
      </c>
      <c r="I800" s="288" t="s">
        <v>23</v>
      </c>
      <c r="J800" s="287">
        <f>J771+J796+J799</f>
        <v>2690330.13</v>
      </c>
      <c r="K800" s="288" t="s">
        <v>23</v>
      </c>
      <c r="L800" s="289">
        <f>L771+L796+L799</f>
        <v>2986111.5</v>
      </c>
      <c r="M800" s="248"/>
      <c r="N800" s="248"/>
      <c r="O800" s="248"/>
      <c r="P800" s="248"/>
      <c r="Q800" s="248"/>
      <c r="R800" s="248"/>
      <c r="S800" s="248"/>
      <c r="T800" s="248"/>
    </row>
    <row r="801" spans="1:22" customHeight="1" ht="15.75">
      <c r="A801" s="187"/>
      <c r="C801" s="258"/>
      <c r="D801" s="261"/>
      <c r="E801" s="258"/>
      <c r="F801" s="261"/>
      <c r="G801" s="258"/>
      <c r="H801" s="261"/>
      <c r="I801" s="258"/>
      <c r="J801" s="261"/>
      <c r="K801" s="258"/>
      <c r="L801" s="248"/>
      <c r="M801" s="248"/>
      <c r="N801" s="248"/>
      <c r="O801" s="248"/>
      <c r="P801" s="248"/>
      <c r="Q801" s="248"/>
      <c r="R801" s="248"/>
      <c r="S801" s="248"/>
      <c r="T801" s="248"/>
    </row>
    <row r="802" spans="1:22">
      <c r="A802" s="215" t="s">
        <v>371</v>
      </c>
      <c r="B802" s="215" t="s">
        <v>372</v>
      </c>
      <c r="C802" s="215"/>
      <c r="D802" s="215"/>
      <c r="E802" s="215"/>
      <c r="F802" s="215"/>
      <c r="G802" s="215" t="s">
        <v>373</v>
      </c>
      <c r="H802" s="215"/>
    </row>
    <row r="805" spans="1:22">
      <c r="A805" s="268" t="s">
        <v>403</v>
      </c>
      <c r="B805" s="269" t="s">
        <v>374</v>
      </c>
      <c r="C805" s="269"/>
      <c r="D805" s="269"/>
      <c r="E805" s="269"/>
      <c r="F805" s="269"/>
      <c r="G805" s="270"/>
      <c r="H805" s="269" t="s">
        <v>326</v>
      </c>
      <c r="I805" s="269"/>
      <c r="J805" s="269"/>
      <c r="K805" s="269"/>
      <c r="L805" s="269"/>
      <c r="M805" s="268"/>
      <c r="N805" s="268"/>
      <c r="O805" s="268"/>
      <c r="P805" s="268"/>
      <c r="Q805" s="268"/>
      <c r="R805" s="268"/>
      <c r="S805" s="268"/>
      <c r="T805" s="268"/>
    </row>
    <row r="806" spans="1:22">
      <c r="A806" s="271" t="s">
        <v>404</v>
      </c>
      <c r="B806" s="272" t="s">
        <v>375</v>
      </c>
      <c r="C806" s="272"/>
      <c r="D806" s="272"/>
      <c r="E806" s="272"/>
      <c r="F806" s="272"/>
      <c r="G806" s="215"/>
      <c r="H806" s="272" t="s">
        <v>327</v>
      </c>
      <c r="I806" s="272"/>
      <c r="J806" s="272"/>
      <c r="K806" s="272"/>
      <c r="L806" s="272"/>
      <c r="M806" s="271"/>
      <c r="N806" s="271"/>
      <c r="O806" s="271"/>
      <c r="P806" s="271"/>
      <c r="Q806" s="271"/>
      <c r="R806" s="271"/>
      <c r="S806" s="271"/>
      <c r="T806" s="271"/>
    </row>
    <row r="811" spans="1:22">
      <c r="J811" s="215"/>
    </row>
    <row r="815" spans="1:22">
      <c r="A815" s="273" t="s">
        <v>346</v>
      </c>
      <c r="B815" s="273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4"/>
      <c r="N815" s="274"/>
      <c r="O815" s="274"/>
      <c r="P815" s="274"/>
      <c r="Q815" s="274"/>
      <c r="R815" s="274"/>
      <c r="S815" s="274"/>
      <c r="T815" s="274"/>
    </row>
    <row r="817" spans="1:22" customHeight="1" ht="15.75">
      <c r="A817" s="183" t="s">
        <v>347</v>
      </c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4"/>
      <c r="N817" s="184"/>
      <c r="O817" s="184"/>
      <c r="P817" s="184"/>
      <c r="Q817" s="184"/>
      <c r="R817" s="184"/>
      <c r="S817" s="184"/>
      <c r="T817" s="184"/>
    </row>
    <row r="818" spans="1:22">
      <c r="A818" s="185" t="s">
        <v>348</v>
      </c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6"/>
      <c r="N818" s="186"/>
      <c r="O818" s="186"/>
      <c r="P818" s="186"/>
      <c r="Q818" s="186"/>
      <c r="R818" s="186"/>
      <c r="S818" s="186"/>
      <c r="T818" s="186"/>
    </row>
    <row r="820" spans="1:22">
      <c r="A820" s="187" t="s">
        <v>405</v>
      </c>
    </row>
    <row r="821" spans="1:22" customHeight="1" ht="15.75"/>
    <row r="822" spans="1:22">
      <c r="A822" s="189"/>
      <c r="B822" s="190"/>
      <c r="C822" s="191" t="s">
        <v>350</v>
      </c>
      <c r="D822" s="192"/>
      <c r="E822" s="193" t="s">
        <v>351</v>
      </c>
      <c r="F822" s="194"/>
      <c r="G822" s="194"/>
      <c r="H822" s="194"/>
      <c r="I822" s="194"/>
      <c r="J822" s="195"/>
      <c r="K822" s="191" t="s">
        <v>352</v>
      </c>
      <c r="L822" s="196"/>
      <c r="M822" s="186"/>
      <c r="N822" s="186"/>
      <c r="O822" s="186"/>
      <c r="P822" s="186"/>
      <c r="Q822" s="186"/>
      <c r="R822" s="186"/>
      <c r="S822" s="186"/>
      <c r="T822" s="186"/>
    </row>
    <row r="823" spans="1:22">
      <c r="A823" s="197" t="s">
        <v>353</v>
      </c>
      <c r="B823" s="198" t="s">
        <v>354</v>
      </c>
      <c r="C823" s="199">
        <v>2023</v>
      </c>
      <c r="D823" s="200"/>
      <c r="E823" s="201" t="s">
        <v>11</v>
      </c>
      <c r="F823" s="202"/>
      <c r="G823" s="201" t="s">
        <v>355</v>
      </c>
      <c r="H823" s="202"/>
      <c r="I823" s="203" t="s">
        <v>356</v>
      </c>
      <c r="J823" s="204"/>
      <c r="K823" s="199">
        <v>2025</v>
      </c>
      <c r="L823" s="205"/>
      <c r="M823" s="186"/>
      <c r="N823" s="186"/>
      <c r="O823" s="186"/>
      <c r="P823" s="186"/>
      <c r="Q823" s="186"/>
      <c r="R823" s="186"/>
      <c r="S823" s="186"/>
      <c r="T823" s="186"/>
    </row>
    <row r="824" spans="1:22" customHeight="1" ht="15.75">
      <c r="A824" s="206"/>
      <c r="B824" s="207"/>
      <c r="C824" s="208" t="s">
        <v>17</v>
      </c>
      <c r="D824" s="209"/>
      <c r="E824" s="208" t="s">
        <v>17</v>
      </c>
      <c r="F824" s="209"/>
      <c r="G824" s="208" t="s">
        <v>18</v>
      </c>
      <c r="H824" s="209"/>
      <c r="I824" s="210"/>
      <c r="J824" s="211"/>
      <c r="K824" s="208" t="s">
        <v>357</v>
      </c>
      <c r="L824" s="212"/>
      <c r="M824" s="186"/>
      <c r="N824" s="186"/>
      <c r="O824" s="186"/>
      <c r="P824" s="186"/>
      <c r="Q824" s="186"/>
      <c r="R824" s="186"/>
      <c r="S824" s="186"/>
      <c r="T824" s="186"/>
    </row>
    <row r="825" spans="1:22">
      <c r="A825" s="213" t="s">
        <v>80</v>
      </c>
      <c r="B825" s="214"/>
      <c r="C825" s="215"/>
      <c r="D825" s="216"/>
      <c r="E825" s="215"/>
      <c r="F825" s="216"/>
      <c r="G825" s="215"/>
      <c r="H825" s="216"/>
      <c r="I825" s="215"/>
      <c r="J825" s="216"/>
      <c r="K825" s="215"/>
      <c r="L825" s="217"/>
      <c r="M825" s="218"/>
      <c r="N825" s="218"/>
      <c r="O825" s="218"/>
      <c r="P825" s="218"/>
      <c r="Q825" s="218"/>
      <c r="R825" s="218"/>
      <c r="S825" s="218"/>
      <c r="T825" s="218"/>
    </row>
    <row r="826" spans="1:22">
      <c r="A826" s="219" t="s">
        <v>82</v>
      </c>
      <c r="B826" s="214" t="s">
        <v>83</v>
      </c>
      <c r="C826" s="215" t="s">
        <v>23</v>
      </c>
      <c r="D826" s="220">
        <v>4831772.98</v>
      </c>
      <c r="E826" s="215" t="s">
        <v>23</v>
      </c>
      <c r="F826" s="220">
        <v>2740223.71</v>
      </c>
      <c r="G826" s="215" t="s">
        <v>23</v>
      </c>
      <c r="H826" s="220">
        <f>J826-F826</f>
        <v>3029447.29</v>
      </c>
      <c r="I826" s="215" t="s">
        <v>23</v>
      </c>
      <c r="J826" s="220">
        <v>5769671</v>
      </c>
      <c r="K826" s="215" t="s">
        <v>23</v>
      </c>
      <c r="L826" s="223">
        <v>5992502</v>
      </c>
      <c r="M826" s="224"/>
      <c r="N826" s="224"/>
      <c r="O826" s="224"/>
      <c r="P826" s="224"/>
      <c r="Q826" s="224"/>
      <c r="R826" s="224"/>
      <c r="S826" s="224"/>
      <c r="T826" s="224"/>
    </row>
    <row r="827" spans="1:22">
      <c r="A827" s="225" t="s">
        <v>338</v>
      </c>
      <c r="B827" s="214"/>
      <c r="C827" s="215"/>
      <c r="D827" s="226"/>
      <c r="E827" s="215"/>
      <c r="F827" s="226"/>
      <c r="G827" s="215"/>
      <c r="H827" s="226"/>
      <c r="I827" s="215"/>
      <c r="J827" s="226"/>
      <c r="K827" s="215"/>
      <c r="L827" s="228"/>
      <c r="M827" s="224"/>
      <c r="N827" s="224"/>
      <c r="O827" s="224"/>
      <c r="P827" s="224"/>
      <c r="Q827" s="224"/>
      <c r="R827" s="224"/>
      <c r="S827" s="224"/>
      <c r="T827" s="224"/>
    </row>
    <row r="828" spans="1:22">
      <c r="A828" s="219" t="s">
        <v>84</v>
      </c>
      <c r="B828" s="214" t="s">
        <v>85</v>
      </c>
      <c r="C828" s="215"/>
      <c r="D828" s="226">
        <v>311677.42</v>
      </c>
      <c r="E828" s="215"/>
      <c r="F828" s="226">
        <v>186000</v>
      </c>
      <c r="G828" s="215"/>
      <c r="H828" s="220">
        <f>J828-F828</f>
        <v>206000</v>
      </c>
      <c r="I828" s="215"/>
      <c r="J828" s="226">
        <v>392000</v>
      </c>
      <c r="K828" s="215"/>
      <c r="L828" s="228">
        <v>384000</v>
      </c>
      <c r="M828" s="224"/>
      <c r="N828" s="224"/>
      <c r="O828" s="224"/>
      <c r="P828" s="224"/>
      <c r="Q828" s="224"/>
      <c r="R828" s="224"/>
      <c r="S828" s="224"/>
      <c r="T828" s="224"/>
    </row>
    <row r="829" spans="1:22">
      <c r="A829" s="219" t="s">
        <v>86</v>
      </c>
      <c r="B829" s="214" t="s">
        <v>87</v>
      </c>
      <c r="C829" s="215"/>
      <c r="D829" s="229">
        <v>71032.26</v>
      </c>
      <c r="E829" s="215"/>
      <c r="F829" s="229">
        <v>40800</v>
      </c>
      <c r="G829" s="215"/>
      <c r="H829" s="220">
        <f>J829-F829</f>
        <v>40800</v>
      </c>
      <c r="I829" s="215"/>
      <c r="J829" s="229">
        <v>81600</v>
      </c>
      <c r="K829" s="215"/>
      <c r="L829" s="231">
        <v>81600</v>
      </c>
      <c r="M829" s="224"/>
      <c r="N829" s="224"/>
      <c r="O829" s="224"/>
      <c r="P829" s="224"/>
      <c r="Q829" s="224"/>
      <c r="R829" s="224"/>
      <c r="S829" s="224"/>
      <c r="T829" s="224"/>
    </row>
    <row r="830" spans="1:22">
      <c r="A830" s="219" t="s">
        <v>88</v>
      </c>
      <c r="B830" s="214" t="s">
        <v>89</v>
      </c>
      <c r="C830" s="215"/>
      <c r="D830" s="229">
        <v>71032.26</v>
      </c>
      <c r="E830" s="215"/>
      <c r="F830" s="229">
        <v>40800</v>
      </c>
      <c r="G830" s="215"/>
      <c r="H830" s="220">
        <f>J830-F830</f>
        <v>40800</v>
      </c>
      <c r="I830" s="215"/>
      <c r="J830" s="229">
        <v>81600</v>
      </c>
      <c r="K830" s="215"/>
      <c r="L830" s="231">
        <v>81600</v>
      </c>
      <c r="M830" s="224"/>
      <c r="N830" s="224"/>
      <c r="O830" s="224"/>
      <c r="P830" s="224"/>
      <c r="Q830" s="224"/>
      <c r="R830" s="224"/>
      <c r="S830" s="224"/>
      <c r="T830" s="224"/>
    </row>
    <row r="831" spans="1:22">
      <c r="A831" s="219" t="s">
        <v>90</v>
      </c>
      <c r="B831" s="214" t="s">
        <v>91</v>
      </c>
      <c r="C831" s="215"/>
      <c r="D831" s="229">
        <v>78000</v>
      </c>
      <c r="E831" s="215"/>
      <c r="F831" s="229">
        <v>112000</v>
      </c>
      <c r="G831" s="215"/>
      <c r="H831" s="220">
        <f>J831-F831</f>
        <v>0</v>
      </c>
      <c r="I831" s="215"/>
      <c r="J831" s="229">
        <v>112000</v>
      </c>
      <c r="K831" s="215"/>
      <c r="L831" s="231">
        <v>112000</v>
      </c>
      <c r="M831" s="224"/>
      <c r="N831" s="224"/>
      <c r="O831" s="224"/>
      <c r="P831" s="224"/>
      <c r="Q831" s="224"/>
      <c r="R831" s="224"/>
      <c r="S831" s="224"/>
      <c r="T831" s="224"/>
    </row>
    <row r="832" spans="1:22">
      <c r="A832" s="219" t="s">
        <v>92</v>
      </c>
      <c r="B832" s="214" t="s">
        <v>93</v>
      </c>
      <c r="C832" s="215"/>
      <c r="D832" s="229">
        <v>233758.06</v>
      </c>
      <c r="E832" s="215"/>
      <c r="F832" s="229">
        <v>124500</v>
      </c>
      <c r="G832" s="215"/>
      <c r="H832" s="220">
        <f>J832-F832</f>
        <v>133500</v>
      </c>
      <c r="I832" s="215"/>
      <c r="J832" s="229">
        <v>258000</v>
      </c>
      <c r="K832" s="215"/>
      <c r="L832" s="231">
        <f>7800*14</f>
        <v>109200</v>
      </c>
      <c r="M832" s="224"/>
      <c r="N832" s="224"/>
      <c r="O832" s="224"/>
      <c r="P832" s="224"/>
      <c r="Q832" s="224"/>
      <c r="R832" s="224"/>
      <c r="S832" s="224"/>
      <c r="T832" s="224"/>
    </row>
    <row r="833" spans="1:22">
      <c r="A833" s="219" t="s">
        <v>94</v>
      </c>
      <c r="B833" s="214" t="s">
        <v>95</v>
      </c>
      <c r="C833" s="215"/>
      <c r="D833" s="229">
        <v>23400</v>
      </c>
      <c r="E833" s="215"/>
      <c r="F833" s="229">
        <v>12450</v>
      </c>
      <c r="G833" s="215"/>
      <c r="H833" s="220">
        <f>J833-F833</f>
        <v>13750</v>
      </c>
      <c r="I833" s="215"/>
      <c r="J833" s="229">
        <v>26200</v>
      </c>
      <c r="K833" s="215"/>
      <c r="L833" s="231">
        <f>14*12000</f>
        <v>168000</v>
      </c>
      <c r="M833" s="224"/>
      <c r="N833" s="224"/>
      <c r="O833" s="224"/>
      <c r="P833" s="224"/>
      <c r="Q833" s="224"/>
      <c r="R833" s="224"/>
      <c r="S833" s="224"/>
      <c r="T833" s="224"/>
    </row>
    <row r="834" spans="1:22">
      <c r="A834" s="219" t="s">
        <v>96</v>
      </c>
      <c r="B834" s="214" t="s">
        <v>97</v>
      </c>
      <c r="C834" s="215"/>
      <c r="D834" s="229">
        <v>65000</v>
      </c>
      <c r="E834" s="215"/>
      <c r="F834" s="229">
        <v>0</v>
      </c>
      <c r="G834" s="215"/>
      <c r="H834" s="220">
        <f>J834-F834</f>
        <v>80000</v>
      </c>
      <c r="I834" s="215"/>
      <c r="J834" s="229">
        <v>80000</v>
      </c>
      <c r="K834" s="215"/>
      <c r="L834" s="231">
        <v>80000</v>
      </c>
      <c r="M834" s="224"/>
      <c r="N834" s="224"/>
      <c r="O834" s="224"/>
      <c r="P834" s="224"/>
      <c r="Q834" s="224"/>
      <c r="R834" s="224"/>
      <c r="S834" s="224"/>
      <c r="T834" s="224"/>
    </row>
    <row r="835" spans="1:22">
      <c r="A835" s="219" t="s">
        <v>358</v>
      </c>
      <c r="B835" s="214" t="s">
        <v>99</v>
      </c>
      <c r="C835" s="215"/>
      <c r="D835" s="229">
        <v>195000</v>
      </c>
      <c r="E835" s="215"/>
      <c r="F835" s="229">
        <v>0</v>
      </c>
      <c r="G835" s="215"/>
      <c r="H835" s="220">
        <f>J835-F835</f>
        <v>160000</v>
      </c>
      <c r="I835" s="215"/>
      <c r="J835" s="229">
        <v>160000</v>
      </c>
      <c r="K835" s="215"/>
      <c r="L835" s="231">
        <v>320000</v>
      </c>
      <c r="M835" s="224"/>
      <c r="N835" s="224"/>
      <c r="O835" s="224"/>
      <c r="P835" s="224"/>
      <c r="Q835" s="224"/>
      <c r="R835" s="224"/>
      <c r="S835" s="224"/>
      <c r="T835" s="224"/>
    </row>
    <row r="836" spans="1:22">
      <c r="A836" s="219" t="s">
        <v>100</v>
      </c>
      <c r="B836" s="214" t="s">
        <v>101</v>
      </c>
      <c r="C836" s="215"/>
      <c r="D836" s="229">
        <v>241588.65</v>
      </c>
      <c r="E836" s="215"/>
      <c r="F836" s="229">
        <v>130687.19</v>
      </c>
      <c r="G836" s="215"/>
      <c r="H836" s="220">
        <f>J836-F836</f>
        <v>283238.99</v>
      </c>
      <c r="I836" s="215"/>
      <c r="J836" s="229">
        <v>413926.18</v>
      </c>
      <c r="K836" s="215"/>
      <c r="L836" s="231">
        <v>850944</v>
      </c>
      <c r="M836" s="224"/>
      <c r="N836" s="224"/>
      <c r="O836" s="224"/>
      <c r="P836" s="224"/>
      <c r="Q836" s="224"/>
      <c r="R836" s="224"/>
      <c r="S836" s="224"/>
      <c r="T836" s="224"/>
    </row>
    <row r="837" spans="1:22">
      <c r="A837" s="219" t="s">
        <v>102</v>
      </c>
      <c r="B837" s="214" t="s">
        <v>103</v>
      </c>
      <c r="C837" s="215"/>
      <c r="D837" s="229">
        <v>404465</v>
      </c>
      <c r="E837" s="215"/>
      <c r="F837" s="229">
        <v>0</v>
      </c>
      <c r="G837" s="215"/>
      <c r="H837" s="220">
        <f>J837-F837</f>
        <v>467815</v>
      </c>
      <c r="I837" s="215"/>
      <c r="J837" s="229">
        <v>467815</v>
      </c>
      <c r="K837" s="215"/>
      <c r="L837" s="231">
        <v>514815</v>
      </c>
      <c r="M837" s="224"/>
      <c r="N837" s="224"/>
      <c r="O837" s="224"/>
      <c r="P837" s="224"/>
      <c r="Q837" s="224"/>
      <c r="R837" s="224"/>
      <c r="S837" s="224"/>
      <c r="T837" s="224"/>
    </row>
    <row r="838" spans="1:22">
      <c r="A838" s="219" t="s">
        <v>104</v>
      </c>
      <c r="B838" s="214" t="s">
        <v>105</v>
      </c>
      <c r="C838" s="215"/>
      <c r="D838" s="229">
        <v>65000</v>
      </c>
      <c r="E838" s="215"/>
      <c r="F838" s="229">
        <v>0</v>
      </c>
      <c r="G838" s="215"/>
      <c r="H838" s="220">
        <f>J838-F838</f>
        <v>80000</v>
      </c>
      <c r="I838" s="215"/>
      <c r="J838" s="229">
        <v>80000</v>
      </c>
      <c r="K838" s="215"/>
      <c r="L838" s="231">
        <v>80000</v>
      </c>
      <c r="M838" s="224"/>
      <c r="N838" s="224"/>
      <c r="O838" s="224"/>
      <c r="P838" s="224"/>
      <c r="Q838" s="224"/>
      <c r="R838" s="224"/>
      <c r="S838" s="224"/>
      <c r="T838" s="224"/>
    </row>
    <row r="839" spans="1:22">
      <c r="A839" s="219" t="s">
        <v>106</v>
      </c>
      <c r="B839" s="214" t="s">
        <v>107</v>
      </c>
      <c r="C839" s="215"/>
      <c r="D839" s="229">
        <v>404578</v>
      </c>
      <c r="E839" s="215"/>
      <c r="F839" s="229">
        <v>405229</v>
      </c>
      <c r="G839" s="215"/>
      <c r="H839" s="220">
        <f>J839-F839</f>
        <v>62165</v>
      </c>
      <c r="I839" s="215"/>
      <c r="J839" s="229">
        <v>467394</v>
      </c>
      <c r="K839" s="215"/>
      <c r="L839" s="231">
        <v>491554</v>
      </c>
      <c r="M839" s="224"/>
      <c r="N839" s="224"/>
      <c r="O839" s="224"/>
      <c r="P839" s="224"/>
      <c r="Q839" s="224"/>
      <c r="R839" s="224"/>
      <c r="S839" s="224"/>
      <c r="T839" s="224"/>
    </row>
    <row r="840" spans="1:22">
      <c r="A840" s="225" t="s">
        <v>340</v>
      </c>
      <c r="B840" s="214"/>
      <c r="C840" s="215"/>
      <c r="D840" s="226"/>
      <c r="E840" s="215"/>
      <c r="F840" s="226"/>
      <c r="G840" s="215"/>
      <c r="H840" s="226"/>
      <c r="I840" s="215"/>
      <c r="J840" s="226"/>
      <c r="K840" s="215"/>
      <c r="L840" s="228"/>
      <c r="M840" s="224"/>
      <c r="N840" s="224"/>
      <c r="O840" s="224"/>
      <c r="P840" s="224"/>
      <c r="Q840" s="224"/>
      <c r="R840" s="224"/>
      <c r="S840" s="224"/>
      <c r="T840" s="224"/>
    </row>
    <row r="841" spans="1:22">
      <c r="A841" s="219" t="s">
        <v>108</v>
      </c>
      <c r="B841" s="214" t="s">
        <v>109</v>
      </c>
      <c r="C841" s="215"/>
      <c r="D841" s="226">
        <v>579812.75</v>
      </c>
      <c r="E841" s="215"/>
      <c r="F841" s="226">
        <v>328826.85</v>
      </c>
      <c r="G841" s="215"/>
      <c r="H841" s="220">
        <f>J841-F841</f>
        <v>363533.67</v>
      </c>
      <c r="I841" s="215"/>
      <c r="J841" s="226">
        <v>692360.52</v>
      </c>
      <c r="K841" s="215"/>
      <c r="L841" s="228">
        <v>719102</v>
      </c>
      <c r="M841" s="224"/>
      <c r="N841" s="224"/>
      <c r="O841" s="224"/>
      <c r="P841" s="224"/>
      <c r="Q841" s="224"/>
      <c r="R841" s="224"/>
      <c r="S841" s="224"/>
      <c r="T841" s="224"/>
    </row>
    <row r="842" spans="1:22">
      <c r="A842" s="219" t="s">
        <v>110</v>
      </c>
      <c r="B842" s="214" t="s">
        <v>111</v>
      </c>
      <c r="C842" s="215"/>
      <c r="D842" s="229">
        <v>15600</v>
      </c>
      <c r="E842" s="215"/>
      <c r="F842" s="229">
        <v>17300</v>
      </c>
      <c r="G842" s="215"/>
      <c r="H842" s="220">
        <f>J842-F842</f>
        <v>21900</v>
      </c>
      <c r="I842" s="215"/>
      <c r="J842" s="229">
        <v>39200</v>
      </c>
      <c r="K842" s="215"/>
      <c r="L842" s="231">
        <v>38400</v>
      </c>
      <c r="M842" s="224"/>
      <c r="N842" s="224"/>
      <c r="O842" s="224"/>
      <c r="P842" s="224"/>
      <c r="Q842" s="224"/>
      <c r="R842" s="224"/>
      <c r="S842" s="224"/>
      <c r="T842" s="224"/>
    </row>
    <row r="843" spans="1:22">
      <c r="A843" s="219" t="s">
        <v>112</v>
      </c>
      <c r="B843" s="214" t="s">
        <v>113</v>
      </c>
      <c r="C843" s="215"/>
      <c r="D843" s="229">
        <v>94356.49</v>
      </c>
      <c r="E843" s="215"/>
      <c r="F843" s="229">
        <v>68505.77</v>
      </c>
      <c r="G843" s="215"/>
      <c r="H843" s="220">
        <f>J843-F843</f>
        <v>75736.01</v>
      </c>
      <c r="I843" s="215"/>
      <c r="J843" s="229">
        <v>144241.78</v>
      </c>
      <c r="K843" s="215"/>
      <c r="L843" s="231">
        <v>149816</v>
      </c>
      <c r="M843" s="224"/>
      <c r="N843" s="224"/>
      <c r="O843" s="224"/>
      <c r="P843" s="224"/>
      <c r="Q843" s="224"/>
      <c r="R843" s="224"/>
      <c r="S843" s="224"/>
      <c r="T843" s="224"/>
    </row>
    <row r="844" spans="1:22">
      <c r="A844" s="219" t="s">
        <v>114</v>
      </c>
      <c r="B844" s="214" t="s">
        <v>115</v>
      </c>
      <c r="C844" s="215"/>
      <c r="D844" s="229">
        <v>15600</v>
      </c>
      <c r="E844" s="215"/>
      <c r="F844" s="229">
        <v>9300</v>
      </c>
      <c r="G844" s="215"/>
      <c r="H844" s="220">
        <f>J844-F844</f>
        <v>10700</v>
      </c>
      <c r="I844" s="215"/>
      <c r="J844" s="229">
        <v>20000</v>
      </c>
      <c r="K844" s="215"/>
      <c r="L844" s="231">
        <v>19200</v>
      </c>
      <c r="M844" s="224"/>
      <c r="N844" s="224"/>
      <c r="O844" s="224"/>
      <c r="P844" s="224"/>
      <c r="Q844" s="224"/>
      <c r="R844" s="224"/>
      <c r="S844" s="224"/>
      <c r="T844" s="224"/>
    </row>
    <row r="845" spans="1:22">
      <c r="A845" s="225" t="s">
        <v>359</v>
      </c>
      <c r="B845" s="214"/>
      <c r="C845" s="221"/>
      <c r="D845" s="226"/>
      <c r="E845" s="215"/>
      <c r="F845" s="226"/>
      <c r="G845" s="215"/>
      <c r="H845" s="226"/>
      <c r="I845" s="215"/>
      <c r="J845" s="226"/>
      <c r="K845" s="215"/>
      <c r="L845" s="228"/>
      <c r="M845" s="224"/>
      <c r="N845" s="224"/>
      <c r="O845" s="224"/>
      <c r="P845" s="224"/>
      <c r="Q845" s="224"/>
      <c r="R845" s="224"/>
      <c r="S845" s="224"/>
      <c r="T845" s="224"/>
    </row>
    <row r="846" spans="1:22">
      <c r="A846" s="219" t="s">
        <v>399</v>
      </c>
      <c r="B846" s="214" t="s">
        <v>117</v>
      </c>
      <c r="C846" s="215"/>
      <c r="D846" s="220">
        <v>129781.3</v>
      </c>
      <c r="E846" s="215"/>
      <c r="F846" s="220">
        <v>0</v>
      </c>
      <c r="G846" s="215"/>
      <c r="H846" s="220">
        <v>0</v>
      </c>
      <c r="I846" s="215"/>
      <c r="J846" s="220">
        <v>0</v>
      </c>
      <c r="K846" s="215"/>
      <c r="L846" s="223">
        <v>291713</v>
      </c>
      <c r="M846" s="224"/>
      <c r="N846" s="224"/>
      <c r="O846" s="224"/>
      <c r="P846" s="224"/>
      <c r="Q846" s="224"/>
      <c r="R846" s="224"/>
      <c r="S846" s="224"/>
      <c r="T846" s="224"/>
    </row>
    <row r="847" spans="1:22" customHeight="1" ht="15.75">
      <c r="A847" s="219" t="s">
        <v>406</v>
      </c>
      <c r="B847" s="214" t="s">
        <v>119</v>
      </c>
      <c r="C847" s="215"/>
      <c r="D847" s="239">
        <v>0</v>
      </c>
      <c r="E847" s="215"/>
      <c r="F847" s="239">
        <v>0</v>
      </c>
      <c r="G847" s="215"/>
      <c r="H847" s="220">
        <f>J847-F847</f>
        <v>15000</v>
      </c>
      <c r="I847" s="215"/>
      <c r="J847" s="239">
        <v>15000</v>
      </c>
      <c r="K847" s="215"/>
      <c r="L847" s="257">
        <v>122000</v>
      </c>
      <c r="M847" s="224"/>
      <c r="N847" s="224"/>
      <c r="O847" s="224"/>
      <c r="P847" s="224"/>
      <c r="Q847" s="224"/>
      <c r="R847" s="224"/>
      <c r="S847" s="224"/>
      <c r="T847" s="224"/>
    </row>
    <row r="848" spans="1:22" customHeight="1" ht="15.75">
      <c r="A848" s="242" t="s">
        <v>120</v>
      </c>
      <c r="B848" s="243"/>
      <c r="C848" s="244" t="s">
        <v>23</v>
      </c>
      <c r="D848" s="245">
        <f>SUM(D826:D847)</f>
        <v>7831455.17</v>
      </c>
      <c r="E848" s="246" t="s">
        <v>23</v>
      </c>
      <c r="F848" s="245">
        <f>SUM(F826:F847)</f>
        <v>4216622.52</v>
      </c>
      <c r="G848" s="246" t="s">
        <v>23</v>
      </c>
      <c r="H848" s="245">
        <f>SUM(H826:H847)</f>
        <v>5084385.96</v>
      </c>
      <c r="I848" s="246" t="s">
        <v>23</v>
      </c>
      <c r="J848" s="245">
        <f>SUM(J826:J847)</f>
        <v>9301008.48</v>
      </c>
      <c r="K848" s="246" t="s">
        <v>23</v>
      </c>
      <c r="L848" s="247">
        <f>SUM(L826:L847)</f>
        <v>10606446</v>
      </c>
      <c r="M848" s="248"/>
      <c r="N848" s="248"/>
      <c r="O848" s="248"/>
      <c r="P848" s="248"/>
      <c r="Q848" s="248"/>
      <c r="R848" s="248"/>
      <c r="S848" s="248"/>
      <c r="T848" s="248"/>
    </row>
    <row r="850" spans="1:22">
      <c r="J850" s="215"/>
    </row>
    <row r="851" spans="1:22">
      <c r="J851" s="215"/>
    </row>
    <row r="852" spans="1:22">
      <c r="A852" s="273" t="s">
        <v>346</v>
      </c>
      <c r="B852" s="273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4"/>
      <c r="N852" s="274"/>
      <c r="O852" s="274"/>
      <c r="P852" s="274"/>
      <c r="Q852" s="274"/>
      <c r="R852" s="274"/>
      <c r="S852" s="274"/>
      <c r="T852" s="274"/>
    </row>
    <row r="854" spans="1:22" customHeight="1" ht="15.75">
      <c r="A854" s="183" t="s">
        <v>347</v>
      </c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4"/>
      <c r="N854" s="184"/>
      <c r="O854" s="184"/>
      <c r="P854" s="184"/>
      <c r="Q854" s="184"/>
      <c r="R854" s="184"/>
      <c r="S854" s="184"/>
      <c r="T854" s="184"/>
    </row>
    <row r="855" spans="1:22">
      <c r="A855" s="185" t="s">
        <v>348</v>
      </c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6"/>
      <c r="N855" s="186"/>
      <c r="O855" s="186"/>
      <c r="P855" s="186"/>
      <c r="Q855" s="186"/>
      <c r="R855" s="186"/>
      <c r="S855" s="186"/>
      <c r="T855" s="186"/>
    </row>
    <row r="857" spans="1:22">
      <c r="A857" s="187" t="s">
        <v>405</v>
      </c>
    </row>
    <row r="858" spans="1:22" customHeight="1" ht="15.75"/>
    <row r="859" spans="1:22">
      <c r="A859" s="189"/>
      <c r="B859" s="190"/>
      <c r="C859" s="191" t="s">
        <v>350</v>
      </c>
      <c r="D859" s="192"/>
      <c r="E859" s="193" t="s">
        <v>351</v>
      </c>
      <c r="F859" s="194"/>
      <c r="G859" s="194"/>
      <c r="H859" s="194"/>
      <c r="I859" s="194"/>
      <c r="J859" s="195"/>
      <c r="K859" s="191" t="s">
        <v>352</v>
      </c>
      <c r="L859" s="196"/>
      <c r="M859" s="186"/>
      <c r="N859" s="186"/>
      <c r="O859" s="186"/>
      <c r="P859" s="186"/>
      <c r="Q859" s="186"/>
      <c r="R859" s="186"/>
      <c r="S859" s="186"/>
      <c r="T859" s="186"/>
    </row>
    <row r="860" spans="1:22">
      <c r="A860" s="197" t="s">
        <v>353</v>
      </c>
      <c r="B860" s="198" t="s">
        <v>354</v>
      </c>
      <c r="C860" s="199">
        <v>2023</v>
      </c>
      <c r="D860" s="200"/>
      <c r="E860" s="201" t="s">
        <v>11</v>
      </c>
      <c r="F860" s="202"/>
      <c r="G860" s="201" t="s">
        <v>355</v>
      </c>
      <c r="H860" s="202"/>
      <c r="I860" s="203" t="s">
        <v>356</v>
      </c>
      <c r="J860" s="204"/>
      <c r="K860" s="199">
        <v>2025</v>
      </c>
      <c r="L860" s="205"/>
      <c r="M860" s="186"/>
      <c r="N860" s="186"/>
      <c r="O860" s="186"/>
      <c r="P860" s="186"/>
      <c r="Q860" s="186"/>
      <c r="R860" s="186"/>
      <c r="S860" s="186"/>
      <c r="T860" s="186"/>
    </row>
    <row r="861" spans="1:22" customHeight="1" ht="15.75">
      <c r="A861" s="206"/>
      <c r="B861" s="207"/>
      <c r="C861" s="208" t="s">
        <v>17</v>
      </c>
      <c r="D861" s="209"/>
      <c r="E861" s="208" t="s">
        <v>17</v>
      </c>
      <c r="F861" s="209"/>
      <c r="G861" s="208" t="s">
        <v>18</v>
      </c>
      <c r="H861" s="209"/>
      <c r="I861" s="210"/>
      <c r="J861" s="211"/>
      <c r="K861" s="208" t="s">
        <v>357</v>
      </c>
      <c r="L861" s="212"/>
      <c r="M861" s="186"/>
      <c r="N861" s="186"/>
      <c r="O861" s="186"/>
      <c r="P861" s="186"/>
      <c r="Q861" s="186"/>
      <c r="R861" s="186"/>
      <c r="S861" s="186"/>
      <c r="T861" s="186"/>
    </row>
    <row r="862" spans="1:22">
      <c r="A862" s="225" t="s">
        <v>121</v>
      </c>
      <c r="B862" s="254"/>
      <c r="C862" s="215"/>
      <c r="D862" s="216"/>
      <c r="E862" s="215"/>
      <c r="F862" s="216"/>
      <c r="G862" s="215"/>
      <c r="H862" s="216"/>
      <c r="I862" s="215"/>
      <c r="J862" s="216"/>
      <c r="K862" s="215"/>
      <c r="L862" s="217"/>
      <c r="M862" s="218"/>
      <c r="N862" s="218"/>
      <c r="O862" s="218"/>
      <c r="P862" s="218"/>
      <c r="Q862" s="218"/>
      <c r="R862" s="218"/>
      <c r="S862" s="218"/>
      <c r="T862" s="218"/>
    </row>
    <row r="863" spans="1:22">
      <c r="A863" s="219" t="s">
        <v>122</v>
      </c>
      <c r="B863" s="214" t="s">
        <v>123</v>
      </c>
      <c r="C863" s="215" t="s">
        <v>23</v>
      </c>
      <c r="D863" s="226">
        <v>142303</v>
      </c>
      <c r="E863" s="215" t="s">
        <v>23</v>
      </c>
      <c r="F863" s="226">
        <v>68800</v>
      </c>
      <c r="G863" s="215" t="s">
        <v>23</v>
      </c>
      <c r="H863" s="220">
        <f>J863-F863</f>
        <v>131200</v>
      </c>
      <c r="I863" s="215" t="s">
        <v>23</v>
      </c>
      <c r="J863" s="228">
        <v>200000</v>
      </c>
      <c r="K863" s="215" t="s">
        <v>23</v>
      </c>
      <c r="L863" s="228">
        <v>200000</v>
      </c>
      <c r="M863" s="224"/>
      <c r="N863" s="224"/>
      <c r="O863" s="224"/>
      <c r="P863" s="224"/>
      <c r="Q863" s="224"/>
      <c r="R863" s="224"/>
      <c r="S863" s="224"/>
      <c r="T863" s="224"/>
    </row>
    <row r="864" spans="1:22">
      <c r="A864" s="219" t="s">
        <v>126</v>
      </c>
      <c r="B864" s="214" t="s">
        <v>127</v>
      </c>
      <c r="C864" s="215"/>
      <c r="D864" s="229">
        <v>243558.23</v>
      </c>
      <c r="E864" s="215"/>
      <c r="F864" s="229">
        <v>134036.79</v>
      </c>
      <c r="G864" s="215"/>
      <c r="H864" s="220">
        <f>J864-F864</f>
        <v>65963.21</v>
      </c>
      <c r="I864" s="215"/>
      <c r="J864" s="231">
        <v>200000</v>
      </c>
      <c r="K864" s="215"/>
      <c r="L864" s="231">
        <v>500000</v>
      </c>
      <c r="M864" s="224"/>
      <c r="N864" s="224"/>
      <c r="O864" s="224"/>
      <c r="P864" s="224"/>
      <c r="Q864" s="224"/>
      <c r="R864" s="224"/>
      <c r="S864" s="224"/>
      <c r="T864" s="224"/>
    </row>
    <row r="865" spans="1:22">
      <c r="A865" s="219" t="s">
        <v>407</v>
      </c>
      <c r="B865" s="214" t="s">
        <v>131</v>
      </c>
      <c r="C865" s="215"/>
      <c r="D865" s="229">
        <v>1511621</v>
      </c>
      <c r="E865" s="215"/>
      <c r="F865" s="229">
        <v>848045.5</v>
      </c>
      <c r="G865" s="215"/>
      <c r="H865" s="220">
        <f>J865-F865</f>
        <v>1001954.5</v>
      </c>
      <c r="I865" s="215"/>
      <c r="J865" s="231">
        <v>1850000</v>
      </c>
      <c r="K865" s="215"/>
      <c r="L865" s="231">
        <v>2500000</v>
      </c>
      <c r="M865" s="224"/>
      <c r="N865" s="224"/>
      <c r="O865" s="224"/>
      <c r="P865" s="224"/>
      <c r="Q865" s="224"/>
      <c r="R865" s="224"/>
      <c r="S865" s="224"/>
      <c r="T865" s="224"/>
    </row>
    <row r="866" spans="1:22">
      <c r="A866" s="219" t="s">
        <v>408</v>
      </c>
      <c r="B866" s="214" t="s">
        <v>133</v>
      </c>
      <c r="C866" s="215"/>
      <c r="D866" s="229"/>
      <c r="E866" s="215"/>
      <c r="F866" s="229">
        <v>0</v>
      </c>
      <c r="G866" s="215"/>
      <c r="H866" s="220">
        <f>J866-F866</f>
        <v>100000</v>
      </c>
      <c r="I866" s="215"/>
      <c r="J866" s="231">
        <v>100000</v>
      </c>
      <c r="K866" s="215"/>
      <c r="L866" s="231">
        <v>150000</v>
      </c>
      <c r="M866" s="224"/>
      <c r="N866" s="224"/>
      <c r="O866" s="224"/>
      <c r="P866" s="224"/>
      <c r="Q866" s="224"/>
      <c r="R866" s="224"/>
      <c r="S866" s="224"/>
      <c r="T866" s="224"/>
    </row>
    <row r="867" spans="1:22">
      <c r="A867" s="219" t="s">
        <v>409</v>
      </c>
      <c r="B867" s="214" t="s">
        <v>410</v>
      </c>
      <c r="C867" s="215"/>
      <c r="D867" s="229">
        <v>319899</v>
      </c>
      <c r="E867" s="215"/>
      <c r="F867" s="229">
        <v>0</v>
      </c>
      <c r="G867" s="215"/>
      <c r="H867" s="220">
        <f>J867-F867</f>
        <v>250000</v>
      </c>
      <c r="I867" s="215"/>
      <c r="J867" s="231">
        <v>250000</v>
      </c>
      <c r="K867" s="215"/>
      <c r="L867" s="231">
        <v>300000</v>
      </c>
      <c r="M867" s="224"/>
      <c r="N867" s="224"/>
      <c r="O867" s="224"/>
      <c r="P867" s="224"/>
      <c r="Q867" s="224"/>
      <c r="R867" s="224"/>
      <c r="S867" s="224"/>
      <c r="T867" s="224"/>
    </row>
    <row r="868" spans="1:22">
      <c r="A868" s="219" t="s">
        <v>411</v>
      </c>
      <c r="B868" s="214" t="s">
        <v>135</v>
      </c>
      <c r="C868" s="215"/>
      <c r="D868" s="229">
        <v>100000</v>
      </c>
      <c r="E868" s="215"/>
      <c r="F868" s="229">
        <v>59513.12</v>
      </c>
      <c r="G868" s="215"/>
      <c r="H868" s="220">
        <f>J868-F868</f>
        <v>90486.88</v>
      </c>
      <c r="I868" s="215"/>
      <c r="J868" s="231">
        <v>150000</v>
      </c>
      <c r="K868" s="215"/>
      <c r="L868" s="231">
        <v>150000</v>
      </c>
      <c r="M868" s="224"/>
      <c r="N868" s="224"/>
      <c r="O868" s="224"/>
      <c r="P868" s="224"/>
      <c r="Q868" s="224"/>
      <c r="R868" s="224"/>
      <c r="S868" s="224"/>
      <c r="T868" s="224"/>
    </row>
    <row r="869" spans="1:22">
      <c r="A869" s="219" t="s">
        <v>144</v>
      </c>
      <c r="B869" s="214" t="s">
        <v>145</v>
      </c>
      <c r="C869" s="215"/>
      <c r="D869" s="229">
        <v>60000</v>
      </c>
      <c r="E869" s="215"/>
      <c r="F869" s="229">
        <v>30000</v>
      </c>
      <c r="G869" s="215"/>
      <c r="H869" s="220">
        <f>J869-F869</f>
        <v>30000</v>
      </c>
      <c r="I869" s="215"/>
      <c r="J869" s="231">
        <v>60000</v>
      </c>
      <c r="K869" s="215"/>
      <c r="L869" s="231">
        <f>2000*12</f>
        <v>24000</v>
      </c>
      <c r="M869" s="224"/>
      <c r="N869" s="224"/>
      <c r="O869" s="224"/>
      <c r="P869" s="224"/>
      <c r="Q869" s="224"/>
      <c r="R869" s="224"/>
      <c r="S869" s="224"/>
      <c r="T869" s="224"/>
    </row>
    <row r="870" spans="1:22">
      <c r="A870" s="219" t="s">
        <v>146</v>
      </c>
      <c r="B870" s="214" t="s">
        <v>147</v>
      </c>
      <c r="C870" s="215"/>
      <c r="D870" s="229">
        <v>25000</v>
      </c>
      <c r="E870" s="215"/>
      <c r="F870" s="229">
        <v>13283.42</v>
      </c>
      <c r="G870" s="215"/>
      <c r="H870" s="220">
        <f>J870-F870</f>
        <v>11716.58</v>
      </c>
      <c r="I870" s="215"/>
      <c r="J870" s="231">
        <v>25000</v>
      </c>
      <c r="K870" s="215"/>
      <c r="L870" s="231">
        <v>25000</v>
      </c>
      <c r="M870" s="224"/>
      <c r="N870" s="224"/>
      <c r="O870" s="224"/>
      <c r="P870" s="224"/>
      <c r="Q870" s="224"/>
      <c r="R870" s="224"/>
      <c r="S870" s="224"/>
      <c r="T870" s="224"/>
    </row>
    <row r="871" spans="1:22">
      <c r="A871" s="219" t="s">
        <v>412</v>
      </c>
      <c r="B871" s="214" t="s">
        <v>161</v>
      </c>
      <c r="C871" s="215"/>
      <c r="D871" s="229">
        <v>0</v>
      </c>
      <c r="E871" s="215"/>
      <c r="F871" s="229">
        <v>0</v>
      </c>
      <c r="G871" s="215"/>
      <c r="H871" s="220">
        <f>J871-F871</f>
        <v>150000</v>
      </c>
      <c r="I871" s="215"/>
      <c r="J871" s="231">
        <v>150000</v>
      </c>
      <c r="K871" s="215"/>
      <c r="L871" s="231">
        <v>250000</v>
      </c>
      <c r="M871" s="224"/>
      <c r="N871" s="224"/>
      <c r="O871" s="224"/>
      <c r="P871" s="224"/>
      <c r="Q871" s="224"/>
      <c r="R871" s="224"/>
      <c r="S871" s="224"/>
      <c r="T871" s="224"/>
    </row>
    <row r="872" spans="1:22">
      <c r="A872" s="219" t="s">
        <v>156</v>
      </c>
      <c r="B872" s="214" t="s">
        <v>157</v>
      </c>
      <c r="C872" s="215"/>
      <c r="D872" s="229">
        <v>13580</v>
      </c>
      <c r="E872" s="215"/>
      <c r="F872" s="229">
        <v>500</v>
      </c>
      <c r="G872" s="215"/>
      <c r="H872" s="220">
        <f>J872-F872</f>
        <v>29500</v>
      </c>
      <c r="I872" s="215"/>
      <c r="J872" s="231">
        <v>30000</v>
      </c>
      <c r="K872" s="215"/>
      <c r="L872" s="231">
        <v>30000</v>
      </c>
      <c r="M872" s="224"/>
      <c r="N872" s="224"/>
      <c r="O872" s="224"/>
      <c r="P872" s="224"/>
      <c r="Q872" s="224"/>
      <c r="R872" s="224"/>
      <c r="S872" s="224"/>
      <c r="T872" s="224"/>
    </row>
    <row r="873" spans="1:22">
      <c r="A873" s="219" t="s">
        <v>413</v>
      </c>
      <c r="B873" s="214" t="s">
        <v>159</v>
      </c>
      <c r="C873" s="215"/>
      <c r="D873" s="229">
        <v>63766</v>
      </c>
      <c r="E873" s="215"/>
      <c r="F873" s="229">
        <v>29969</v>
      </c>
      <c r="G873" s="215"/>
      <c r="H873" s="220">
        <f>J873-F873</f>
        <v>20031</v>
      </c>
      <c r="I873" s="215"/>
      <c r="J873" s="231">
        <v>50000</v>
      </c>
      <c r="K873" s="215"/>
      <c r="L873" s="231">
        <v>50000</v>
      </c>
      <c r="M873" s="224"/>
      <c r="N873" s="224"/>
      <c r="O873" s="224"/>
      <c r="P873" s="224"/>
      <c r="Q873" s="224"/>
      <c r="R873" s="224"/>
      <c r="S873" s="224"/>
      <c r="T873" s="224"/>
    </row>
    <row r="874" spans="1:22" customHeight="1" ht="15.75">
      <c r="A874" s="219" t="s">
        <v>169</v>
      </c>
      <c r="B874" s="214" t="s">
        <v>170</v>
      </c>
      <c r="C874" s="215"/>
      <c r="D874" s="239">
        <v>227498.4</v>
      </c>
      <c r="E874" s="215"/>
      <c r="F874" s="239">
        <v>62585.8</v>
      </c>
      <c r="G874" s="215"/>
      <c r="H874" s="279">
        <f>J874-F874</f>
        <v>337414.2</v>
      </c>
      <c r="I874" s="215"/>
      <c r="J874" s="257">
        <v>400000</v>
      </c>
      <c r="K874" s="215"/>
      <c r="L874" s="257">
        <v>406000</v>
      </c>
      <c r="M874" s="224"/>
      <c r="N874" s="224"/>
      <c r="O874" s="224"/>
      <c r="P874" s="224"/>
      <c r="Q874" s="224"/>
      <c r="R874" s="224"/>
      <c r="S874" s="224"/>
      <c r="T874" s="224"/>
    </row>
    <row r="875" spans="1:22" customHeight="1" ht="15.75">
      <c r="A875" s="225" t="s">
        <v>200</v>
      </c>
      <c r="B875" s="254"/>
      <c r="C875" s="258" t="s">
        <v>23</v>
      </c>
      <c r="D875" s="245">
        <f>SUM(D863:D874)</f>
        <v>2707225.63</v>
      </c>
      <c r="E875" s="258" t="s">
        <v>23</v>
      </c>
      <c r="F875" s="245">
        <f>SUM(F863:F874)</f>
        <v>1246733.63</v>
      </c>
      <c r="G875" s="258" t="s">
        <v>23</v>
      </c>
      <c r="H875" s="245">
        <f>SUM(H863:H874)</f>
        <v>2218266.37</v>
      </c>
      <c r="I875" s="258" t="s">
        <v>23</v>
      </c>
      <c r="J875" s="245">
        <f>SUM(J863:J874)</f>
        <v>3465000</v>
      </c>
      <c r="K875" s="258" t="s">
        <v>23</v>
      </c>
      <c r="L875" s="247">
        <f>SUM(L863:L874)</f>
        <v>4585000</v>
      </c>
      <c r="M875" s="248"/>
      <c r="N875" s="248"/>
      <c r="O875" s="248"/>
      <c r="P875" s="248"/>
      <c r="Q875" s="248"/>
      <c r="R875" s="248"/>
      <c r="S875" s="248"/>
      <c r="T875" s="248"/>
    </row>
    <row r="876" spans="1:22">
      <c r="A876" s="225" t="s">
        <v>201</v>
      </c>
      <c r="B876" s="254"/>
      <c r="C876" s="215"/>
      <c r="D876" s="280"/>
      <c r="E876" s="215"/>
      <c r="F876" s="280"/>
      <c r="G876" s="215"/>
      <c r="H876" s="280"/>
      <c r="I876" s="215"/>
      <c r="J876" s="280"/>
      <c r="K876" s="215"/>
      <c r="L876" s="281"/>
      <c r="M876" s="224"/>
      <c r="N876" s="224"/>
      <c r="O876" s="224"/>
      <c r="P876" s="224"/>
      <c r="Q876" s="224"/>
      <c r="R876" s="224"/>
      <c r="S876" s="224"/>
      <c r="T876" s="224"/>
    </row>
    <row r="877" spans="1:22" hidden="true">
      <c r="A877" s="219" t="s">
        <v>414</v>
      </c>
      <c r="B877" s="214" t="s">
        <v>415</v>
      </c>
      <c r="C877" s="215" t="s">
        <v>23</v>
      </c>
      <c r="D877" s="220">
        <v>0</v>
      </c>
      <c r="E877" s="215" t="s">
        <v>23</v>
      </c>
      <c r="F877" s="220">
        <v>0</v>
      </c>
      <c r="G877" s="215" t="s">
        <v>23</v>
      </c>
      <c r="H877" s="220">
        <f>J877-F877</f>
        <v>0</v>
      </c>
      <c r="I877" s="215" t="s">
        <v>23</v>
      </c>
      <c r="J877" s="223">
        <v>0</v>
      </c>
      <c r="K877" s="215" t="s">
        <v>23</v>
      </c>
      <c r="L877" s="223">
        <v>0</v>
      </c>
      <c r="M877" s="224"/>
      <c r="N877" s="224"/>
      <c r="O877" s="224"/>
      <c r="P877" s="224"/>
      <c r="Q877" s="224"/>
      <c r="R877" s="224"/>
      <c r="S877" s="224"/>
      <c r="T877" s="224"/>
    </row>
    <row r="878" spans="1:22" hidden="true">
      <c r="A878" s="219" t="s">
        <v>416</v>
      </c>
      <c r="B878" s="214" t="s">
        <v>417</v>
      </c>
      <c r="C878" s="215"/>
      <c r="D878" s="220">
        <v>0</v>
      </c>
      <c r="E878" s="215"/>
      <c r="F878" s="220">
        <v>0</v>
      </c>
      <c r="G878" s="215"/>
      <c r="H878" s="220">
        <v>0</v>
      </c>
      <c r="I878" s="215"/>
      <c r="J878" s="223">
        <v>0</v>
      </c>
      <c r="K878" s="215"/>
      <c r="L878" s="223">
        <v>0</v>
      </c>
      <c r="M878" s="224"/>
      <c r="N878" s="224"/>
      <c r="O878" s="224"/>
      <c r="P878" s="224"/>
      <c r="Q878" s="224"/>
      <c r="R878" s="224"/>
      <c r="S878" s="224"/>
      <c r="T878" s="224"/>
    </row>
    <row r="879" spans="1:22">
      <c r="A879" s="219" t="s">
        <v>367</v>
      </c>
      <c r="B879" s="214" t="s">
        <v>209</v>
      </c>
      <c r="C879" s="215"/>
      <c r="D879" s="229">
        <v>639500</v>
      </c>
      <c r="E879" s="215"/>
      <c r="F879" s="229">
        <v>0</v>
      </c>
      <c r="G879" s="215"/>
      <c r="H879" s="229">
        <v>0</v>
      </c>
      <c r="I879" s="215"/>
      <c r="J879" s="231">
        <v>220000</v>
      </c>
      <c r="K879" s="215"/>
      <c r="L879" s="231">
        <v>500000</v>
      </c>
      <c r="M879" s="224"/>
      <c r="N879" s="224"/>
      <c r="O879" s="224"/>
      <c r="P879" s="224"/>
      <c r="Q879" s="224"/>
      <c r="R879" s="224"/>
      <c r="S879" s="224"/>
      <c r="T879" s="224"/>
    </row>
    <row r="880" spans="1:22" hidden="true">
      <c r="A880" s="219" t="s">
        <v>212</v>
      </c>
      <c r="B880" s="214" t="s">
        <v>213</v>
      </c>
      <c r="C880" s="215"/>
      <c r="D880" s="229">
        <v>0</v>
      </c>
      <c r="E880" s="215"/>
      <c r="F880" s="229">
        <v>0</v>
      </c>
      <c r="G880" s="215"/>
      <c r="H880" s="229">
        <f>J880-F880</f>
        <v>0</v>
      </c>
      <c r="I880" s="215"/>
      <c r="J880" s="231">
        <v>0</v>
      </c>
      <c r="K880" s="215"/>
      <c r="L880" s="231">
        <v>0</v>
      </c>
      <c r="M880" s="224"/>
      <c r="N880" s="224"/>
      <c r="O880" s="224"/>
      <c r="P880" s="224"/>
      <c r="Q880" s="224"/>
      <c r="R880" s="224"/>
      <c r="S880" s="224"/>
      <c r="T880" s="224"/>
    </row>
    <row r="881" spans="1:22" customHeight="1" ht="15.75">
      <c r="A881" s="219" t="s">
        <v>368</v>
      </c>
      <c r="B881" s="214" t="s">
        <v>369</v>
      </c>
      <c r="C881" s="215"/>
      <c r="D881" s="226">
        <v>0</v>
      </c>
      <c r="E881" s="215"/>
      <c r="F881" s="226">
        <v>0</v>
      </c>
      <c r="G881" s="215"/>
      <c r="H881" s="226">
        <v>0</v>
      </c>
      <c r="I881" s="215"/>
      <c r="J881" s="228">
        <v>400000</v>
      </c>
      <c r="K881" s="215"/>
      <c r="L881" s="228">
        <v>0</v>
      </c>
      <c r="M881" s="224"/>
      <c r="N881" s="224"/>
      <c r="O881" s="224"/>
      <c r="P881" s="224"/>
      <c r="Q881" s="224"/>
      <c r="R881" s="224"/>
      <c r="S881" s="224"/>
      <c r="T881" s="224"/>
    </row>
    <row r="882" spans="1:22" customHeight="1" ht="15.75">
      <c r="A882" s="225" t="s">
        <v>214</v>
      </c>
      <c r="B882" s="214"/>
      <c r="C882" s="258" t="s">
        <v>23</v>
      </c>
      <c r="D882" s="283">
        <f>SUM(D877:D881)</f>
        <v>639500</v>
      </c>
      <c r="E882" s="258" t="s">
        <v>23</v>
      </c>
      <c r="F882" s="283">
        <f>SUM(F877:F881)</f>
        <v>0</v>
      </c>
      <c r="G882" s="258" t="s">
        <v>23</v>
      </c>
      <c r="H882" s="283">
        <f>SUM(H877:H881)</f>
        <v>0</v>
      </c>
      <c r="I882" s="258" t="s">
        <v>23</v>
      </c>
      <c r="J882" s="283">
        <f>SUM(J877:J881)</f>
        <v>620000</v>
      </c>
      <c r="K882" s="258" t="s">
        <v>23</v>
      </c>
      <c r="L882" s="283">
        <f>SUM(L877:L881)</f>
        <v>500000</v>
      </c>
      <c r="M882" s="248"/>
      <c r="N882" s="248"/>
      <c r="O882" s="248"/>
      <c r="P882" s="248"/>
      <c r="Q882" s="248"/>
      <c r="R882" s="248"/>
      <c r="S882" s="248"/>
      <c r="T882" s="248"/>
    </row>
    <row r="883" spans="1:22" customHeight="1" ht="15.75">
      <c r="A883" s="284" t="s">
        <v>370</v>
      </c>
      <c r="B883" s="285"/>
      <c r="C883" s="286" t="s">
        <v>23</v>
      </c>
      <c r="D883" s="287">
        <f>D848+D875+D882</f>
        <v>11178180.8</v>
      </c>
      <c r="E883" s="288" t="s">
        <v>23</v>
      </c>
      <c r="F883" s="287">
        <f>F848+F875+F882</f>
        <v>5463356.15</v>
      </c>
      <c r="G883" s="288" t="s">
        <v>23</v>
      </c>
      <c r="H883" s="287">
        <f>H848+H875+H882</f>
        <v>7302652.33</v>
      </c>
      <c r="I883" s="288" t="s">
        <v>23</v>
      </c>
      <c r="J883" s="287">
        <f>J848+J875+J882</f>
        <v>13386008.48</v>
      </c>
      <c r="K883" s="288" t="s">
        <v>23</v>
      </c>
      <c r="L883" s="289">
        <f>L848+L875+L882</f>
        <v>15691446</v>
      </c>
      <c r="M883" s="248"/>
      <c r="N883" s="248"/>
      <c r="O883" s="248"/>
      <c r="P883" s="248"/>
      <c r="Q883" s="248"/>
      <c r="R883" s="248"/>
      <c r="S883" s="248"/>
      <c r="T883" s="248"/>
    </row>
    <row r="884" spans="1:22" customHeight="1" ht="15.75">
      <c r="A884" s="215" t="s">
        <v>371</v>
      </c>
      <c r="B884" s="215" t="s">
        <v>372</v>
      </c>
      <c r="C884" s="215"/>
      <c r="D884" s="215"/>
      <c r="E884" s="215"/>
      <c r="F884" s="215"/>
      <c r="G884" s="215" t="s">
        <v>373</v>
      </c>
      <c r="H884" s="215"/>
    </row>
    <row r="885" spans="1:22">
      <c r="A885" s="215"/>
      <c r="B885" s="215"/>
      <c r="C885" s="215"/>
      <c r="D885" s="215"/>
      <c r="E885" s="215"/>
      <c r="F885" s="215"/>
      <c r="G885" s="215"/>
      <c r="H885" s="215"/>
    </row>
    <row r="887" spans="1:22">
      <c r="A887" s="268" t="s">
        <v>418</v>
      </c>
      <c r="B887" s="269" t="s">
        <v>374</v>
      </c>
      <c r="C887" s="269"/>
      <c r="D887" s="269"/>
      <c r="E887" s="269"/>
      <c r="F887" s="269"/>
      <c r="G887" s="270"/>
      <c r="H887" s="269" t="s">
        <v>326</v>
      </c>
      <c r="I887" s="269"/>
      <c r="J887" s="269"/>
      <c r="K887" s="269"/>
      <c r="L887" s="269"/>
      <c r="M887" s="268"/>
      <c r="N887" s="268"/>
      <c r="O887" s="268"/>
      <c r="P887" s="268"/>
      <c r="Q887" s="268"/>
      <c r="R887" s="268"/>
      <c r="S887" s="268"/>
      <c r="T887" s="268"/>
    </row>
    <row r="888" spans="1:22">
      <c r="A888" s="271" t="s">
        <v>419</v>
      </c>
      <c r="B888" s="272" t="s">
        <v>375</v>
      </c>
      <c r="C888" s="272"/>
      <c r="D888" s="272"/>
      <c r="E888" s="272"/>
      <c r="F888" s="272"/>
      <c r="G888" s="215"/>
      <c r="H888" s="272" t="s">
        <v>327</v>
      </c>
      <c r="I888" s="272"/>
      <c r="J888" s="272"/>
      <c r="K888" s="272"/>
      <c r="L888" s="272"/>
      <c r="M888" s="271"/>
      <c r="N888" s="271"/>
      <c r="O888" s="271"/>
      <c r="P888" s="271"/>
      <c r="Q888" s="271"/>
      <c r="R888" s="271"/>
      <c r="S888" s="271"/>
      <c r="T888" s="271"/>
    </row>
    <row r="889" spans="1:22">
      <c r="A889" s="271"/>
      <c r="B889" s="271"/>
      <c r="C889" s="271"/>
      <c r="D889" s="271"/>
      <c r="E889" s="271"/>
      <c r="F889" s="271"/>
      <c r="G889" s="215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</row>
    <row r="890" spans="1:22">
      <c r="A890" s="271"/>
      <c r="B890" s="271"/>
      <c r="C890" s="271"/>
      <c r="D890" s="271"/>
      <c r="E890" s="271"/>
      <c r="F890" s="271"/>
      <c r="G890" s="215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</row>
    <row r="891" spans="1:22">
      <c r="A891" s="271"/>
      <c r="B891" s="271"/>
      <c r="C891" s="271"/>
      <c r="D891" s="271"/>
      <c r="E891" s="271"/>
      <c r="F891" s="271"/>
      <c r="G891" s="215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</row>
    <row r="892" spans="1:22">
      <c r="A892" s="273" t="s">
        <v>346</v>
      </c>
      <c r="B892" s="273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4"/>
      <c r="N892" s="274"/>
      <c r="O892" s="274"/>
      <c r="P892" s="274"/>
      <c r="Q892" s="274"/>
      <c r="R892" s="274"/>
      <c r="S892" s="274"/>
      <c r="T892" s="274"/>
    </row>
    <row r="894" spans="1:22" customHeight="1" ht="15.75">
      <c r="A894" s="183" t="s">
        <v>347</v>
      </c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4"/>
      <c r="N894" s="184"/>
      <c r="O894" s="184"/>
      <c r="P894" s="184"/>
      <c r="Q894" s="184"/>
      <c r="R894" s="184"/>
      <c r="S894" s="184"/>
      <c r="T894" s="184"/>
    </row>
    <row r="895" spans="1:22">
      <c r="A895" s="185" t="s">
        <v>348</v>
      </c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6"/>
      <c r="N895" s="186"/>
      <c r="O895" s="186"/>
      <c r="P895" s="186"/>
      <c r="Q895" s="186"/>
      <c r="R895" s="186"/>
      <c r="S895" s="186"/>
      <c r="T895" s="186"/>
    </row>
    <row r="897" spans="1:22">
      <c r="A897" s="187" t="s">
        <v>420</v>
      </c>
    </row>
    <row r="898" spans="1:22" customHeight="1" ht="15.75"/>
    <row r="899" spans="1:22">
      <c r="A899" s="189"/>
      <c r="B899" s="190"/>
      <c r="C899" s="191" t="s">
        <v>350</v>
      </c>
      <c r="D899" s="192"/>
      <c r="E899" s="193" t="s">
        <v>351</v>
      </c>
      <c r="F899" s="194"/>
      <c r="G899" s="194"/>
      <c r="H899" s="194"/>
      <c r="I899" s="194"/>
      <c r="J899" s="195"/>
      <c r="K899" s="191" t="s">
        <v>352</v>
      </c>
      <c r="L899" s="196"/>
      <c r="M899" s="186"/>
      <c r="N899" s="186"/>
      <c r="O899" s="186"/>
      <c r="P899" s="186"/>
      <c r="Q899" s="186"/>
      <c r="R899" s="186"/>
      <c r="S899" s="186"/>
      <c r="T899" s="186"/>
    </row>
    <row r="900" spans="1:22">
      <c r="A900" s="197" t="s">
        <v>353</v>
      </c>
      <c r="B900" s="198" t="s">
        <v>354</v>
      </c>
      <c r="C900" s="199">
        <v>2023</v>
      </c>
      <c r="D900" s="200"/>
      <c r="E900" s="201" t="s">
        <v>11</v>
      </c>
      <c r="F900" s="202"/>
      <c r="G900" s="201" t="s">
        <v>355</v>
      </c>
      <c r="H900" s="202"/>
      <c r="I900" s="203" t="s">
        <v>356</v>
      </c>
      <c r="J900" s="204"/>
      <c r="K900" s="199">
        <v>2025</v>
      </c>
      <c r="L900" s="205"/>
      <c r="M900" s="186"/>
      <c r="N900" s="186"/>
      <c r="O900" s="186"/>
      <c r="P900" s="186"/>
      <c r="Q900" s="186"/>
      <c r="R900" s="186"/>
      <c r="S900" s="186"/>
      <c r="T900" s="186"/>
    </row>
    <row r="901" spans="1:22" customHeight="1" ht="15.75">
      <c r="A901" s="206"/>
      <c r="B901" s="207"/>
      <c r="C901" s="208" t="s">
        <v>17</v>
      </c>
      <c r="D901" s="209"/>
      <c r="E901" s="208" t="s">
        <v>17</v>
      </c>
      <c r="F901" s="209"/>
      <c r="G901" s="208" t="s">
        <v>18</v>
      </c>
      <c r="H901" s="209"/>
      <c r="I901" s="210"/>
      <c r="J901" s="211"/>
      <c r="K901" s="208" t="s">
        <v>357</v>
      </c>
      <c r="L901" s="212"/>
      <c r="M901" s="186"/>
      <c r="N901" s="186"/>
      <c r="O901" s="186"/>
      <c r="P901" s="186"/>
      <c r="Q901" s="186"/>
      <c r="R901" s="186"/>
      <c r="S901" s="186"/>
      <c r="T901" s="186"/>
    </row>
    <row r="902" spans="1:22">
      <c r="A902" s="213" t="s">
        <v>80</v>
      </c>
      <c r="B902" s="214"/>
      <c r="C902" s="215"/>
      <c r="D902" s="216"/>
      <c r="E902" s="215"/>
      <c r="F902" s="216"/>
      <c r="G902" s="215"/>
      <c r="H902" s="216"/>
      <c r="I902" s="215"/>
      <c r="J902" s="216"/>
      <c r="K902" s="215"/>
      <c r="L902" s="217"/>
      <c r="M902" s="218"/>
      <c r="N902" s="218"/>
      <c r="O902" s="218"/>
      <c r="P902" s="218"/>
      <c r="Q902" s="218"/>
      <c r="R902" s="218"/>
      <c r="S902" s="218"/>
      <c r="T902" s="218"/>
    </row>
    <row r="903" spans="1:22">
      <c r="A903" s="219" t="s">
        <v>82</v>
      </c>
      <c r="B903" s="214" t="s">
        <v>83</v>
      </c>
      <c r="C903" s="215" t="s">
        <v>23</v>
      </c>
      <c r="D903" s="301">
        <v>1207249.39</v>
      </c>
      <c r="E903" s="215" t="s">
        <v>23</v>
      </c>
      <c r="F903" s="301">
        <v>691572</v>
      </c>
      <c r="G903" s="215" t="s">
        <v>23</v>
      </c>
      <c r="H903" s="301">
        <f>J903-F903</f>
        <v>947104</v>
      </c>
      <c r="I903" s="215" t="s">
        <v>23</v>
      </c>
      <c r="J903" s="301">
        <v>1638676</v>
      </c>
      <c r="K903" s="215" t="s">
        <v>23</v>
      </c>
      <c r="L903" s="302">
        <v>1898636</v>
      </c>
      <c r="M903" s="292"/>
      <c r="N903" s="292"/>
      <c r="O903" s="292"/>
      <c r="P903" s="292"/>
      <c r="Q903" s="292"/>
      <c r="R903" s="292"/>
      <c r="S903" s="292"/>
      <c r="T903" s="292"/>
    </row>
    <row r="904" spans="1:22">
      <c r="A904" s="225" t="s">
        <v>338</v>
      </c>
      <c r="B904" s="214"/>
      <c r="C904" s="215"/>
      <c r="D904" s="303"/>
      <c r="E904" s="215"/>
      <c r="F904" s="303"/>
      <c r="G904" s="215"/>
      <c r="H904" s="303"/>
      <c r="I904" s="215"/>
      <c r="J904" s="303"/>
      <c r="K904" s="215"/>
      <c r="L904" s="304"/>
      <c r="M904" s="292"/>
      <c r="N904" s="292"/>
      <c r="O904" s="292"/>
      <c r="P904" s="292"/>
      <c r="Q904" s="292"/>
      <c r="R904" s="292"/>
      <c r="S904" s="292"/>
      <c r="T904" s="292"/>
    </row>
    <row r="905" spans="1:22">
      <c r="A905" s="219" t="s">
        <v>84</v>
      </c>
      <c r="B905" s="214" t="s">
        <v>85</v>
      </c>
      <c r="C905" s="215"/>
      <c r="D905" s="303">
        <v>67032.26</v>
      </c>
      <c r="E905" s="215"/>
      <c r="F905" s="303">
        <v>36000</v>
      </c>
      <c r="G905" s="215"/>
      <c r="H905" s="301">
        <f>J905-F905</f>
        <v>72000</v>
      </c>
      <c r="I905" s="215"/>
      <c r="J905" s="303">
        <v>108000</v>
      </c>
      <c r="K905" s="215"/>
      <c r="L905" s="304">
        <v>120000</v>
      </c>
      <c r="M905" s="292"/>
      <c r="N905" s="292"/>
      <c r="O905" s="292"/>
      <c r="P905" s="292"/>
      <c r="Q905" s="292"/>
      <c r="R905" s="292"/>
      <c r="S905" s="292"/>
      <c r="T905" s="292"/>
    </row>
    <row r="906" spans="1:22">
      <c r="A906" s="219" t="s">
        <v>86</v>
      </c>
      <c r="B906" s="214" t="s">
        <v>87</v>
      </c>
      <c r="C906" s="215"/>
      <c r="D906" s="290">
        <v>72000</v>
      </c>
      <c r="E906" s="215"/>
      <c r="F906" s="290">
        <v>40800</v>
      </c>
      <c r="G906" s="215"/>
      <c r="H906" s="301">
        <f>J906-F906</f>
        <v>40800</v>
      </c>
      <c r="I906" s="215"/>
      <c r="J906" s="290">
        <v>81600</v>
      </c>
      <c r="K906" s="215"/>
      <c r="L906" s="291">
        <v>81600</v>
      </c>
      <c r="M906" s="292"/>
      <c r="N906" s="292"/>
      <c r="O906" s="292"/>
      <c r="P906" s="292"/>
      <c r="Q906" s="292"/>
      <c r="R906" s="292"/>
      <c r="S906" s="292"/>
      <c r="T906" s="292"/>
    </row>
    <row r="907" spans="1:22">
      <c r="A907" s="219" t="s">
        <v>88</v>
      </c>
      <c r="B907" s="214" t="s">
        <v>89</v>
      </c>
      <c r="C907" s="215"/>
      <c r="D907" s="290">
        <v>72000</v>
      </c>
      <c r="E907" s="215"/>
      <c r="F907" s="290">
        <v>40800</v>
      </c>
      <c r="G907" s="215"/>
      <c r="H907" s="301">
        <f>J907-F907</f>
        <v>40800</v>
      </c>
      <c r="I907" s="215"/>
      <c r="J907" s="290">
        <v>81600</v>
      </c>
      <c r="K907" s="215"/>
      <c r="L907" s="291">
        <v>81600</v>
      </c>
      <c r="M907" s="292"/>
      <c r="N907" s="292"/>
      <c r="O907" s="292"/>
      <c r="P907" s="292"/>
      <c r="Q907" s="292"/>
      <c r="R907" s="292"/>
      <c r="S907" s="292"/>
      <c r="T907" s="292"/>
    </row>
    <row r="908" spans="1:22">
      <c r="A908" s="219" t="s">
        <v>90</v>
      </c>
      <c r="B908" s="214" t="s">
        <v>91</v>
      </c>
      <c r="C908" s="215"/>
      <c r="D908" s="290">
        <v>18000</v>
      </c>
      <c r="E908" s="215"/>
      <c r="F908" s="290">
        <v>21000</v>
      </c>
      <c r="G908" s="215"/>
      <c r="H908" s="301">
        <f>J908-F908</f>
        <v>14000</v>
      </c>
      <c r="I908" s="215"/>
      <c r="J908" s="290">
        <v>35000</v>
      </c>
      <c r="K908" s="215"/>
      <c r="L908" s="291">
        <v>35000</v>
      </c>
      <c r="M908" s="292"/>
      <c r="N908" s="292"/>
      <c r="O908" s="292"/>
      <c r="P908" s="292"/>
      <c r="Q908" s="292"/>
      <c r="R908" s="292"/>
      <c r="S908" s="292"/>
      <c r="T908" s="292"/>
    </row>
    <row r="909" spans="1:22">
      <c r="A909" s="219" t="s">
        <v>92</v>
      </c>
      <c r="B909" s="214" t="s">
        <v>93</v>
      </c>
      <c r="C909" s="215"/>
      <c r="D909" s="290">
        <v>12000</v>
      </c>
      <c r="E909" s="215"/>
      <c r="F909" s="290">
        <v>6000</v>
      </c>
      <c r="G909" s="215"/>
      <c r="H909" s="301">
        <f>J909-F909</f>
        <v>6000</v>
      </c>
      <c r="I909" s="215"/>
      <c r="J909" s="290">
        <v>12000</v>
      </c>
      <c r="K909" s="215"/>
      <c r="L909" s="291">
        <v>24000</v>
      </c>
      <c r="M909" s="292"/>
      <c r="N909" s="292"/>
      <c r="O909" s="292"/>
      <c r="P909" s="292"/>
      <c r="Q909" s="292"/>
      <c r="R909" s="292"/>
      <c r="S909" s="292"/>
      <c r="T909" s="292"/>
    </row>
    <row r="910" spans="1:22">
      <c r="A910" s="219" t="s">
        <v>96</v>
      </c>
      <c r="B910" s="214" t="s">
        <v>97</v>
      </c>
      <c r="C910" s="215"/>
      <c r="D910" s="290">
        <v>15000</v>
      </c>
      <c r="E910" s="215"/>
      <c r="F910" s="290">
        <v>0</v>
      </c>
      <c r="G910" s="215"/>
      <c r="H910" s="301">
        <f>J910-F910</f>
        <v>25000</v>
      </c>
      <c r="I910" s="215"/>
      <c r="J910" s="290">
        <v>25000</v>
      </c>
      <c r="K910" s="215"/>
      <c r="L910" s="291">
        <v>25000</v>
      </c>
      <c r="M910" s="292"/>
      <c r="N910" s="292"/>
      <c r="O910" s="292"/>
      <c r="P910" s="292"/>
      <c r="Q910" s="292"/>
      <c r="R910" s="292"/>
      <c r="S910" s="292"/>
      <c r="T910" s="292"/>
    </row>
    <row r="911" spans="1:22">
      <c r="A911" s="219" t="s">
        <v>358</v>
      </c>
      <c r="B911" s="214" t="s">
        <v>99</v>
      </c>
      <c r="C911" s="215"/>
      <c r="D911" s="290">
        <v>45000</v>
      </c>
      <c r="E911" s="215"/>
      <c r="F911" s="290">
        <v>0</v>
      </c>
      <c r="G911" s="215"/>
      <c r="H911" s="301">
        <f>J911-F911</f>
        <v>50000</v>
      </c>
      <c r="I911" s="215"/>
      <c r="J911" s="290">
        <v>50000</v>
      </c>
      <c r="K911" s="215"/>
      <c r="L911" s="291">
        <v>100000</v>
      </c>
      <c r="M911" s="292"/>
      <c r="N911" s="292"/>
      <c r="O911" s="292"/>
      <c r="P911" s="292"/>
      <c r="Q911" s="292"/>
      <c r="R911" s="292"/>
      <c r="S911" s="292"/>
      <c r="T911" s="292"/>
    </row>
    <row r="912" spans="1:22">
      <c r="A912" s="219" t="s">
        <v>100</v>
      </c>
      <c r="B912" s="214" t="s">
        <v>101</v>
      </c>
      <c r="C912" s="215"/>
      <c r="D912" s="290">
        <v>43237.2</v>
      </c>
      <c r="E912" s="215"/>
      <c r="F912" s="290">
        <v>21618.6</v>
      </c>
      <c r="G912" s="215"/>
      <c r="H912" s="301">
        <f>J912-F912</f>
        <v>28098.6</v>
      </c>
      <c r="I912" s="215"/>
      <c r="J912" s="290">
        <v>49717.2</v>
      </c>
      <c r="K912" s="215"/>
      <c r="L912" s="291">
        <v>120994</v>
      </c>
      <c r="M912" s="292"/>
      <c r="N912" s="292"/>
      <c r="O912" s="292"/>
      <c r="P912" s="292"/>
      <c r="Q912" s="292"/>
      <c r="R912" s="292"/>
      <c r="S912" s="292"/>
      <c r="T912" s="292"/>
    </row>
    <row r="913" spans="1:22">
      <c r="A913" s="219" t="s">
        <v>102</v>
      </c>
      <c r="B913" s="214" t="s">
        <v>103</v>
      </c>
      <c r="C913" s="215"/>
      <c r="D913" s="290">
        <v>104149</v>
      </c>
      <c r="E913" s="215"/>
      <c r="F913" s="290">
        <v>0</v>
      </c>
      <c r="G913" s="215"/>
      <c r="H913" s="301">
        <f>J913-F913</f>
        <v>147349</v>
      </c>
      <c r="I913" s="215"/>
      <c r="J913" s="290">
        <v>147349</v>
      </c>
      <c r="K913" s="215"/>
      <c r="L913" s="291">
        <v>163083</v>
      </c>
      <c r="M913" s="292"/>
      <c r="N913" s="292"/>
      <c r="O913" s="292"/>
      <c r="P913" s="292"/>
      <c r="Q913" s="292"/>
      <c r="R913" s="292"/>
      <c r="S913" s="292"/>
      <c r="T913" s="292"/>
    </row>
    <row r="914" spans="1:22">
      <c r="A914" s="219" t="s">
        <v>104</v>
      </c>
      <c r="B914" s="214" t="s">
        <v>105</v>
      </c>
      <c r="C914" s="215"/>
      <c r="D914" s="290">
        <v>15000</v>
      </c>
      <c r="E914" s="215"/>
      <c r="F914" s="290">
        <v>0</v>
      </c>
      <c r="G914" s="215"/>
      <c r="H914" s="301">
        <f>J914-F914</f>
        <v>25000</v>
      </c>
      <c r="I914" s="215"/>
      <c r="J914" s="290">
        <v>25000</v>
      </c>
      <c r="K914" s="215"/>
      <c r="L914" s="291">
        <v>25000</v>
      </c>
      <c r="M914" s="292"/>
      <c r="N914" s="292"/>
      <c r="O914" s="292"/>
      <c r="P914" s="292"/>
      <c r="Q914" s="292"/>
      <c r="R914" s="292"/>
      <c r="S914" s="292"/>
      <c r="T914" s="292"/>
    </row>
    <row r="915" spans="1:22">
      <c r="A915" s="219" t="s">
        <v>106</v>
      </c>
      <c r="B915" s="214" t="s">
        <v>107</v>
      </c>
      <c r="C915" s="215"/>
      <c r="D915" s="290">
        <v>82549</v>
      </c>
      <c r="E915" s="215"/>
      <c r="F915" s="290">
        <v>115262</v>
      </c>
      <c r="G915" s="215"/>
      <c r="H915" s="301">
        <f>J915-F915</f>
        <v>10487</v>
      </c>
      <c r="I915" s="215"/>
      <c r="J915" s="290">
        <v>125749</v>
      </c>
      <c r="K915" s="215"/>
      <c r="L915" s="291">
        <v>155788</v>
      </c>
      <c r="M915" s="292"/>
      <c r="N915" s="292"/>
      <c r="O915" s="292"/>
      <c r="P915" s="292"/>
      <c r="Q915" s="292"/>
      <c r="R915" s="292"/>
      <c r="S915" s="292"/>
      <c r="T915" s="292"/>
    </row>
    <row r="916" spans="1:22">
      <c r="A916" s="225" t="s">
        <v>340</v>
      </c>
      <c r="B916" s="214"/>
      <c r="C916" s="215"/>
      <c r="D916" s="303"/>
      <c r="E916" s="215"/>
      <c r="F916" s="303"/>
      <c r="G916" s="215"/>
      <c r="H916" s="303"/>
      <c r="I916" s="215"/>
      <c r="J916" s="303"/>
      <c r="K916" s="215"/>
      <c r="L916" s="304"/>
      <c r="M916" s="292"/>
      <c r="N916" s="292"/>
      <c r="O916" s="292"/>
      <c r="P916" s="292"/>
      <c r="Q916" s="292"/>
      <c r="R916" s="292"/>
      <c r="S916" s="292"/>
      <c r="T916" s="292"/>
    </row>
    <row r="917" spans="1:22">
      <c r="A917" s="219" t="s">
        <v>108</v>
      </c>
      <c r="B917" s="214" t="s">
        <v>109</v>
      </c>
      <c r="C917" s="215"/>
      <c r="D917" s="303">
        <v>144869.93</v>
      </c>
      <c r="E917" s="215"/>
      <c r="F917" s="303">
        <v>82988.64</v>
      </c>
      <c r="G917" s="215"/>
      <c r="H917" s="301">
        <f>J917-F917</f>
        <v>113652.48</v>
      </c>
      <c r="I917" s="215"/>
      <c r="J917" s="303">
        <v>196641.12</v>
      </c>
      <c r="K917" s="215"/>
      <c r="L917" s="304">
        <v>227838</v>
      </c>
      <c r="M917" s="292"/>
      <c r="N917" s="292"/>
      <c r="O917" s="292"/>
      <c r="P917" s="292"/>
      <c r="Q917" s="292"/>
      <c r="R917" s="292"/>
      <c r="S917" s="292"/>
      <c r="T917" s="292"/>
    </row>
    <row r="918" spans="1:22">
      <c r="A918" s="219" t="s">
        <v>110</v>
      </c>
      <c r="B918" s="214" t="s">
        <v>111</v>
      </c>
      <c r="C918" s="215"/>
      <c r="D918" s="290">
        <v>3400</v>
      </c>
      <c r="E918" s="215"/>
      <c r="F918" s="290">
        <v>3000</v>
      </c>
      <c r="G918" s="215"/>
      <c r="H918" s="301">
        <f>J918-F918</f>
        <v>8400</v>
      </c>
      <c r="I918" s="215"/>
      <c r="J918" s="290">
        <v>11400</v>
      </c>
      <c r="K918" s="215"/>
      <c r="L918" s="291">
        <v>12000</v>
      </c>
      <c r="M918" s="292"/>
      <c r="N918" s="292"/>
      <c r="O918" s="292"/>
      <c r="P918" s="292"/>
      <c r="Q918" s="292"/>
      <c r="R918" s="292"/>
      <c r="S918" s="292"/>
      <c r="T918" s="292"/>
    </row>
    <row r="919" spans="1:22">
      <c r="A919" s="219" t="s">
        <v>112</v>
      </c>
      <c r="B919" s="214" t="s">
        <v>113</v>
      </c>
      <c r="C919" s="215"/>
      <c r="D919" s="290">
        <v>23922.02</v>
      </c>
      <c r="E919" s="215"/>
      <c r="F919" s="290">
        <v>17289.3</v>
      </c>
      <c r="G919" s="215"/>
      <c r="H919" s="301">
        <f>J919-F919</f>
        <v>23677.6</v>
      </c>
      <c r="I919" s="215"/>
      <c r="J919" s="290">
        <v>40966.9</v>
      </c>
      <c r="K919" s="215"/>
      <c r="L919" s="291">
        <v>47467</v>
      </c>
      <c r="M919" s="292"/>
      <c r="N919" s="292"/>
      <c r="O919" s="292"/>
      <c r="P919" s="292"/>
      <c r="Q919" s="292"/>
      <c r="R919" s="292"/>
      <c r="S919" s="292"/>
      <c r="T919" s="292"/>
    </row>
    <row r="920" spans="1:22">
      <c r="A920" s="219" t="s">
        <v>114</v>
      </c>
      <c r="B920" s="214" t="s">
        <v>115</v>
      </c>
      <c r="C920" s="215"/>
      <c r="D920" s="290">
        <v>3400</v>
      </c>
      <c r="E920" s="215"/>
      <c r="F920" s="290">
        <v>1800</v>
      </c>
      <c r="G920" s="215"/>
      <c r="H920" s="301">
        <f>J920-F920</f>
        <v>3600</v>
      </c>
      <c r="I920" s="215"/>
      <c r="J920" s="290">
        <v>5400</v>
      </c>
      <c r="K920" s="215"/>
      <c r="L920" s="291">
        <v>6000</v>
      </c>
      <c r="M920" s="292"/>
      <c r="N920" s="292"/>
      <c r="O920" s="292"/>
      <c r="P920" s="292"/>
      <c r="Q920" s="292"/>
      <c r="R920" s="292"/>
      <c r="S920" s="292"/>
      <c r="T920" s="292"/>
    </row>
    <row r="921" spans="1:22">
      <c r="A921" s="225" t="s">
        <v>359</v>
      </c>
      <c r="B921" s="214"/>
      <c r="C921" s="221"/>
      <c r="D921" s="303"/>
      <c r="E921" s="215"/>
      <c r="F921" s="303"/>
      <c r="G921" s="215"/>
      <c r="H921" s="303"/>
      <c r="I921" s="215"/>
      <c r="J921" s="303"/>
      <c r="K921" s="215"/>
      <c r="L921" s="304"/>
      <c r="M921" s="292"/>
      <c r="N921" s="292"/>
      <c r="O921" s="292"/>
      <c r="P921" s="292"/>
      <c r="Q921" s="292"/>
      <c r="R921" s="292"/>
      <c r="S921" s="292"/>
      <c r="T921" s="292"/>
    </row>
    <row r="922" spans="1:22">
      <c r="A922" s="219" t="s">
        <v>399</v>
      </c>
      <c r="B922" s="214" t="s">
        <v>117</v>
      </c>
      <c r="C922" s="215"/>
      <c r="D922" s="303">
        <v>0</v>
      </c>
      <c r="E922" s="215"/>
      <c r="F922" s="301">
        <v>0</v>
      </c>
      <c r="G922" s="215"/>
      <c r="H922" s="301">
        <f>J922-F922</f>
        <v>0</v>
      </c>
      <c r="I922" s="215"/>
      <c r="J922" s="301">
        <v>0</v>
      </c>
      <c r="K922" s="215"/>
      <c r="L922" s="302">
        <v>0</v>
      </c>
      <c r="M922" s="292"/>
      <c r="N922" s="292"/>
      <c r="O922" s="292"/>
      <c r="P922" s="292"/>
      <c r="Q922" s="292"/>
      <c r="R922" s="292"/>
      <c r="S922" s="292"/>
      <c r="T922" s="292"/>
    </row>
    <row r="923" spans="1:22" customHeight="1" ht="15.75">
      <c r="A923" s="219" t="s">
        <v>341</v>
      </c>
      <c r="B923" s="214" t="s">
        <v>119</v>
      </c>
      <c r="C923" s="215"/>
      <c r="D923" s="305">
        <v>0</v>
      </c>
      <c r="E923" s="215"/>
      <c r="F923" s="305">
        <v>0</v>
      </c>
      <c r="G923" s="215"/>
      <c r="H923" s="305">
        <f>J923-F923</f>
        <v>0</v>
      </c>
      <c r="I923" s="215"/>
      <c r="J923" s="305">
        <v>0</v>
      </c>
      <c r="K923" s="215"/>
      <c r="L923" s="306">
        <v>35000</v>
      </c>
      <c r="M923" s="292"/>
      <c r="N923" s="292"/>
      <c r="O923" s="292"/>
      <c r="P923" s="292"/>
      <c r="Q923" s="292"/>
      <c r="R923" s="292"/>
      <c r="S923" s="292"/>
      <c r="T923" s="292"/>
    </row>
    <row r="924" spans="1:22" customHeight="1" ht="15.75">
      <c r="A924" s="242" t="s">
        <v>120</v>
      </c>
      <c r="B924" s="243"/>
      <c r="C924" s="244" t="s">
        <v>23</v>
      </c>
      <c r="D924" s="307">
        <f>SUM(D903:D923)</f>
        <v>1928808.8</v>
      </c>
      <c r="E924" s="246" t="s">
        <v>23</v>
      </c>
      <c r="F924" s="307">
        <f>SUM(F903:F923)</f>
        <v>1078130.54</v>
      </c>
      <c r="G924" s="246" t="s">
        <v>23</v>
      </c>
      <c r="H924" s="307">
        <f>SUM(H903:H923)</f>
        <v>1555968.68</v>
      </c>
      <c r="I924" s="246" t="s">
        <v>23</v>
      </c>
      <c r="J924" s="307">
        <f>SUM(J903:J923)</f>
        <v>2634099.22</v>
      </c>
      <c r="K924" s="246" t="s">
        <v>23</v>
      </c>
      <c r="L924" s="308">
        <f>SUM(L903:L923)</f>
        <v>3159006</v>
      </c>
      <c r="M924" s="309"/>
      <c r="N924" s="309"/>
      <c r="O924" s="309"/>
      <c r="P924" s="309"/>
      <c r="Q924" s="309"/>
      <c r="R924" s="309"/>
      <c r="S924" s="309"/>
      <c r="T924" s="309"/>
    </row>
    <row r="925" spans="1:22">
      <c r="H925" s="249"/>
    </row>
    <row r="929" spans="1:22">
      <c r="A929" s="273" t="s">
        <v>346</v>
      </c>
      <c r="B929" s="273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4"/>
      <c r="N929" s="274"/>
      <c r="O929" s="274"/>
      <c r="P929" s="274"/>
      <c r="Q929" s="274"/>
      <c r="R929" s="274"/>
      <c r="S929" s="274"/>
      <c r="T929" s="274"/>
    </row>
    <row r="931" spans="1:22" customHeight="1" ht="15.75">
      <c r="A931" s="183" t="s">
        <v>347</v>
      </c>
      <c r="B931" s="18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4"/>
      <c r="N931" s="184"/>
      <c r="O931" s="184"/>
      <c r="P931" s="184"/>
      <c r="Q931" s="184"/>
      <c r="R931" s="184"/>
      <c r="S931" s="184"/>
      <c r="T931" s="184"/>
    </row>
    <row r="932" spans="1:22">
      <c r="A932" s="185" t="s">
        <v>348</v>
      </c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6"/>
      <c r="N932" s="186"/>
      <c r="O932" s="186"/>
      <c r="P932" s="186"/>
      <c r="Q932" s="186"/>
      <c r="R932" s="186"/>
      <c r="S932" s="186"/>
      <c r="T932" s="186"/>
    </row>
    <row r="934" spans="1:22">
      <c r="A934" s="187" t="s">
        <v>420</v>
      </c>
    </row>
    <row r="935" spans="1:22" customHeight="1" ht="15.75"/>
    <row r="936" spans="1:22">
      <c r="A936" s="189"/>
      <c r="B936" s="190"/>
      <c r="C936" s="191" t="s">
        <v>350</v>
      </c>
      <c r="D936" s="192"/>
      <c r="E936" s="193" t="s">
        <v>351</v>
      </c>
      <c r="F936" s="194"/>
      <c r="G936" s="194"/>
      <c r="H936" s="194"/>
      <c r="I936" s="194"/>
      <c r="J936" s="195"/>
      <c r="K936" s="191" t="s">
        <v>352</v>
      </c>
      <c r="L936" s="196"/>
      <c r="M936" s="186"/>
      <c r="N936" s="186"/>
      <c r="O936" s="186"/>
      <c r="P936" s="186"/>
      <c r="Q936" s="186"/>
      <c r="R936" s="186"/>
      <c r="S936" s="186"/>
      <c r="T936" s="186"/>
    </row>
    <row r="937" spans="1:22">
      <c r="A937" s="197" t="s">
        <v>353</v>
      </c>
      <c r="B937" s="198" t="s">
        <v>354</v>
      </c>
      <c r="C937" s="199">
        <v>2023</v>
      </c>
      <c r="D937" s="200"/>
      <c r="E937" s="201" t="s">
        <v>11</v>
      </c>
      <c r="F937" s="202"/>
      <c r="G937" s="201" t="s">
        <v>355</v>
      </c>
      <c r="H937" s="202"/>
      <c r="I937" s="203" t="s">
        <v>356</v>
      </c>
      <c r="J937" s="204"/>
      <c r="K937" s="199">
        <v>2025</v>
      </c>
      <c r="L937" s="205"/>
      <c r="M937" s="186"/>
      <c r="N937" s="186"/>
      <c r="O937" s="186"/>
      <c r="P937" s="186"/>
      <c r="Q937" s="186"/>
      <c r="R937" s="186"/>
      <c r="S937" s="186"/>
      <c r="T937" s="186"/>
    </row>
    <row r="938" spans="1:22" customHeight="1" ht="15.75">
      <c r="A938" s="206"/>
      <c r="B938" s="207"/>
      <c r="C938" s="208" t="s">
        <v>17</v>
      </c>
      <c r="D938" s="209"/>
      <c r="E938" s="208" t="s">
        <v>17</v>
      </c>
      <c r="F938" s="209"/>
      <c r="G938" s="208" t="s">
        <v>18</v>
      </c>
      <c r="H938" s="209"/>
      <c r="I938" s="210"/>
      <c r="J938" s="211"/>
      <c r="K938" s="208" t="s">
        <v>357</v>
      </c>
      <c r="L938" s="212"/>
      <c r="M938" s="186"/>
      <c r="N938" s="186"/>
      <c r="O938" s="186"/>
      <c r="P938" s="186"/>
      <c r="Q938" s="186"/>
      <c r="R938" s="186"/>
      <c r="S938" s="186"/>
      <c r="T938" s="186"/>
    </row>
    <row r="939" spans="1:22">
      <c r="A939" s="225" t="s">
        <v>121</v>
      </c>
      <c r="B939" s="254"/>
      <c r="C939" s="215"/>
      <c r="D939" s="216"/>
      <c r="E939" s="215"/>
      <c r="F939" s="216"/>
      <c r="G939" s="215"/>
      <c r="H939" s="216"/>
      <c r="I939" s="215"/>
      <c r="J939" s="216"/>
      <c r="K939" s="215"/>
      <c r="L939" s="217"/>
      <c r="M939" s="218"/>
      <c r="N939" s="218"/>
      <c r="O939" s="218"/>
      <c r="P939" s="218"/>
      <c r="Q939" s="218"/>
      <c r="R939" s="218"/>
      <c r="S939" s="218"/>
      <c r="T939" s="218"/>
    </row>
    <row r="940" spans="1:22">
      <c r="A940" s="219" t="s">
        <v>122</v>
      </c>
      <c r="B940" s="214" t="s">
        <v>123</v>
      </c>
      <c r="C940" s="215" t="s">
        <v>23</v>
      </c>
      <c r="D940" s="226">
        <v>124000</v>
      </c>
      <c r="E940" s="215" t="s">
        <v>23</v>
      </c>
      <c r="F940" s="226">
        <v>120000</v>
      </c>
      <c r="G940" s="215" t="s">
        <v>23</v>
      </c>
      <c r="H940" s="226">
        <f>J940-F940</f>
        <v>50000</v>
      </c>
      <c r="I940" s="215" t="s">
        <v>23</v>
      </c>
      <c r="J940" s="227">
        <v>170000</v>
      </c>
      <c r="K940" s="215" t="s">
        <v>23</v>
      </c>
      <c r="L940" s="228">
        <v>150000</v>
      </c>
      <c r="M940" s="224"/>
      <c r="N940" s="224"/>
      <c r="O940" s="224"/>
      <c r="P940" s="224"/>
      <c r="Q940" s="224"/>
      <c r="R940" s="224"/>
      <c r="S940" s="224"/>
      <c r="T940" s="224"/>
    </row>
    <row r="941" spans="1:22">
      <c r="A941" s="219" t="s">
        <v>126</v>
      </c>
      <c r="B941" s="214" t="s">
        <v>127</v>
      </c>
      <c r="C941" s="215"/>
      <c r="D941" s="229">
        <v>206099.75</v>
      </c>
      <c r="E941" s="215"/>
      <c r="F941" s="229">
        <v>1119.72</v>
      </c>
      <c r="G941" s="215"/>
      <c r="H941" s="229">
        <f>J941-F941</f>
        <v>118880.28</v>
      </c>
      <c r="I941" s="215"/>
      <c r="J941" s="230">
        <v>120000</v>
      </c>
      <c r="K941" s="215"/>
      <c r="L941" s="231">
        <v>120000</v>
      </c>
      <c r="M941" s="224"/>
      <c r="N941" s="224"/>
      <c r="O941" s="224"/>
      <c r="P941" s="224"/>
      <c r="Q941" s="224"/>
      <c r="R941" s="224"/>
      <c r="S941" s="224"/>
      <c r="T941" s="224"/>
    </row>
    <row r="942" spans="1:22">
      <c r="A942" s="219" t="s">
        <v>144</v>
      </c>
      <c r="B942" s="214" t="s">
        <v>145</v>
      </c>
      <c r="C942" s="215"/>
      <c r="D942" s="229">
        <v>60000</v>
      </c>
      <c r="E942" s="215"/>
      <c r="F942" s="229">
        <v>30000</v>
      </c>
      <c r="G942" s="215"/>
      <c r="H942" s="229">
        <f>J942-F942</f>
        <v>30000</v>
      </c>
      <c r="I942" s="215"/>
      <c r="J942" s="230">
        <v>60000</v>
      </c>
      <c r="K942" s="215"/>
      <c r="L942" s="231">
        <v>24000</v>
      </c>
      <c r="M942" s="224"/>
      <c r="N942" s="224"/>
      <c r="O942" s="224"/>
      <c r="P942" s="224"/>
      <c r="Q942" s="224"/>
      <c r="R942" s="224"/>
      <c r="S942" s="224"/>
      <c r="T942" s="224"/>
    </row>
    <row r="943" spans="1:22">
      <c r="A943" s="219" t="s">
        <v>146</v>
      </c>
      <c r="B943" s="214" t="s">
        <v>147</v>
      </c>
      <c r="C943" s="215"/>
      <c r="D943" s="229">
        <v>24767.63</v>
      </c>
      <c r="E943" s="215"/>
      <c r="F943" s="229">
        <v>12134.4</v>
      </c>
      <c r="G943" s="215"/>
      <c r="H943" s="229">
        <f>J943-F943</f>
        <v>12865.6</v>
      </c>
      <c r="I943" s="215"/>
      <c r="J943" s="230">
        <v>25000</v>
      </c>
      <c r="K943" s="215"/>
      <c r="L943" s="231">
        <v>25000</v>
      </c>
      <c r="M943" s="224"/>
      <c r="N943" s="224"/>
      <c r="O943" s="224"/>
      <c r="P943" s="224"/>
      <c r="Q943" s="224"/>
      <c r="R943" s="224"/>
      <c r="S943" s="224"/>
      <c r="T943" s="224"/>
    </row>
    <row r="944" spans="1:22">
      <c r="A944" s="219" t="s">
        <v>156</v>
      </c>
      <c r="B944" s="214" t="s">
        <v>157</v>
      </c>
      <c r="C944" s="215"/>
      <c r="D944" s="229">
        <v>0</v>
      </c>
      <c r="E944" s="215"/>
      <c r="F944" s="229">
        <v>0</v>
      </c>
      <c r="G944" s="215"/>
      <c r="H944" s="229">
        <f>J944-F944</f>
        <v>20000</v>
      </c>
      <c r="I944" s="215"/>
      <c r="J944" s="230">
        <v>20000</v>
      </c>
      <c r="K944" s="215"/>
      <c r="L944" s="231">
        <v>20000</v>
      </c>
      <c r="M944" s="224"/>
      <c r="N944" s="224"/>
      <c r="O944" s="224"/>
      <c r="P944" s="224"/>
      <c r="Q944" s="224"/>
      <c r="R944" s="224"/>
      <c r="S944" s="224"/>
      <c r="T944" s="224"/>
    </row>
    <row r="945" spans="1:22">
      <c r="A945" s="219" t="s">
        <v>169</v>
      </c>
      <c r="B945" s="214" t="s">
        <v>170</v>
      </c>
      <c r="C945" s="215"/>
      <c r="D945" s="229">
        <v>206118.5</v>
      </c>
      <c r="E945" s="215"/>
      <c r="F945" s="229">
        <v>36572.26</v>
      </c>
      <c r="G945" s="215"/>
      <c r="H945" s="229">
        <f>J945-F945</f>
        <v>13427.74</v>
      </c>
      <c r="I945" s="215"/>
      <c r="J945" s="230">
        <v>50000</v>
      </c>
      <c r="K945" s="215"/>
      <c r="L945" s="231">
        <v>363040</v>
      </c>
      <c r="M945" s="224"/>
      <c r="N945" s="224"/>
      <c r="O945" s="224"/>
      <c r="P945" s="224"/>
      <c r="Q945" s="224"/>
      <c r="R945" s="224"/>
      <c r="S945" s="224"/>
      <c r="T945" s="224"/>
    </row>
    <row r="946" spans="1:22">
      <c r="A946" s="219" t="s">
        <v>421</v>
      </c>
      <c r="B946" s="214" t="s">
        <v>422</v>
      </c>
      <c r="C946" s="215"/>
      <c r="D946" s="229">
        <v>887040</v>
      </c>
      <c r="E946" s="215"/>
      <c r="F946" s="229">
        <v>443520</v>
      </c>
      <c r="G946" s="215"/>
      <c r="H946" s="229">
        <f>J946-F946</f>
        <v>443520</v>
      </c>
      <c r="I946" s="215"/>
      <c r="J946" s="230">
        <v>887040</v>
      </c>
      <c r="K946" s="215"/>
      <c r="L946" s="231">
        <v>940000</v>
      </c>
      <c r="M946" s="224"/>
      <c r="N946" s="224"/>
      <c r="O946" s="224"/>
      <c r="P946" s="224"/>
      <c r="Q946" s="224"/>
      <c r="R946" s="224"/>
      <c r="S946" s="224"/>
      <c r="T946" s="224"/>
    </row>
    <row r="947" spans="1:22">
      <c r="A947" s="219" t="s">
        <v>423</v>
      </c>
      <c r="B947" s="214" t="s">
        <v>424</v>
      </c>
      <c r="C947" s="215"/>
      <c r="D947" s="220">
        <v>1254000</v>
      </c>
      <c r="E947" s="221"/>
      <c r="F947" s="226">
        <v>635500</v>
      </c>
      <c r="G947" s="221"/>
      <c r="H947" s="232">
        <f>J947-F947</f>
        <v>364500</v>
      </c>
      <c r="I947" s="221"/>
      <c r="J947" s="227">
        <v>1000000</v>
      </c>
      <c r="K947" s="221"/>
      <c r="L947" s="228">
        <v>1000000</v>
      </c>
      <c r="M947" s="224"/>
      <c r="N947" s="224"/>
      <c r="O947" s="224"/>
      <c r="P947" s="224"/>
      <c r="Q947" s="224"/>
      <c r="R947" s="224"/>
      <c r="S947" s="224"/>
      <c r="T947" s="224"/>
    </row>
    <row r="948" spans="1:22">
      <c r="A948" s="219" t="s">
        <v>425</v>
      </c>
      <c r="B948" s="214" t="s">
        <v>176</v>
      </c>
      <c r="C948" s="215"/>
      <c r="D948" s="220">
        <v>193207</v>
      </c>
      <c r="E948" s="221"/>
      <c r="F948" s="229">
        <v>0</v>
      </c>
      <c r="G948" s="221"/>
      <c r="H948" s="229">
        <f>J948-F948</f>
        <v>500000</v>
      </c>
      <c r="I948" s="221"/>
      <c r="J948" s="230">
        <v>500000</v>
      </c>
      <c r="K948" s="221"/>
      <c r="L948" s="231">
        <v>0</v>
      </c>
      <c r="M948" s="224"/>
      <c r="N948" s="224"/>
      <c r="O948" s="224"/>
      <c r="P948" s="224"/>
      <c r="Q948" s="224"/>
      <c r="R948" s="224"/>
      <c r="S948" s="224"/>
      <c r="T948" s="224"/>
    </row>
    <row r="949" spans="1:22">
      <c r="A949" s="219" t="s">
        <v>177</v>
      </c>
      <c r="B949" s="214" t="s">
        <v>178</v>
      </c>
      <c r="C949" s="215"/>
      <c r="D949" s="220">
        <v>100000</v>
      </c>
      <c r="E949" s="221"/>
      <c r="F949" s="229">
        <v>5400</v>
      </c>
      <c r="G949" s="221"/>
      <c r="H949" s="229">
        <f>J949-F949</f>
        <v>94600</v>
      </c>
      <c r="I949" s="221"/>
      <c r="J949" s="230">
        <v>100000</v>
      </c>
      <c r="K949" s="221"/>
      <c r="L949" s="231">
        <v>400000</v>
      </c>
      <c r="M949" s="224"/>
      <c r="N949" s="224"/>
      <c r="O949" s="224"/>
      <c r="P949" s="224"/>
      <c r="Q949" s="224"/>
      <c r="R949" s="224"/>
      <c r="S949" s="224"/>
      <c r="T949" s="224"/>
    </row>
    <row r="950" spans="1:22">
      <c r="A950" s="219" t="s">
        <v>179</v>
      </c>
      <c r="B950" s="214" t="s">
        <v>180</v>
      </c>
      <c r="C950" s="215"/>
      <c r="D950" s="220">
        <v>25794</v>
      </c>
      <c r="E950" s="221"/>
      <c r="F950" s="229">
        <v>0</v>
      </c>
      <c r="G950" s="221"/>
      <c r="H950" s="229">
        <f>J950-F950</f>
        <v>100000</v>
      </c>
      <c r="I950" s="221"/>
      <c r="J950" s="230">
        <v>100000</v>
      </c>
      <c r="K950" s="221"/>
      <c r="L950" s="231">
        <v>0</v>
      </c>
      <c r="M950" s="224"/>
      <c r="N950" s="224"/>
      <c r="O950" s="224"/>
      <c r="P950" s="224"/>
      <c r="Q950" s="224"/>
      <c r="R950" s="224"/>
      <c r="S950" s="224"/>
      <c r="T950" s="224"/>
    </row>
    <row r="951" spans="1:22">
      <c r="A951" s="219" t="s">
        <v>181</v>
      </c>
      <c r="B951" s="214" t="s">
        <v>182</v>
      </c>
      <c r="C951" s="215"/>
      <c r="D951" s="220">
        <v>0</v>
      </c>
      <c r="E951" s="221"/>
      <c r="F951" s="229">
        <v>0</v>
      </c>
      <c r="G951" s="221"/>
      <c r="H951" s="229">
        <f>J951-F951</f>
        <v>150000</v>
      </c>
      <c r="I951" s="221"/>
      <c r="J951" s="230">
        <v>150000</v>
      </c>
      <c r="K951" s="221"/>
      <c r="L951" s="231">
        <v>0</v>
      </c>
      <c r="M951" s="224"/>
      <c r="N951" s="224"/>
      <c r="O951" s="224"/>
      <c r="P951" s="224"/>
      <c r="Q951" s="224"/>
      <c r="R951" s="224"/>
      <c r="S951" s="224"/>
      <c r="T951" s="224"/>
    </row>
    <row r="952" spans="1:22">
      <c r="A952" s="219" t="s">
        <v>426</v>
      </c>
      <c r="B952" s="214" t="s">
        <v>184</v>
      </c>
      <c r="C952" s="215"/>
      <c r="D952" s="220">
        <v>0</v>
      </c>
      <c r="E952" s="221"/>
      <c r="F952" s="226">
        <v>0</v>
      </c>
      <c r="G952" s="221"/>
      <c r="H952" s="220">
        <f>J952-F952</f>
        <v>10000</v>
      </c>
      <c r="I952" s="221"/>
      <c r="J952" s="227">
        <v>10000</v>
      </c>
      <c r="K952" s="221"/>
      <c r="L952" s="228">
        <v>0</v>
      </c>
      <c r="M952" s="224"/>
      <c r="N952" s="224"/>
      <c r="O952" s="224"/>
      <c r="P952" s="224"/>
      <c r="Q952" s="224"/>
      <c r="R952" s="224"/>
      <c r="S952" s="224"/>
      <c r="T952" s="224"/>
    </row>
    <row r="953" spans="1:22">
      <c r="A953" s="219" t="s">
        <v>185</v>
      </c>
      <c r="B953" s="214" t="s">
        <v>186</v>
      </c>
      <c r="C953" s="215"/>
      <c r="D953" s="220">
        <v>0</v>
      </c>
      <c r="E953" s="221"/>
      <c r="F953" s="229">
        <v>72900</v>
      </c>
      <c r="G953" s="221"/>
      <c r="H953" s="220">
        <f>J953-F953</f>
        <v>27100</v>
      </c>
      <c r="I953" s="215"/>
      <c r="J953" s="230">
        <v>100000</v>
      </c>
      <c r="K953" s="215"/>
      <c r="L953" s="231">
        <v>100000</v>
      </c>
      <c r="M953" s="224"/>
      <c r="N953" s="224"/>
      <c r="O953" s="224"/>
      <c r="P953" s="224"/>
      <c r="Q953" s="224"/>
      <c r="R953" s="224"/>
      <c r="S953" s="224"/>
      <c r="T953" s="224"/>
    </row>
    <row r="954" spans="1:22" customHeight="1" ht="15.75">
      <c r="A954" s="225" t="s">
        <v>200</v>
      </c>
      <c r="B954" s="214"/>
      <c r="C954" s="258" t="s">
        <v>23</v>
      </c>
      <c r="D954" s="245">
        <f>SUM(D940:D953)</f>
        <v>3081026.88</v>
      </c>
      <c r="E954" s="258" t="s">
        <v>23</v>
      </c>
      <c r="F954" s="245">
        <f>SUM(F940:F953)</f>
        <v>1357146.38</v>
      </c>
      <c r="G954" s="258" t="s">
        <v>23</v>
      </c>
      <c r="H954" s="245">
        <f>SUM(H940:H952)</f>
        <v>1907793.62</v>
      </c>
      <c r="I954" s="258" t="s">
        <v>23</v>
      </c>
      <c r="J954" s="245">
        <f>SUM(J940:J953)</f>
        <v>3292040</v>
      </c>
      <c r="K954" s="258" t="s">
        <v>23</v>
      </c>
      <c r="L954" s="247">
        <f>SUM(L940:L953)</f>
        <v>3142040</v>
      </c>
      <c r="M954" s="248"/>
      <c r="N954" s="248"/>
      <c r="O954" s="248"/>
      <c r="P954" s="248"/>
      <c r="Q954" s="248"/>
      <c r="R954" s="310"/>
      <c r="S954" s="248"/>
      <c r="T954" s="248"/>
    </row>
    <row r="955" spans="1:22">
      <c r="A955" s="225" t="s">
        <v>201</v>
      </c>
      <c r="B955" s="254"/>
      <c r="C955" s="215"/>
      <c r="D955" s="280"/>
      <c r="E955" s="215"/>
      <c r="F955" s="280"/>
      <c r="G955" s="215"/>
      <c r="H955" s="280"/>
      <c r="I955" s="215"/>
      <c r="J955" s="280"/>
      <c r="K955" s="215"/>
      <c r="L955" s="281"/>
      <c r="M955" s="224"/>
      <c r="N955" s="224"/>
      <c r="O955" s="224"/>
      <c r="P955" s="224"/>
      <c r="Q955" s="224"/>
      <c r="R955" s="224"/>
      <c r="S955" s="224"/>
      <c r="T955" s="224"/>
    </row>
    <row r="956" spans="1:22">
      <c r="A956" s="219" t="s">
        <v>427</v>
      </c>
      <c r="B956" s="214" t="s">
        <v>209</v>
      </c>
      <c r="C956" s="215" t="s">
        <v>23</v>
      </c>
      <c r="D956" s="220">
        <v>313000</v>
      </c>
      <c r="E956" s="215" t="s">
        <v>23</v>
      </c>
      <c r="F956" s="220">
        <v>0</v>
      </c>
      <c r="G956" s="215" t="s">
        <v>23</v>
      </c>
      <c r="H956" s="220">
        <v>0</v>
      </c>
      <c r="I956" s="215" t="s">
        <v>23</v>
      </c>
      <c r="J956" s="220">
        <v>0</v>
      </c>
      <c r="K956" s="215" t="s">
        <v>23</v>
      </c>
      <c r="L956" s="223">
        <v>350000</v>
      </c>
      <c r="M956" s="224"/>
      <c r="N956" s="224"/>
      <c r="O956" s="224"/>
      <c r="P956" s="224"/>
      <c r="Q956" s="224"/>
      <c r="R956" s="224"/>
      <c r="S956" s="224"/>
      <c r="T956" s="224"/>
    </row>
    <row r="957" spans="1:22" customHeight="1" ht="25.5">
      <c r="A957" s="311" t="s">
        <v>428</v>
      </c>
      <c r="B957" s="214" t="s">
        <v>429</v>
      </c>
      <c r="C957" s="215"/>
      <c r="D957" s="226"/>
      <c r="E957" s="215"/>
      <c r="F957" s="279"/>
      <c r="G957" s="215"/>
      <c r="H957" s="279"/>
      <c r="I957" s="215"/>
      <c r="J957" s="279"/>
      <c r="K957" s="215"/>
      <c r="L957" s="228">
        <v>1800000</v>
      </c>
      <c r="M957" s="224"/>
      <c r="N957" s="224"/>
      <c r="O957" s="224"/>
      <c r="P957" s="224"/>
      <c r="Q957" s="224"/>
      <c r="R957" s="224"/>
      <c r="S957" s="224"/>
      <c r="T957" s="224"/>
    </row>
    <row r="958" spans="1:22" customHeight="1" ht="15.75">
      <c r="A958" s="225" t="s">
        <v>214</v>
      </c>
      <c r="B958" s="214"/>
      <c r="C958" s="258" t="s">
        <v>23</v>
      </c>
      <c r="D958" s="282">
        <f>SUM(D956:D956)</f>
        <v>313000</v>
      </c>
      <c r="E958" s="258" t="s">
        <v>23</v>
      </c>
      <c r="F958" s="312">
        <f>SUM(F956:F956)</f>
        <v>0</v>
      </c>
      <c r="G958" s="258" t="s">
        <v>23</v>
      </c>
      <c r="H958" s="312">
        <f>SUM(H956:H956)</f>
        <v>0</v>
      </c>
      <c r="I958" s="258" t="s">
        <v>23</v>
      </c>
      <c r="J958" s="312">
        <f>SUM(J956:J956)</f>
        <v>0</v>
      </c>
      <c r="K958" s="258" t="s">
        <v>23</v>
      </c>
      <c r="L958" s="283">
        <f>SUM(L956:L957)</f>
        <v>2150000</v>
      </c>
      <c r="M958" s="248"/>
      <c r="N958" s="248"/>
      <c r="O958" s="248"/>
      <c r="P958" s="248"/>
      <c r="Q958" s="248"/>
      <c r="R958" s="248"/>
      <c r="S958" s="248"/>
      <c r="T958" s="248"/>
    </row>
    <row r="959" spans="1:22" customHeight="1" ht="15.75">
      <c r="A959" s="284" t="s">
        <v>370</v>
      </c>
      <c r="B959" s="285"/>
      <c r="C959" s="286" t="s">
        <v>23</v>
      </c>
      <c r="D959" s="287">
        <f>D924+D954+D958</f>
        <v>5322835.68</v>
      </c>
      <c r="E959" s="288" t="s">
        <v>23</v>
      </c>
      <c r="F959" s="287">
        <f>F924+F954+F958</f>
        <v>2435276.92</v>
      </c>
      <c r="G959" s="288" t="s">
        <v>23</v>
      </c>
      <c r="H959" s="287">
        <f>H924+H954+H958</f>
        <v>3463762.3</v>
      </c>
      <c r="I959" s="288" t="s">
        <v>23</v>
      </c>
      <c r="J959" s="287">
        <f>J924+J954+J958</f>
        <v>5926139.22</v>
      </c>
      <c r="K959" s="288" t="s">
        <v>23</v>
      </c>
      <c r="L959" s="289">
        <f>L924+L954+L958</f>
        <v>8451046</v>
      </c>
      <c r="M959" s="248"/>
      <c r="N959" s="248"/>
      <c r="O959" s="248"/>
      <c r="P959" s="248"/>
      <c r="Q959" s="248"/>
      <c r="R959" s="248"/>
      <c r="S959" s="248"/>
      <c r="T959" s="248"/>
    </row>
    <row r="960" spans="1:22" customHeight="1" ht="15.75">
      <c r="A960" s="215" t="s">
        <v>371</v>
      </c>
      <c r="B960" s="215" t="s">
        <v>372</v>
      </c>
      <c r="C960" s="215"/>
      <c r="D960" s="215"/>
      <c r="E960" s="215"/>
      <c r="F960" s="215"/>
      <c r="G960" s="215" t="s">
        <v>373</v>
      </c>
      <c r="H960" s="215"/>
    </row>
    <row r="962" spans="1:22">
      <c r="A962" s="268" t="s">
        <v>430</v>
      </c>
      <c r="B962" s="269" t="s">
        <v>374</v>
      </c>
      <c r="C962" s="269"/>
      <c r="D962" s="269"/>
      <c r="E962" s="269"/>
      <c r="F962" s="269"/>
      <c r="G962" s="270"/>
      <c r="H962" s="269" t="s">
        <v>326</v>
      </c>
      <c r="I962" s="269"/>
      <c r="J962" s="269"/>
      <c r="K962" s="269"/>
      <c r="L962" s="269"/>
      <c r="M962" s="268"/>
      <c r="N962" s="268"/>
      <c r="O962" s="268"/>
      <c r="P962" s="268"/>
      <c r="Q962" s="268"/>
      <c r="R962" s="268"/>
      <c r="S962" s="268"/>
      <c r="T962" s="268"/>
    </row>
    <row r="963" spans="1:22">
      <c r="A963" s="271" t="s">
        <v>431</v>
      </c>
      <c r="B963" s="272" t="s">
        <v>375</v>
      </c>
      <c r="C963" s="272"/>
      <c r="D963" s="272"/>
      <c r="E963" s="272"/>
      <c r="F963" s="272"/>
      <c r="G963" s="215"/>
      <c r="H963" s="272" t="s">
        <v>327</v>
      </c>
      <c r="I963" s="272"/>
      <c r="J963" s="272"/>
      <c r="K963" s="272"/>
      <c r="L963" s="272"/>
      <c r="M963" s="271"/>
      <c r="N963" s="271"/>
      <c r="O963" s="271"/>
      <c r="P963" s="271"/>
      <c r="Q963" s="271"/>
      <c r="R963" s="271"/>
      <c r="S963" s="271"/>
      <c r="T963" s="271"/>
    </row>
    <row r="965" spans="1:22">
      <c r="A965" s="273" t="s">
        <v>346</v>
      </c>
      <c r="B965" s="273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4"/>
      <c r="N965" s="274"/>
      <c r="O965" s="274"/>
      <c r="P965" s="274"/>
      <c r="Q965" s="274"/>
      <c r="R965" s="274"/>
      <c r="S965" s="274"/>
      <c r="T965" s="274"/>
    </row>
    <row r="967" spans="1:22" customHeight="1" ht="15.75">
      <c r="A967" s="183" t="s">
        <v>347</v>
      </c>
      <c r="B967" s="183"/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  <c r="M967" s="184"/>
      <c r="N967" s="184"/>
      <c r="O967" s="184"/>
      <c r="P967" s="184"/>
      <c r="Q967" s="184"/>
      <c r="R967" s="184"/>
      <c r="S967" s="184"/>
      <c r="T967" s="184"/>
    </row>
    <row r="968" spans="1:22">
      <c r="A968" s="185" t="s">
        <v>348</v>
      </c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6"/>
      <c r="N968" s="186"/>
      <c r="O968" s="186"/>
      <c r="P968" s="186"/>
      <c r="Q968" s="186"/>
      <c r="R968" s="186"/>
      <c r="S968" s="186"/>
      <c r="T968" s="186"/>
    </row>
    <row r="970" spans="1:22">
      <c r="A970" s="187" t="s">
        <v>432</v>
      </c>
    </row>
    <row r="971" spans="1:22" customHeight="1" ht="15.75"/>
    <row r="972" spans="1:22">
      <c r="A972" s="189"/>
      <c r="B972" s="190"/>
      <c r="C972" s="191" t="s">
        <v>350</v>
      </c>
      <c r="D972" s="192"/>
      <c r="E972" s="193" t="s">
        <v>351</v>
      </c>
      <c r="F972" s="194"/>
      <c r="G972" s="194"/>
      <c r="H972" s="194"/>
      <c r="I972" s="194"/>
      <c r="J972" s="195"/>
      <c r="K972" s="191" t="s">
        <v>352</v>
      </c>
      <c r="L972" s="196"/>
      <c r="M972" s="186"/>
      <c r="N972" s="186"/>
      <c r="O972" s="186"/>
      <c r="P972" s="186"/>
      <c r="Q972" s="186"/>
      <c r="R972" s="186"/>
      <c r="S972" s="186"/>
      <c r="T972" s="186"/>
    </row>
    <row r="973" spans="1:22">
      <c r="A973" s="197" t="s">
        <v>353</v>
      </c>
      <c r="B973" s="198" t="s">
        <v>354</v>
      </c>
      <c r="C973" s="199">
        <v>2023</v>
      </c>
      <c r="D973" s="200"/>
      <c r="E973" s="201" t="s">
        <v>11</v>
      </c>
      <c r="F973" s="202"/>
      <c r="G973" s="201" t="s">
        <v>355</v>
      </c>
      <c r="H973" s="202"/>
      <c r="I973" s="203" t="s">
        <v>356</v>
      </c>
      <c r="J973" s="204"/>
      <c r="K973" s="199">
        <v>2025</v>
      </c>
      <c r="L973" s="205"/>
      <c r="M973" s="186"/>
      <c r="N973" s="186"/>
      <c r="O973" s="186"/>
      <c r="P973" s="186"/>
      <c r="Q973" s="186"/>
      <c r="R973" s="186"/>
      <c r="S973" s="186"/>
      <c r="T973" s="186"/>
    </row>
    <row r="974" spans="1:22" customHeight="1" ht="15.75">
      <c r="A974" s="206"/>
      <c r="B974" s="207"/>
      <c r="C974" s="208" t="s">
        <v>17</v>
      </c>
      <c r="D974" s="209"/>
      <c r="E974" s="208" t="s">
        <v>17</v>
      </c>
      <c r="F974" s="209"/>
      <c r="G974" s="208" t="s">
        <v>18</v>
      </c>
      <c r="H974" s="209"/>
      <c r="I974" s="210"/>
      <c r="J974" s="211"/>
      <c r="K974" s="208" t="s">
        <v>357</v>
      </c>
      <c r="L974" s="212"/>
      <c r="M974" s="186"/>
      <c r="N974" s="186"/>
      <c r="O974" s="186"/>
      <c r="P974" s="186"/>
      <c r="Q974" s="186"/>
      <c r="R974" s="186"/>
      <c r="S974" s="186"/>
      <c r="T974" s="186"/>
    </row>
    <row r="975" spans="1:22">
      <c r="A975" s="213" t="s">
        <v>80</v>
      </c>
      <c r="B975" s="214"/>
      <c r="C975" s="215"/>
      <c r="D975" s="216"/>
      <c r="E975" s="215"/>
      <c r="F975" s="216"/>
      <c r="G975" s="215"/>
      <c r="H975" s="216"/>
      <c r="I975" s="215"/>
      <c r="J975" s="216"/>
      <c r="K975" s="215"/>
      <c r="L975" s="217"/>
      <c r="M975" s="218"/>
      <c r="N975" s="218"/>
      <c r="O975" s="218"/>
      <c r="P975" s="218"/>
      <c r="Q975" s="218"/>
      <c r="R975" s="218"/>
      <c r="S975" s="218"/>
      <c r="T975" s="218"/>
    </row>
    <row r="976" spans="1:22">
      <c r="A976" s="219" t="s">
        <v>82</v>
      </c>
      <c r="B976" s="214" t="s">
        <v>83</v>
      </c>
      <c r="C976" s="215" t="s">
        <v>23</v>
      </c>
      <c r="D976" s="220">
        <v>1212036</v>
      </c>
      <c r="E976" s="215" t="s">
        <v>23</v>
      </c>
      <c r="F976" s="220">
        <v>606018</v>
      </c>
      <c r="G976" s="215" t="s">
        <v>23</v>
      </c>
      <c r="H976" s="220">
        <f>J976-F976</f>
        <v>1051089</v>
      </c>
      <c r="I976" s="215" t="s">
        <v>23</v>
      </c>
      <c r="J976" s="220">
        <v>1657107</v>
      </c>
      <c r="K976" s="215" t="s">
        <v>23</v>
      </c>
      <c r="L976" s="223">
        <v>1767136</v>
      </c>
      <c r="M976" s="224"/>
      <c r="N976" s="224"/>
      <c r="O976" s="224"/>
      <c r="P976" s="224"/>
      <c r="Q976" s="224"/>
      <c r="R976" s="224"/>
      <c r="S976" s="224"/>
      <c r="T976" s="224"/>
    </row>
    <row r="977" spans="1:22">
      <c r="A977" s="225" t="s">
        <v>338</v>
      </c>
      <c r="B977" s="214"/>
      <c r="C977" s="215"/>
      <c r="D977" s="226"/>
      <c r="E977" s="215"/>
      <c r="F977" s="226"/>
      <c r="G977" s="215"/>
      <c r="H977" s="226"/>
      <c r="I977" s="215"/>
      <c r="J977" s="226"/>
      <c r="K977" s="215"/>
      <c r="L977" s="228"/>
      <c r="M977" s="224"/>
      <c r="N977" s="224"/>
      <c r="O977" s="224"/>
      <c r="P977" s="224"/>
      <c r="Q977" s="224"/>
      <c r="R977" s="224"/>
      <c r="S977" s="224"/>
      <c r="T977" s="224"/>
    </row>
    <row r="978" spans="1:22">
      <c r="A978" s="219" t="s">
        <v>84</v>
      </c>
      <c r="B978" s="214" t="s">
        <v>85</v>
      </c>
      <c r="C978" s="215"/>
      <c r="D978" s="226">
        <v>72000</v>
      </c>
      <c r="E978" s="215"/>
      <c r="F978" s="226">
        <v>36000</v>
      </c>
      <c r="G978" s="215"/>
      <c r="H978" s="220">
        <f>J978-F978</f>
        <v>84000</v>
      </c>
      <c r="I978" s="215"/>
      <c r="J978" s="226">
        <v>120000</v>
      </c>
      <c r="K978" s="215"/>
      <c r="L978" s="228">
        <v>120000</v>
      </c>
      <c r="M978" s="224"/>
      <c r="N978" s="224"/>
      <c r="O978" s="224"/>
      <c r="P978" s="224"/>
      <c r="Q978" s="224"/>
      <c r="R978" s="224"/>
      <c r="S978" s="224"/>
      <c r="T978" s="224"/>
    </row>
    <row r="979" spans="1:22">
      <c r="A979" s="219" t="s">
        <v>86</v>
      </c>
      <c r="B979" s="214" t="s">
        <v>87</v>
      </c>
      <c r="C979" s="215"/>
      <c r="D979" s="229">
        <v>72000</v>
      </c>
      <c r="E979" s="215"/>
      <c r="F979" s="229">
        <v>40800</v>
      </c>
      <c r="G979" s="215"/>
      <c r="H979" s="220">
        <f>J979-F979</f>
        <v>40800</v>
      </c>
      <c r="I979" s="215"/>
      <c r="J979" s="229">
        <v>81600</v>
      </c>
      <c r="K979" s="215"/>
      <c r="L979" s="231">
        <v>81600</v>
      </c>
      <c r="M979" s="224"/>
      <c r="N979" s="224"/>
      <c r="O979" s="224"/>
      <c r="P979" s="224"/>
      <c r="Q979" s="224"/>
      <c r="R979" s="224"/>
      <c r="S979" s="224"/>
      <c r="T979" s="224"/>
    </row>
    <row r="980" spans="1:22">
      <c r="A980" s="219" t="s">
        <v>88</v>
      </c>
      <c r="B980" s="214" t="s">
        <v>89</v>
      </c>
      <c r="C980" s="215"/>
      <c r="D980" s="229">
        <v>72000</v>
      </c>
      <c r="E980" s="215"/>
      <c r="F980" s="229">
        <v>40800</v>
      </c>
      <c r="G980" s="215"/>
      <c r="H980" s="220">
        <f>J980-F980</f>
        <v>40800</v>
      </c>
      <c r="I980" s="215"/>
      <c r="J980" s="229">
        <v>81600</v>
      </c>
      <c r="K980" s="215"/>
      <c r="L980" s="231">
        <v>81600</v>
      </c>
      <c r="M980" s="224"/>
      <c r="N980" s="224"/>
      <c r="O980" s="224"/>
      <c r="P980" s="224"/>
      <c r="Q980" s="224"/>
      <c r="R980" s="224"/>
      <c r="S980" s="224"/>
      <c r="T980" s="224"/>
    </row>
    <row r="981" spans="1:22">
      <c r="A981" s="219" t="s">
        <v>90</v>
      </c>
      <c r="B981" s="214" t="s">
        <v>91</v>
      </c>
      <c r="C981" s="215"/>
      <c r="D981" s="229">
        <v>18000</v>
      </c>
      <c r="E981" s="215"/>
      <c r="F981" s="229">
        <v>21000</v>
      </c>
      <c r="G981" s="215"/>
      <c r="H981" s="220">
        <f>J981-F981</f>
        <v>14000</v>
      </c>
      <c r="I981" s="215"/>
      <c r="J981" s="229">
        <v>35000</v>
      </c>
      <c r="K981" s="215"/>
      <c r="L981" s="231">
        <v>35000</v>
      </c>
      <c r="M981" s="224"/>
      <c r="N981" s="224"/>
      <c r="O981" s="224"/>
      <c r="P981" s="224"/>
      <c r="Q981" s="224"/>
      <c r="R981" s="224"/>
      <c r="S981" s="224"/>
      <c r="T981" s="224"/>
    </row>
    <row r="982" spans="1:22">
      <c r="A982" s="219" t="s">
        <v>96</v>
      </c>
      <c r="B982" s="214" t="s">
        <v>97</v>
      </c>
      <c r="C982" s="215"/>
      <c r="D982" s="229">
        <v>15000</v>
      </c>
      <c r="E982" s="215"/>
      <c r="F982" s="229">
        <v>0</v>
      </c>
      <c r="G982" s="215"/>
      <c r="H982" s="220">
        <f>J982-F982</f>
        <v>25000</v>
      </c>
      <c r="I982" s="215"/>
      <c r="J982" s="229">
        <v>25000</v>
      </c>
      <c r="K982" s="215"/>
      <c r="L982" s="231">
        <v>25000</v>
      </c>
      <c r="M982" s="224"/>
      <c r="N982" s="224"/>
      <c r="O982" s="224"/>
      <c r="P982" s="224"/>
      <c r="Q982" s="224"/>
      <c r="R982" s="224"/>
      <c r="S982" s="224"/>
      <c r="T982" s="224"/>
    </row>
    <row r="983" spans="1:22">
      <c r="A983" s="219" t="s">
        <v>358</v>
      </c>
      <c r="B983" s="214" t="s">
        <v>99</v>
      </c>
      <c r="C983" s="215"/>
      <c r="D983" s="229">
        <v>45000</v>
      </c>
      <c r="E983" s="215"/>
      <c r="F983" s="229">
        <v>0</v>
      </c>
      <c r="G983" s="215"/>
      <c r="H983" s="220">
        <f>J983-F983</f>
        <v>50000</v>
      </c>
      <c r="I983" s="215"/>
      <c r="J983" s="229">
        <v>50000</v>
      </c>
      <c r="K983" s="215"/>
      <c r="L983" s="231">
        <v>100000</v>
      </c>
      <c r="M983" s="224"/>
      <c r="N983" s="224"/>
      <c r="O983" s="224"/>
      <c r="P983" s="224"/>
      <c r="Q983" s="224"/>
      <c r="R983" s="224"/>
      <c r="S983" s="224"/>
      <c r="T983" s="224"/>
    </row>
    <row r="984" spans="1:22">
      <c r="A984" s="219" t="s">
        <v>102</v>
      </c>
      <c r="B984" s="214" t="s">
        <v>103</v>
      </c>
      <c r="C984" s="215"/>
      <c r="D984" s="229">
        <v>101003</v>
      </c>
      <c r="E984" s="215"/>
      <c r="F984" s="229">
        <v>0</v>
      </c>
      <c r="G984" s="215"/>
      <c r="H984" s="220">
        <f>J984-F984</f>
        <v>138085</v>
      </c>
      <c r="I984" s="215"/>
      <c r="J984" s="229">
        <v>138085</v>
      </c>
      <c r="K984" s="215"/>
      <c r="L984" s="231">
        <v>152678</v>
      </c>
      <c r="M984" s="224"/>
      <c r="N984" s="224"/>
      <c r="O984" s="224"/>
      <c r="P984" s="224"/>
      <c r="Q984" s="224"/>
      <c r="R984" s="224"/>
      <c r="S984" s="224"/>
      <c r="T984" s="224"/>
    </row>
    <row r="985" spans="1:22">
      <c r="A985" s="219" t="s">
        <v>104</v>
      </c>
      <c r="B985" s="214" t="s">
        <v>105</v>
      </c>
      <c r="C985" s="215"/>
      <c r="D985" s="229">
        <v>15000</v>
      </c>
      <c r="E985" s="215"/>
      <c r="F985" s="229">
        <v>0</v>
      </c>
      <c r="G985" s="215"/>
      <c r="H985" s="220">
        <f>J985-F985</f>
        <v>25000</v>
      </c>
      <c r="I985" s="215"/>
      <c r="J985" s="229">
        <v>25000</v>
      </c>
      <c r="K985" s="215"/>
      <c r="L985" s="231">
        <v>25000</v>
      </c>
      <c r="M985" s="224"/>
      <c r="N985" s="224"/>
      <c r="O985" s="224"/>
      <c r="P985" s="224"/>
      <c r="Q985" s="224"/>
      <c r="R985" s="224"/>
      <c r="S985" s="224"/>
      <c r="T985" s="224"/>
    </row>
    <row r="986" spans="1:22">
      <c r="A986" s="219" t="s">
        <v>106</v>
      </c>
      <c r="B986" s="214" t="s">
        <v>107</v>
      </c>
      <c r="C986" s="215"/>
      <c r="D986" s="229">
        <v>101003</v>
      </c>
      <c r="E986" s="215"/>
      <c r="F986" s="229">
        <v>101003</v>
      </c>
      <c r="G986" s="215"/>
      <c r="H986" s="220">
        <f>J986-F986</f>
        <v>37082</v>
      </c>
      <c r="I986" s="215"/>
      <c r="J986" s="229">
        <v>138085</v>
      </c>
      <c r="K986" s="215"/>
      <c r="L986" s="231">
        <v>144727</v>
      </c>
      <c r="M986" s="224"/>
      <c r="N986" s="224"/>
      <c r="O986" s="224"/>
      <c r="P986" s="224"/>
      <c r="Q986" s="224"/>
      <c r="R986" s="224"/>
      <c r="S986" s="224"/>
      <c r="T986" s="224"/>
    </row>
    <row r="987" spans="1:22">
      <c r="A987" s="225" t="s">
        <v>340</v>
      </c>
      <c r="B987" s="214"/>
      <c r="C987" s="215"/>
      <c r="D987" s="226"/>
      <c r="E987" s="215"/>
      <c r="F987" s="226"/>
      <c r="G987" s="215"/>
      <c r="H987" s="226"/>
      <c r="I987" s="215"/>
      <c r="J987" s="226"/>
      <c r="K987" s="215"/>
      <c r="L987" s="228"/>
      <c r="M987" s="224"/>
      <c r="N987" s="224"/>
      <c r="O987" s="224"/>
      <c r="P987" s="224"/>
      <c r="Q987" s="224"/>
      <c r="R987" s="224"/>
      <c r="S987" s="224"/>
      <c r="T987" s="224"/>
    </row>
    <row r="988" spans="1:22">
      <c r="A988" s="219" t="s">
        <v>108</v>
      </c>
      <c r="B988" s="214" t="s">
        <v>109</v>
      </c>
      <c r="C988" s="215"/>
      <c r="D988" s="226">
        <v>145444.32</v>
      </c>
      <c r="E988" s="215"/>
      <c r="F988" s="226">
        <v>72722.16</v>
      </c>
      <c r="G988" s="215"/>
      <c r="H988" s="220">
        <f>J988-F988</f>
        <v>126130.68</v>
      </c>
      <c r="I988" s="215"/>
      <c r="J988" s="226">
        <v>198852.84</v>
      </c>
      <c r="K988" s="215"/>
      <c r="L988" s="228">
        <v>212058</v>
      </c>
      <c r="M988" s="224"/>
      <c r="N988" s="224"/>
      <c r="O988" s="224"/>
      <c r="P988" s="224"/>
      <c r="Q988" s="224"/>
      <c r="R988" s="224"/>
      <c r="S988" s="224"/>
      <c r="T988" s="224"/>
    </row>
    <row r="989" spans="1:22">
      <c r="A989" s="219" t="s">
        <v>110</v>
      </c>
      <c r="B989" s="214" t="s">
        <v>111</v>
      </c>
      <c r="C989" s="215"/>
      <c r="D989" s="229">
        <v>3600</v>
      </c>
      <c r="E989" s="215"/>
      <c r="F989" s="229">
        <v>3300</v>
      </c>
      <c r="G989" s="215"/>
      <c r="H989" s="220">
        <f>J989-F989</f>
        <v>8700</v>
      </c>
      <c r="I989" s="215"/>
      <c r="J989" s="229">
        <v>12000</v>
      </c>
      <c r="K989" s="215"/>
      <c r="L989" s="231">
        <v>12000</v>
      </c>
      <c r="M989" s="224"/>
      <c r="N989" s="224"/>
      <c r="O989" s="224"/>
      <c r="P989" s="224"/>
      <c r="Q989" s="224"/>
      <c r="R989" s="224"/>
      <c r="S989" s="224"/>
      <c r="T989" s="224"/>
    </row>
    <row r="990" spans="1:22">
      <c r="A990" s="219" t="s">
        <v>112</v>
      </c>
      <c r="B990" s="214" t="s">
        <v>113</v>
      </c>
      <c r="C990" s="215"/>
      <c r="D990" s="229">
        <v>24240.77</v>
      </c>
      <c r="E990" s="215"/>
      <c r="F990" s="229">
        <v>15150.48</v>
      </c>
      <c r="G990" s="215"/>
      <c r="H990" s="220">
        <f>J990-F990</f>
        <v>26277.2</v>
      </c>
      <c r="I990" s="215"/>
      <c r="J990" s="229">
        <v>41427.68</v>
      </c>
      <c r="K990" s="215"/>
      <c r="L990" s="231">
        <v>44178</v>
      </c>
      <c r="M990" s="224"/>
      <c r="N990" s="224"/>
      <c r="O990" s="224"/>
      <c r="P990" s="224"/>
      <c r="Q990" s="224"/>
      <c r="R990" s="224"/>
      <c r="S990" s="224"/>
      <c r="T990" s="224"/>
    </row>
    <row r="991" spans="1:22">
      <c r="A991" s="219" t="s">
        <v>114</v>
      </c>
      <c r="B991" s="214" t="s">
        <v>115</v>
      </c>
      <c r="C991" s="215"/>
      <c r="D991" s="229">
        <v>3600</v>
      </c>
      <c r="E991" s="215"/>
      <c r="F991" s="229">
        <v>1800</v>
      </c>
      <c r="G991" s="215"/>
      <c r="H991" s="220">
        <f>J991-F991</f>
        <v>4200</v>
      </c>
      <c r="I991" s="215"/>
      <c r="J991" s="229">
        <v>6000</v>
      </c>
      <c r="K991" s="215"/>
      <c r="L991" s="231">
        <v>6000</v>
      </c>
      <c r="M991" s="224"/>
      <c r="N991" s="224"/>
      <c r="O991" s="224"/>
      <c r="P991" s="224"/>
      <c r="Q991" s="224"/>
      <c r="R991" s="224"/>
      <c r="S991" s="224"/>
      <c r="T991" s="224"/>
    </row>
    <row r="992" spans="1:22">
      <c r="A992" s="225" t="s">
        <v>359</v>
      </c>
      <c r="B992" s="214"/>
      <c r="C992" s="221"/>
      <c r="D992" s="226"/>
      <c r="E992" s="215"/>
      <c r="F992" s="226"/>
      <c r="G992" s="215"/>
      <c r="H992" s="232"/>
      <c r="I992" s="215"/>
      <c r="J992" s="226"/>
      <c r="K992" s="215"/>
      <c r="L992" s="228"/>
      <c r="M992" s="224"/>
      <c r="N992" s="224"/>
      <c r="O992" s="224"/>
      <c r="P992" s="224"/>
      <c r="Q992" s="224"/>
      <c r="R992" s="224"/>
      <c r="S992" s="224"/>
      <c r="T992" s="224"/>
    </row>
    <row r="993" spans="1:22">
      <c r="A993" s="219" t="s">
        <v>399</v>
      </c>
      <c r="B993" s="214" t="s">
        <v>117</v>
      </c>
      <c r="C993" s="215"/>
      <c r="D993" s="220">
        <v>0</v>
      </c>
      <c r="E993" s="215"/>
      <c r="F993" s="220">
        <v>0</v>
      </c>
      <c r="G993" s="215"/>
      <c r="H993" s="220">
        <f>J993-F993</f>
        <v>0</v>
      </c>
      <c r="I993" s="215"/>
      <c r="J993" s="220">
        <v>0</v>
      </c>
      <c r="K993" s="215"/>
      <c r="L993" s="223">
        <v>0</v>
      </c>
      <c r="M993" s="224"/>
      <c r="N993" s="224"/>
      <c r="O993" s="224"/>
      <c r="P993" s="224"/>
      <c r="Q993" s="224"/>
      <c r="R993" s="224"/>
      <c r="S993" s="224"/>
      <c r="T993" s="224"/>
    </row>
    <row r="994" spans="1:22" customHeight="1" ht="15.75">
      <c r="A994" s="219" t="s">
        <v>341</v>
      </c>
      <c r="B994" s="214" t="s">
        <v>119</v>
      </c>
      <c r="C994" s="215"/>
      <c r="D994" s="239">
        <v>0</v>
      </c>
      <c r="E994" s="215"/>
      <c r="F994" s="239">
        <v>0</v>
      </c>
      <c r="G994" s="215"/>
      <c r="H994" s="239">
        <v>0</v>
      </c>
      <c r="I994" s="215"/>
      <c r="J994" s="239">
        <v>0</v>
      </c>
      <c r="K994" s="215"/>
      <c r="L994" s="257">
        <v>35000</v>
      </c>
      <c r="M994" s="224"/>
      <c r="N994" s="224"/>
      <c r="O994" s="224"/>
      <c r="P994" s="224"/>
      <c r="Q994" s="224"/>
      <c r="R994" s="224"/>
      <c r="S994" s="224"/>
      <c r="T994" s="224"/>
    </row>
    <row r="995" spans="1:22" customHeight="1" ht="15.75">
      <c r="A995" s="242" t="s">
        <v>120</v>
      </c>
      <c r="B995" s="243"/>
      <c r="C995" s="244" t="s">
        <v>23</v>
      </c>
      <c r="D995" s="245">
        <f>SUM(D976:D994)</f>
        <v>1899927.09</v>
      </c>
      <c r="E995" s="246" t="s">
        <v>23</v>
      </c>
      <c r="F995" s="245">
        <f>SUM(F976:F994)</f>
        <v>938593.64</v>
      </c>
      <c r="G995" s="246" t="s">
        <v>23</v>
      </c>
      <c r="H995" s="245">
        <f>SUM(H976:H994)</f>
        <v>1671163.88</v>
      </c>
      <c r="I995" s="246" t="s">
        <v>23</v>
      </c>
      <c r="J995" s="245">
        <f>SUM(J976:J994)</f>
        <v>2609757.52</v>
      </c>
      <c r="K995" s="246" t="s">
        <v>23</v>
      </c>
      <c r="L995" s="247">
        <f>SUM(L976:L994)</f>
        <v>2841977</v>
      </c>
      <c r="M995" s="248"/>
      <c r="N995" s="248"/>
      <c r="O995" s="248"/>
      <c r="P995" s="248"/>
      <c r="Q995" s="248"/>
      <c r="R995" s="248"/>
      <c r="S995" s="248"/>
      <c r="T995" s="248"/>
    </row>
    <row r="999" spans="1:22">
      <c r="J999" s="215"/>
    </row>
    <row r="1002" spans="1:22">
      <c r="A1002" s="273" t="s">
        <v>346</v>
      </c>
      <c r="B1002" s="273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4"/>
      <c r="N1002" s="274"/>
      <c r="O1002" s="274"/>
      <c r="P1002" s="274"/>
      <c r="Q1002" s="274"/>
      <c r="R1002" s="274"/>
      <c r="S1002" s="274"/>
      <c r="T1002" s="274"/>
    </row>
    <row r="1004" spans="1:22" customHeight="1" ht="15.75">
      <c r="A1004" s="183" t="s">
        <v>347</v>
      </c>
      <c r="B1004" s="183"/>
      <c r="C1004" s="183"/>
      <c r="D1004" s="183"/>
      <c r="E1004" s="183"/>
      <c r="F1004" s="183"/>
      <c r="G1004" s="183"/>
      <c r="H1004" s="183"/>
      <c r="I1004" s="183"/>
      <c r="J1004" s="183"/>
      <c r="K1004" s="183"/>
      <c r="L1004" s="183"/>
      <c r="M1004" s="184"/>
      <c r="N1004" s="184"/>
      <c r="O1004" s="184"/>
      <c r="P1004" s="184"/>
      <c r="Q1004" s="184"/>
      <c r="R1004" s="184"/>
      <c r="S1004" s="184"/>
      <c r="T1004" s="184"/>
    </row>
    <row r="1005" spans="1:22">
      <c r="A1005" s="185" t="s">
        <v>348</v>
      </c>
      <c r="B1005" s="185"/>
      <c r="C1005" s="185"/>
      <c r="D1005" s="185"/>
      <c r="E1005" s="185"/>
      <c r="F1005" s="185"/>
      <c r="G1005" s="185"/>
      <c r="H1005" s="185"/>
      <c r="I1005" s="185"/>
      <c r="J1005" s="185"/>
      <c r="K1005" s="185"/>
      <c r="L1005" s="185"/>
      <c r="M1005" s="186"/>
      <c r="N1005" s="186"/>
      <c r="O1005" s="186"/>
      <c r="P1005" s="186"/>
      <c r="Q1005" s="186"/>
      <c r="R1005" s="186"/>
      <c r="S1005" s="186"/>
      <c r="T1005" s="186"/>
    </row>
    <row r="1007" spans="1:22">
      <c r="A1007" s="187" t="s">
        <v>432</v>
      </c>
    </row>
    <row r="1008" spans="1:22" customHeight="1" ht="15.75"/>
    <row r="1009" spans="1:22">
      <c r="A1009" s="189"/>
      <c r="B1009" s="190"/>
      <c r="C1009" s="191" t="s">
        <v>350</v>
      </c>
      <c r="D1009" s="192"/>
      <c r="E1009" s="193" t="s">
        <v>351</v>
      </c>
      <c r="F1009" s="194"/>
      <c r="G1009" s="194"/>
      <c r="H1009" s="194"/>
      <c r="I1009" s="194"/>
      <c r="J1009" s="195"/>
      <c r="K1009" s="191" t="s">
        <v>352</v>
      </c>
      <c r="L1009" s="196"/>
      <c r="M1009" s="186"/>
      <c r="N1009" s="186"/>
      <c r="O1009" s="186"/>
      <c r="P1009" s="186"/>
      <c r="Q1009" s="186"/>
      <c r="R1009" s="186"/>
      <c r="S1009" s="186"/>
      <c r="T1009" s="186"/>
    </row>
    <row r="1010" spans="1:22">
      <c r="A1010" s="197" t="s">
        <v>353</v>
      </c>
      <c r="B1010" s="198" t="s">
        <v>354</v>
      </c>
      <c r="C1010" s="199">
        <v>2023</v>
      </c>
      <c r="D1010" s="200"/>
      <c r="E1010" s="201" t="s">
        <v>11</v>
      </c>
      <c r="F1010" s="202"/>
      <c r="G1010" s="201" t="s">
        <v>355</v>
      </c>
      <c r="H1010" s="202"/>
      <c r="I1010" s="203" t="s">
        <v>356</v>
      </c>
      <c r="J1010" s="204"/>
      <c r="K1010" s="199">
        <v>2025</v>
      </c>
      <c r="L1010" s="205"/>
      <c r="M1010" s="186"/>
      <c r="N1010" s="186"/>
      <c r="O1010" s="186"/>
      <c r="P1010" s="186"/>
      <c r="Q1010" s="186"/>
      <c r="R1010" s="186"/>
      <c r="S1010" s="186"/>
      <c r="T1010" s="186"/>
    </row>
    <row r="1011" spans="1:22" customHeight="1" ht="15.75">
      <c r="A1011" s="206"/>
      <c r="B1011" s="207"/>
      <c r="C1011" s="208" t="s">
        <v>17</v>
      </c>
      <c r="D1011" s="209"/>
      <c r="E1011" s="208" t="s">
        <v>17</v>
      </c>
      <c r="F1011" s="209"/>
      <c r="G1011" s="208" t="s">
        <v>18</v>
      </c>
      <c r="H1011" s="209"/>
      <c r="I1011" s="210"/>
      <c r="J1011" s="211"/>
      <c r="K1011" s="208" t="s">
        <v>357</v>
      </c>
      <c r="L1011" s="212"/>
      <c r="M1011" s="186"/>
      <c r="N1011" s="186"/>
      <c r="O1011" s="186"/>
      <c r="P1011" s="186"/>
      <c r="Q1011" s="186"/>
      <c r="R1011" s="186"/>
      <c r="S1011" s="186"/>
      <c r="T1011" s="186"/>
    </row>
    <row r="1012" spans="1:22">
      <c r="A1012" s="225" t="s">
        <v>121</v>
      </c>
      <c r="B1012" s="254"/>
      <c r="C1012" s="215"/>
      <c r="D1012" s="216"/>
      <c r="E1012" s="215"/>
      <c r="F1012" s="216"/>
      <c r="G1012" s="215"/>
      <c r="H1012" s="216"/>
      <c r="I1012" s="215"/>
      <c r="J1012" s="216"/>
      <c r="K1012" s="215"/>
      <c r="L1012" s="217"/>
      <c r="M1012" s="218"/>
      <c r="N1012" s="218"/>
      <c r="O1012" s="218"/>
      <c r="P1012" s="218"/>
      <c r="Q1012" s="218"/>
      <c r="R1012" s="218"/>
      <c r="S1012" s="218"/>
      <c r="T1012" s="218"/>
    </row>
    <row r="1013" spans="1:22">
      <c r="A1013" s="219" t="s">
        <v>122</v>
      </c>
      <c r="B1013" s="214" t="s">
        <v>123</v>
      </c>
      <c r="C1013" s="215" t="s">
        <v>23</v>
      </c>
      <c r="D1013" s="226">
        <v>61910</v>
      </c>
      <c r="E1013" s="215" t="s">
        <v>23</v>
      </c>
      <c r="F1013" s="226">
        <v>54762</v>
      </c>
      <c r="G1013" s="215" t="s">
        <v>23</v>
      </c>
      <c r="H1013" s="220">
        <f>J1013-F1013</f>
        <v>8138</v>
      </c>
      <c r="I1013" s="215" t="s">
        <v>23</v>
      </c>
      <c r="J1013" s="226">
        <v>62900</v>
      </c>
      <c r="K1013" s="215" t="s">
        <v>23</v>
      </c>
      <c r="L1013" s="228">
        <v>90000</v>
      </c>
      <c r="M1013" s="224"/>
      <c r="N1013" s="224"/>
      <c r="O1013" s="224"/>
      <c r="P1013" s="224"/>
      <c r="Q1013" s="224"/>
      <c r="R1013" s="224"/>
      <c r="S1013" s="224"/>
      <c r="T1013" s="224"/>
    </row>
    <row r="1014" spans="1:22">
      <c r="A1014" s="219" t="s">
        <v>124</v>
      </c>
      <c r="B1014" s="214" t="s">
        <v>125</v>
      </c>
      <c r="C1014" s="215"/>
      <c r="D1014" s="229">
        <v>19699</v>
      </c>
      <c r="E1014" s="215"/>
      <c r="F1014" s="229">
        <v>0</v>
      </c>
      <c r="G1014" s="215"/>
      <c r="H1014" s="229">
        <f>J1014-F1014</f>
        <v>70000</v>
      </c>
      <c r="I1014" s="215"/>
      <c r="J1014" s="229">
        <v>70000</v>
      </c>
      <c r="K1014" s="215"/>
      <c r="L1014" s="231">
        <v>80000</v>
      </c>
      <c r="M1014" s="224"/>
      <c r="N1014" s="224"/>
      <c r="O1014" s="224"/>
      <c r="P1014" s="224"/>
      <c r="Q1014" s="224"/>
      <c r="R1014" s="224"/>
      <c r="S1014" s="224"/>
      <c r="T1014" s="224"/>
    </row>
    <row r="1015" spans="1:22">
      <c r="A1015" s="219" t="s">
        <v>126</v>
      </c>
      <c r="B1015" s="214" t="s">
        <v>127</v>
      </c>
      <c r="C1015" s="215"/>
      <c r="D1015" s="229">
        <v>59171</v>
      </c>
      <c r="E1015" s="215"/>
      <c r="F1015" s="229">
        <v>25678.13</v>
      </c>
      <c r="G1015" s="215"/>
      <c r="H1015" s="229">
        <f>J1015-F1015</f>
        <v>56321.87</v>
      </c>
      <c r="I1015" s="215"/>
      <c r="J1015" s="229">
        <v>82000</v>
      </c>
      <c r="K1015" s="215"/>
      <c r="L1015" s="231">
        <v>82000</v>
      </c>
      <c r="M1015" s="224"/>
      <c r="N1015" s="224"/>
      <c r="O1015" s="224"/>
      <c r="P1015" s="224"/>
      <c r="Q1015" s="224"/>
      <c r="R1015" s="224"/>
      <c r="S1015" s="224"/>
      <c r="T1015" s="224"/>
    </row>
    <row r="1016" spans="1:22">
      <c r="A1016" s="219" t="s">
        <v>144</v>
      </c>
      <c r="B1016" s="214" t="s">
        <v>145</v>
      </c>
      <c r="D1016" s="229">
        <v>60000</v>
      </c>
      <c r="E1016" s="215"/>
      <c r="F1016" s="229">
        <v>30000</v>
      </c>
      <c r="G1016" s="215"/>
      <c r="H1016" s="229">
        <f>J1016-F1016</f>
        <v>30000</v>
      </c>
      <c r="I1016" s="215"/>
      <c r="J1016" s="229">
        <v>60000</v>
      </c>
      <c r="K1016" s="215"/>
      <c r="L1016" s="231">
        <v>24000</v>
      </c>
      <c r="M1016" s="224"/>
      <c r="N1016" s="224"/>
      <c r="O1016" s="224"/>
      <c r="P1016" s="224"/>
      <c r="Q1016" s="224"/>
      <c r="R1016" s="224"/>
      <c r="S1016" s="224"/>
      <c r="T1016" s="224"/>
    </row>
    <row r="1017" spans="1:22">
      <c r="A1017" s="219" t="s">
        <v>146</v>
      </c>
      <c r="B1017" s="214" t="s">
        <v>147</v>
      </c>
      <c r="D1017" s="229">
        <v>30000</v>
      </c>
      <c r="E1017" s="215"/>
      <c r="F1017" s="229">
        <v>17616.54</v>
      </c>
      <c r="G1017" s="215"/>
      <c r="H1017" s="229">
        <f>J1017-F1017</f>
        <v>12383.46</v>
      </c>
      <c r="I1017" s="215"/>
      <c r="J1017" s="229">
        <v>30000</v>
      </c>
      <c r="K1017" s="215"/>
      <c r="L1017" s="231">
        <v>35000</v>
      </c>
      <c r="M1017" s="224"/>
      <c r="N1017" s="224"/>
      <c r="O1017" s="224"/>
      <c r="P1017" s="224"/>
      <c r="Q1017" s="224"/>
      <c r="R1017" s="224"/>
      <c r="S1017" s="224"/>
      <c r="T1017" s="224"/>
    </row>
    <row r="1018" spans="1:22">
      <c r="A1018" s="219" t="s">
        <v>156</v>
      </c>
      <c r="B1018" s="214" t="s">
        <v>157</v>
      </c>
      <c r="D1018" s="229">
        <v>3400</v>
      </c>
      <c r="E1018" s="215"/>
      <c r="F1018" s="229">
        <v>0</v>
      </c>
      <c r="G1018" s="215"/>
      <c r="H1018" s="229">
        <f>J1018-F1018</f>
        <v>10000</v>
      </c>
      <c r="I1018" s="215"/>
      <c r="J1018" s="229">
        <v>10000</v>
      </c>
      <c r="K1018" s="215"/>
      <c r="L1018" s="231">
        <v>15000</v>
      </c>
      <c r="M1018" s="224"/>
      <c r="N1018" s="224"/>
      <c r="O1018" s="224"/>
      <c r="P1018" s="224"/>
      <c r="Q1018" s="224"/>
      <c r="R1018" s="224"/>
      <c r="S1018" s="224"/>
      <c r="T1018" s="224"/>
    </row>
    <row r="1019" spans="1:22">
      <c r="A1019" s="219" t="s">
        <v>412</v>
      </c>
      <c r="B1019" s="214" t="s">
        <v>161</v>
      </c>
      <c r="D1019" s="229"/>
      <c r="E1019" s="215"/>
      <c r="F1019" s="229"/>
      <c r="G1019" s="215"/>
      <c r="H1019" s="229"/>
      <c r="I1019" s="215"/>
      <c r="J1019" s="229"/>
      <c r="K1019" s="215"/>
      <c r="L1019" s="231">
        <v>152600</v>
      </c>
      <c r="M1019" s="224"/>
      <c r="N1019" s="224"/>
      <c r="O1019" s="224"/>
      <c r="P1019" s="224"/>
      <c r="Q1019" s="224"/>
      <c r="R1019" s="224"/>
      <c r="S1019" s="224"/>
      <c r="T1019" s="224"/>
    </row>
    <row r="1020" spans="1:22">
      <c r="A1020" s="219" t="s">
        <v>169</v>
      </c>
      <c r="B1020" s="214" t="s">
        <v>170</v>
      </c>
      <c r="D1020" s="226">
        <v>7758.13</v>
      </c>
      <c r="E1020" s="215"/>
      <c r="F1020" s="226">
        <v>0</v>
      </c>
      <c r="G1020" s="215"/>
      <c r="H1020" s="229">
        <f>J1020-F1020</f>
        <v>25000</v>
      </c>
      <c r="I1020" s="215"/>
      <c r="J1020" s="226">
        <v>25000</v>
      </c>
      <c r="K1020" s="215"/>
      <c r="L1020" s="228">
        <f>35000+26000</f>
        <v>61000</v>
      </c>
      <c r="M1020" s="224"/>
      <c r="N1020" s="224"/>
      <c r="O1020" s="224"/>
      <c r="P1020" s="224"/>
      <c r="Q1020" s="224"/>
      <c r="R1020" s="224"/>
      <c r="S1020" s="224"/>
      <c r="T1020" s="224"/>
    </row>
    <row r="1021" spans="1:22">
      <c r="A1021" s="219" t="s">
        <v>433</v>
      </c>
      <c r="B1021" s="214" t="s">
        <v>189</v>
      </c>
      <c r="D1021" s="229">
        <v>50360</v>
      </c>
      <c r="E1021" s="313"/>
      <c r="F1021" s="229">
        <v>0</v>
      </c>
      <c r="G1021" s="313"/>
      <c r="H1021" s="229">
        <f>J1021-F1021</f>
        <v>20000</v>
      </c>
      <c r="I1021" s="313"/>
      <c r="J1021" s="229">
        <v>20000</v>
      </c>
      <c r="K1021" s="313"/>
      <c r="L1021" s="231">
        <v>30000</v>
      </c>
      <c r="M1021" s="224"/>
      <c r="N1021" s="224"/>
      <c r="O1021" s="224"/>
      <c r="P1021" s="224"/>
      <c r="Q1021" s="224"/>
      <c r="R1021" s="224"/>
      <c r="S1021" s="224"/>
      <c r="T1021" s="224"/>
    </row>
    <row r="1022" spans="1:22">
      <c r="A1022" s="219" t="s">
        <v>434</v>
      </c>
      <c r="B1022" s="214" t="s">
        <v>191</v>
      </c>
      <c r="D1022" s="229">
        <v>89775</v>
      </c>
      <c r="E1022" s="313"/>
      <c r="F1022" s="229">
        <v>0</v>
      </c>
      <c r="G1022" s="313"/>
      <c r="H1022" s="229">
        <f>J1022-F1022</f>
        <v>90000</v>
      </c>
      <c r="I1022" s="313"/>
      <c r="J1022" s="229">
        <v>90000</v>
      </c>
      <c r="K1022" s="313"/>
      <c r="L1022" s="231">
        <v>120000</v>
      </c>
      <c r="M1022" s="224"/>
      <c r="N1022" s="224"/>
      <c r="O1022" s="224"/>
      <c r="P1022" s="224"/>
      <c r="Q1022" s="224"/>
      <c r="R1022" s="224"/>
      <c r="S1022" s="224"/>
      <c r="T1022" s="224"/>
    </row>
    <row r="1023" spans="1:22">
      <c r="A1023" s="219" t="s">
        <v>192</v>
      </c>
      <c r="B1023" s="214" t="s">
        <v>193</v>
      </c>
      <c r="D1023" s="229">
        <v>999635</v>
      </c>
      <c r="E1023" s="313"/>
      <c r="F1023" s="229">
        <v>0</v>
      </c>
      <c r="G1023" s="313"/>
      <c r="H1023" s="229">
        <f>J1023-F1023</f>
        <v>700000</v>
      </c>
      <c r="I1023" s="313"/>
      <c r="J1023" s="229">
        <v>700000</v>
      </c>
      <c r="K1023" s="313"/>
      <c r="L1023" s="231">
        <v>900000</v>
      </c>
      <c r="M1023" s="224"/>
      <c r="N1023" s="224"/>
      <c r="O1023" s="224"/>
      <c r="P1023" s="224"/>
      <c r="Q1023" s="224"/>
      <c r="R1023" s="224"/>
      <c r="S1023" s="224"/>
      <c r="T1023" s="224"/>
    </row>
    <row r="1024" spans="1:22">
      <c r="A1024" s="219" t="s">
        <v>194</v>
      </c>
      <c r="B1024" s="214" t="s">
        <v>195</v>
      </c>
      <c r="D1024" s="229">
        <v>494568.76</v>
      </c>
      <c r="E1024" s="313"/>
      <c r="F1024" s="229">
        <v>0</v>
      </c>
      <c r="G1024" s="313"/>
      <c r="H1024" s="229">
        <f>J1024-F1024</f>
        <v>269700</v>
      </c>
      <c r="I1024" s="313"/>
      <c r="J1024" s="229">
        <v>269700</v>
      </c>
      <c r="K1024" s="313"/>
      <c r="L1024" s="231">
        <v>500000</v>
      </c>
      <c r="M1024" s="224"/>
      <c r="N1024" s="224"/>
      <c r="O1024" s="224"/>
      <c r="P1024" s="224"/>
      <c r="Q1024" s="224"/>
      <c r="R1024" s="224"/>
      <c r="S1024" s="224"/>
      <c r="T1024" s="224"/>
    </row>
    <row r="1025" spans="1:22">
      <c r="A1025" s="219" t="s">
        <v>196</v>
      </c>
      <c r="B1025" s="214" t="s">
        <v>197</v>
      </c>
      <c r="D1025" s="229">
        <v>2099464</v>
      </c>
      <c r="E1025" s="215"/>
      <c r="F1025" s="229">
        <v>0</v>
      </c>
      <c r="G1025" s="215"/>
      <c r="H1025" s="229">
        <f>J1025-F1025</f>
        <v>1100000</v>
      </c>
      <c r="I1025" s="215"/>
      <c r="J1025" s="229">
        <v>1100000</v>
      </c>
      <c r="K1025" s="215"/>
      <c r="L1025" s="231">
        <v>1200000</v>
      </c>
      <c r="M1025" s="224"/>
      <c r="N1025" s="224"/>
      <c r="O1025" s="224"/>
      <c r="P1025" s="224"/>
      <c r="Q1025" s="224"/>
      <c r="R1025" s="224"/>
      <c r="S1025" s="224"/>
      <c r="T1025" s="224"/>
    </row>
    <row r="1026" spans="1:22" customHeight="1" ht="15.75">
      <c r="A1026" s="219" t="s">
        <v>435</v>
      </c>
      <c r="B1026" s="214" t="s">
        <v>436</v>
      </c>
      <c r="D1026" s="279">
        <v>237000</v>
      </c>
      <c r="E1026" s="215"/>
      <c r="F1026" s="279">
        <v>0</v>
      </c>
      <c r="G1026" s="215"/>
      <c r="H1026" s="229">
        <f>J1026-F1026</f>
        <v>0</v>
      </c>
      <c r="I1026" s="215"/>
      <c r="J1026" s="279">
        <v>0</v>
      </c>
      <c r="K1026" s="215"/>
      <c r="L1026" s="241">
        <v>0</v>
      </c>
      <c r="M1026" s="224"/>
      <c r="N1026" s="224"/>
      <c r="O1026" s="224"/>
      <c r="P1026" s="224"/>
      <c r="Q1026" s="224"/>
      <c r="R1026" s="224"/>
      <c r="S1026" s="224"/>
      <c r="T1026" s="224"/>
    </row>
    <row r="1027" spans="1:22" customHeight="1" ht="15.75">
      <c r="A1027" s="225" t="s">
        <v>200</v>
      </c>
      <c r="B1027" s="254"/>
      <c r="C1027" s="258" t="s">
        <v>23</v>
      </c>
      <c r="D1027" s="245">
        <f>SUM(D1013:D1026)</f>
        <v>4212740.89</v>
      </c>
      <c r="E1027" s="258" t="s">
        <v>23</v>
      </c>
      <c r="F1027" s="245">
        <f>SUM(F1013:F1026)</f>
        <v>128056.67</v>
      </c>
      <c r="G1027" s="258" t="s">
        <v>23</v>
      </c>
      <c r="H1027" s="245">
        <f>SUM(H1013:H1026)</f>
        <v>2391543.33</v>
      </c>
      <c r="I1027" s="258" t="s">
        <v>23</v>
      </c>
      <c r="J1027" s="245">
        <f>SUM(J1013:J1026)</f>
        <v>2519600</v>
      </c>
      <c r="K1027" s="258" t="s">
        <v>23</v>
      </c>
      <c r="L1027" s="247">
        <f>SUM(L1013:L1026)</f>
        <v>3289600</v>
      </c>
      <c r="M1027" s="248"/>
      <c r="N1027" s="248"/>
      <c r="O1027" s="248"/>
      <c r="P1027" s="248"/>
      <c r="Q1027" s="248"/>
      <c r="R1027" s="248"/>
      <c r="S1027" s="248"/>
      <c r="T1027" s="248"/>
    </row>
    <row r="1028" spans="1:22">
      <c r="A1028" s="225" t="s">
        <v>201</v>
      </c>
      <c r="B1028" s="254"/>
      <c r="D1028" s="280"/>
      <c r="E1028" s="215"/>
      <c r="F1028" s="280"/>
      <c r="G1028" s="215"/>
      <c r="H1028" s="280"/>
      <c r="I1028" s="215"/>
      <c r="J1028" s="280"/>
      <c r="K1028" s="215"/>
      <c r="L1028" s="281"/>
      <c r="M1028" s="224"/>
      <c r="N1028" s="224"/>
      <c r="O1028" s="224"/>
      <c r="P1028" s="224"/>
      <c r="Q1028" s="224"/>
      <c r="R1028" s="224"/>
      <c r="S1028" s="224"/>
      <c r="T1028" s="224"/>
    </row>
    <row r="1029" spans="1:22" customHeight="1" ht="15.75">
      <c r="A1029" s="219" t="s">
        <v>427</v>
      </c>
      <c r="B1029" s="254" t="s">
        <v>437</v>
      </c>
      <c r="C1029" s="215" t="s">
        <v>23</v>
      </c>
      <c r="D1029" s="220">
        <v>99000</v>
      </c>
      <c r="E1029" s="215"/>
      <c r="F1029" s="220"/>
      <c r="G1029" s="215"/>
      <c r="H1029" s="220"/>
      <c r="I1029" s="215"/>
      <c r="J1029" s="220"/>
      <c r="K1029" s="215"/>
      <c r="L1029" s="223">
        <v>230000</v>
      </c>
      <c r="M1029" s="224"/>
      <c r="N1029" s="224"/>
      <c r="O1029" s="224"/>
      <c r="P1029" s="224"/>
      <c r="Q1029" s="224"/>
      <c r="R1029" s="224"/>
      <c r="S1029" s="224"/>
      <c r="T1029" s="224"/>
    </row>
    <row r="1030" spans="1:22" customHeight="1" ht="15.75">
      <c r="A1030" s="225" t="s">
        <v>214</v>
      </c>
      <c r="B1030" s="214"/>
      <c r="C1030" s="258" t="s">
        <v>23</v>
      </c>
      <c r="D1030" s="283">
        <f>SUM(D1029:D1029)</f>
        <v>99000</v>
      </c>
      <c r="E1030" s="258" t="s">
        <v>23</v>
      </c>
      <c r="F1030" s="283">
        <f>SUM(F1029:F1029)</f>
        <v>0</v>
      </c>
      <c r="G1030" s="258" t="s">
        <v>23</v>
      </c>
      <c r="H1030" s="283">
        <f>SUM(H1029:H1029)</f>
        <v>0</v>
      </c>
      <c r="I1030" s="258" t="s">
        <v>23</v>
      </c>
      <c r="J1030" s="283">
        <f>SUM(J1029:J1029)</f>
        <v>0</v>
      </c>
      <c r="K1030" s="258" t="s">
        <v>23</v>
      </c>
      <c r="L1030" s="283">
        <f>SUM(L1029:L1029)</f>
        <v>230000</v>
      </c>
      <c r="M1030" s="248"/>
      <c r="N1030" s="248"/>
      <c r="O1030" s="248"/>
      <c r="P1030" s="248"/>
      <c r="Q1030" s="248"/>
      <c r="R1030" s="248"/>
      <c r="S1030" s="248"/>
      <c r="T1030" s="248"/>
    </row>
    <row r="1031" spans="1:22" customHeight="1" ht="15.75">
      <c r="A1031" s="284" t="s">
        <v>370</v>
      </c>
      <c r="B1031" s="285"/>
      <c r="C1031" s="286" t="s">
        <v>23</v>
      </c>
      <c r="D1031" s="287">
        <f>D995+D1027+D1030</f>
        <v>6211667.98</v>
      </c>
      <c r="E1031" s="288" t="s">
        <v>23</v>
      </c>
      <c r="F1031" s="287">
        <f>F995+F1027+F1030</f>
        <v>1066650.31</v>
      </c>
      <c r="G1031" s="288" t="s">
        <v>23</v>
      </c>
      <c r="H1031" s="287">
        <f>H995+H1027+H1030</f>
        <v>4062707.21</v>
      </c>
      <c r="I1031" s="288" t="s">
        <v>23</v>
      </c>
      <c r="J1031" s="287">
        <f>J995+J1027+J1030</f>
        <v>5129357.52</v>
      </c>
      <c r="K1031" s="288" t="s">
        <v>23</v>
      </c>
      <c r="L1031" s="287">
        <f>L995+L1027+L1030</f>
        <v>6361577</v>
      </c>
      <c r="M1031" s="261"/>
      <c r="N1031" s="261"/>
      <c r="O1031" s="261"/>
      <c r="P1031" s="261"/>
      <c r="Q1031" s="261"/>
      <c r="R1031" s="248"/>
      <c r="S1031" s="248"/>
      <c r="T1031" s="248"/>
    </row>
    <row r="1032" spans="1:22" customHeight="1" ht="15.75">
      <c r="A1032" s="215" t="s">
        <v>371</v>
      </c>
      <c r="B1032" s="215" t="s">
        <v>372</v>
      </c>
      <c r="C1032" s="215"/>
      <c r="D1032" s="215"/>
      <c r="E1032" s="215"/>
      <c r="F1032" s="215"/>
      <c r="G1032" s="215" t="s">
        <v>373</v>
      </c>
      <c r="H1032" s="215"/>
    </row>
    <row r="1034" spans="1:22">
      <c r="A1034" s="268" t="s">
        <v>438</v>
      </c>
      <c r="B1034" s="269" t="s">
        <v>374</v>
      </c>
      <c r="C1034" s="269"/>
      <c r="D1034" s="269"/>
      <c r="E1034" s="269"/>
      <c r="F1034" s="269"/>
      <c r="G1034" s="270"/>
      <c r="H1034" s="269" t="s">
        <v>326</v>
      </c>
      <c r="I1034" s="269"/>
      <c r="J1034" s="269"/>
      <c r="K1034" s="269"/>
      <c r="L1034" s="269"/>
      <c r="M1034" s="268"/>
      <c r="N1034" s="268"/>
      <c r="O1034" s="268"/>
      <c r="P1034" s="268"/>
      <c r="Q1034" s="268"/>
      <c r="R1034" s="268"/>
      <c r="S1034" s="268"/>
      <c r="T1034" s="268"/>
    </row>
    <row r="1035" spans="1:22">
      <c r="A1035" s="271" t="s">
        <v>439</v>
      </c>
      <c r="B1035" s="272" t="s">
        <v>375</v>
      </c>
      <c r="C1035" s="272"/>
      <c r="D1035" s="272"/>
      <c r="E1035" s="272"/>
      <c r="F1035" s="272"/>
      <c r="G1035" s="215"/>
      <c r="H1035" s="272" t="s">
        <v>327</v>
      </c>
      <c r="I1035" s="272"/>
      <c r="J1035" s="272"/>
      <c r="K1035" s="272"/>
      <c r="L1035" s="272"/>
      <c r="M1035" s="271"/>
      <c r="N1035" s="271"/>
      <c r="O1035" s="271"/>
      <c r="P1035" s="271"/>
      <c r="Q1035" s="271"/>
      <c r="R1035" s="271"/>
      <c r="S1035" s="271"/>
      <c r="T1035" s="271"/>
    </row>
    <row r="1039" spans="1:22">
      <c r="A1039" s="273" t="s">
        <v>346</v>
      </c>
      <c r="B1039" s="273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4"/>
      <c r="N1039" s="274"/>
      <c r="O1039" s="274"/>
      <c r="P1039" s="274"/>
      <c r="Q1039" s="274"/>
      <c r="R1039" s="274"/>
      <c r="S1039" s="274"/>
      <c r="T1039" s="274"/>
    </row>
    <row r="1041" spans="1:22" customHeight="1" ht="15.75">
      <c r="A1041" s="183" t="s">
        <v>347</v>
      </c>
      <c r="B1041" s="183"/>
      <c r="C1041" s="183"/>
      <c r="D1041" s="183"/>
      <c r="E1041" s="183"/>
      <c r="F1041" s="183"/>
      <c r="G1041" s="183"/>
      <c r="H1041" s="183"/>
      <c r="I1041" s="183"/>
      <c r="J1041" s="183"/>
      <c r="K1041" s="183"/>
      <c r="L1041" s="183"/>
      <c r="M1041" s="184"/>
      <c r="N1041" s="184"/>
      <c r="O1041" s="184"/>
      <c r="P1041" s="184"/>
      <c r="Q1041" s="184"/>
      <c r="R1041" s="184"/>
      <c r="S1041" s="184"/>
      <c r="T1041" s="184"/>
    </row>
    <row r="1042" spans="1:22">
      <c r="A1042" s="185" t="s">
        <v>348</v>
      </c>
      <c r="B1042" s="185"/>
      <c r="C1042" s="185"/>
      <c r="D1042" s="185"/>
      <c r="E1042" s="185"/>
      <c r="F1042" s="185"/>
      <c r="G1042" s="185"/>
      <c r="H1042" s="185"/>
      <c r="I1042" s="185"/>
      <c r="J1042" s="185"/>
      <c r="K1042" s="185"/>
      <c r="L1042" s="185"/>
      <c r="M1042" s="186"/>
      <c r="N1042" s="186"/>
      <c r="O1042" s="186"/>
      <c r="P1042" s="186"/>
      <c r="Q1042" s="186"/>
      <c r="R1042" s="186"/>
      <c r="S1042" s="186"/>
      <c r="T1042" s="186"/>
    </row>
    <row r="1044" spans="1:22">
      <c r="A1044" s="187" t="s">
        <v>440</v>
      </c>
    </row>
    <row r="1045" spans="1:22" customHeight="1" ht="15.75"/>
    <row r="1046" spans="1:22">
      <c r="A1046" s="189"/>
      <c r="B1046" s="190"/>
      <c r="C1046" s="191" t="s">
        <v>350</v>
      </c>
      <c r="D1046" s="192"/>
      <c r="E1046" s="193" t="s">
        <v>351</v>
      </c>
      <c r="F1046" s="194"/>
      <c r="G1046" s="194"/>
      <c r="H1046" s="194"/>
      <c r="I1046" s="194"/>
      <c r="J1046" s="195"/>
      <c r="K1046" s="191" t="s">
        <v>352</v>
      </c>
      <c r="L1046" s="196"/>
      <c r="M1046" s="186"/>
      <c r="N1046" s="186"/>
      <c r="O1046" s="186"/>
      <c r="P1046" s="186"/>
      <c r="Q1046" s="186"/>
      <c r="R1046" s="186"/>
      <c r="S1046" s="186"/>
      <c r="T1046" s="186"/>
    </row>
    <row r="1047" spans="1:22">
      <c r="A1047" s="197" t="s">
        <v>353</v>
      </c>
      <c r="B1047" s="198" t="s">
        <v>354</v>
      </c>
      <c r="C1047" s="199">
        <v>2023</v>
      </c>
      <c r="D1047" s="200"/>
      <c r="E1047" s="201" t="s">
        <v>11</v>
      </c>
      <c r="F1047" s="202"/>
      <c r="G1047" s="201" t="s">
        <v>355</v>
      </c>
      <c r="H1047" s="202"/>
      <c r="I1047" s="203" t="s">
        <v>356</v>
      </c>
      <c r="J1047" s="204"/>
      <c r="K1047" s="199">
        <v>2025</v>
      </c>
      <c r="L1047" s="205"/>
      <c r="M1047" s="186"/>
      <c r="N1047" s="186"/>
      <c r="O1047" s="186"/>
      <c r="P1047" s="186"/>
      <c r="Q1047" s="186"/>
      <c r="R1047" s="186"/>
      <c r="S1047" s="186"/>
      <c r="T1047" s="186"/>
    </row>
    <row r="1048" spans="1:22" customHeight="1" ht="15.75">
      <c r="A1048" s="206"/>
      <c r="B1048" s="207"/>
      <c r="C1048" s="208" t="s">
        <v>17</v>
      </c>
      <c r="D1048" s="209"/>
      <c r="E1048" s="208" t="s">
        <v>17</v>
      </c>
      <c r="F1048" s="209"/>
      <c r="G1048" s="208" t="s">
        <v>18</v>
      </c>
      <c r="H1048" s="209"/>
      <c r="I1048" s="210"/>
      <c r="J1048" s="211"/>
      <c r="K1048" s="208" t="s">
        <v>357</v>
      </c>
      <c r="L1048" s="212"/>
      <c r="M1048" s="186"/>
      <c r="N1048" s="186"/>
      <c r="O1048" s="186"/>
      <c r="P1048" s="186"/>
      <c r="Q1048" s="186"/>
      <c r="R1048" s="186"/>
      <c r="S1048" s="186"/>
      <c r="T1048" s="186"/>
    </row>
    <row r="1049" spans="1:22">
      <c r="A1049" s="213" t="s">
        <v>80</v>
      </c>
      <c r="B1049" s="214"/>
      <c r="C1049" s="215"/>
      <c r="D1049" s="216"/>
      <c r="E1049" s="215"/>
      <c r="F1049" s="216"/>
      <c r="G1049" s="215"/>
      <c r="H1049" s="216"/>
      <c r="I1049" s="215"/>
      <c r="J1049" s="216"/>
      <c r="K1049" s="215"/>
      <c r="L1049" s="217"/>
      <c r="M1049" s="218"/>
      <c r="N1049" s="218"/>
      <c r="O1049" s="218"/>
      <c r="P1049" s="218"/>
      <c r="Q1049" s="218"/>
      <c r="R1049" s="218"/>
      <c r="S1049" s="218"/>
      <c r="T1049" s="218"/>
    </row>
    <row r="1050" spans="1:22">
      <c r="A1050" s="219" t="s">
        <v>82</v>
      </c>
      <c r="B1050" s="214" t="s">
        <v>83</v>
      </c>
      <c r="C1050" s="215" t="s">
        <v>23</v>
      </c>
      <c r="D1050" s="314">
        <v>1181808</v>
      </c>
      <c r="E1050" s="215" t="s">
        <v>23</v>
      </c>
      <c r="F1050" s="220">
        <v>590904</v>
      </c>
      <c r="G1050" s="215" t="s">
        <v>23</v>
      </c>
      <c r="H1050" s="220">
        <f>J1050-F1050</f>
        <v>590904</v>
      </c>
      <c r="I1050" s="215" t="s">
        <v>23</v>
      </c>
      <c r="J1050" s="220">
        <v>1181808</v>
      </c>
      <c r="K1050" s="215" t="s">
        <v>23</v>
      </c>
      <c r="L1050" s="223">
        <v>1272977</v>
      </c>
      <c r="M1050" s="224"/>
      <c r="N1050" s="224"/>
      <c r="O1050" s="224"/>
      <c r="P1050" s="224"/>
      <c r="Q1050" s="224"/>
      <c r="R1050" s="224"/>
      <c r="S1050" s="224"/>
      <c r="T1050" s="224"/>
    </row>
    <row r="1051" spans="1:22">
      <c r="A1051" s="225" t="s">
        <v>338</v>
      </c>
      <c r="B1051" s="214"/>
      <c r="C1051" s="215"/>
      <c r="D1051" s="226"/>
      <c r="E1051" s="215"/>
      <c r="F1051" s="226"/>
      <c r="G1051" s="215"/>
      <c r="H1051" s="226"/>
      <c r="I1051" s="215"/>
      <c r="J1051" s="226"/>
      <c r="K1051" s="215"/>
      <c r="L1051" s="228"/>
      <c r="M1051" s="224"/>
      <c r="N1051" s="224"/>
      <c r="O1051" s="224"/>
      <c r="P1051" s="224"/>
      <c r="Q1051" s="224"/>
      <c r="R1051" s="224"/>
      <c r="S1051" s="224"/>
      <c r="T1051" s="224"/>
    </row>
    <row r="1052" spans="1:22">
      <c r="A1052" s="219" t="s">
        <v>84</v>
      </c>
      <c r="B1052" s="214" t="s">
        <v>85</v>
      </c>
      <c r="C1052" s="215"/>
      <c r="D1052" s="226">
        <v>48000</v>
      </c>
      <c r="E1052" s="215"/>
      <c r="F1052" s="226">
        <v>24000</v>
      </c>
      <c r="G1052" s="215"/>
      <c r="H1052" s="220">
        <f>J1052-F1052</f>
        <v>24000</v>
      </c>
      <c r="I1052" s="215"/>
      <c r="J1052" s="226">
        <v>48000</v>
      </c>
      <c r="K1052" s="215"/>
      <c r="L1052" s="228">
        <v>48000</v>
      </c>
      <c r="M1052" s="224"/>
      <c r="N1052" s="224"/>
      <c r="O1052" s="224"/>
      <c r="P1052" s="224"/>
      <c r="Q1052" s="224"/>
      <c r="R1052" s="224"/>
      <c r="S1052" s="224"/>
      <c r="T1052" s="224"/>
    </row>
    <row r="1053" spans="1:22">
      <c r="A1053" s="219" t="s">
        <v>86</v>
      </c>
      <c r="B1053" s="214" t="s">
        <v>87</v>
      </c>
      <c r="C1053" s="215"/>
      <c r="D1053" s="229">
        <v>72000</v>
      </c>
      <c r="E1053" s="215"/>
      <c r="F1053" s="229">
        <v>36000</v>
      </c>
      <c r="G1053" s="215"/>
      <c r="H1053" s="220">
        <f>J1053-F1053</f>
        <v>36000</v>
      </c>
      <c r="I1053" s="215"/>
      <c r="J1053" s="229">
        <v>72000</v>
      </c>
      <c r="K1053" s="215"/>
      <c r="L1053" s="231">
        <v>81600</v>
      </c>
      <c r="M1053" s="224"/>
      <c r="N1053" s="224"/>
      <c r="O1053" s="224"/>
      <c r="P1053" s="224"/>
      <c r="Q1053" s="224"/>
      <c r="R1053" s="224"/>
      <c r="S1053" s="224"/>
      <c r="T1053" s="224"/>
    </row>
    <row r="1054" spans="1:22">
      <c r="A1054" s="219" t="s">
        <v>88</v>
      </c>
      <c r="B1054" s="214" t="s">
        <v>89</v>
      </c>
      <c r="C1054" s="215"/>
      <c r="D1054" s="229">
        <v>72000</v>
      </c>
      <c r="E1054" s="215"/>
      <c r="F1054" s="229">
        <v>36000</v>
      </c>
      <c r="G1054" s="215"/>
      <c r="H1054" s="220">
        <f>J1054-F1054</f>
        <v>36000</v>
      </c>
      <c r="I1054" s="215"/>
      <c r="J1054" s="229">
        <v>72000</v>
      </c>
      <c r="K1054" s="215"/>
      <c r="L1054" s="231">
        <v>81600</v>
      </c>
      <c r="M1054" s="224"/>
      <c r="N1054" s="224"/>
      <c r="O1054" s="224"/>
      <c r="P1054" s="224"/>
      <c r="Q1054" s="224"/>
      <c r="R1054" s="224"/>
      <c r="S1054" s="224"/>
      <c r="T1054" s="224"/>
    </row>
    <row r="1055" spans="1:22">
      <c r="A1055" s="219" t="s">
        <v>90</v>
      </c>
      <c r="B1055" s="214" t="s">
        <v>91</v>
      </c>
      <c r="C1055" s="215"/>
      <c r="D1055" s="229">
        <v>12000</v>
      </c>
      <c r="E1055" s="215"/>
      <c r="F1055" s="229">
        <v>12000</v>
      </c>
      <c r="G1055" s="215"/>
      <c r="H1055" s="220">
        <f>J1055-F1055</f>
        <v>0</v>
      </c>
      <c r="I1055" s="215"/>
      <c r="J1055" s="229">
        <v>12000</v>
      </c>
      <c r="K1055" s="215"/>
      <c r="L1055" s="231">
        <v>14000</v>
      </c>
      <c r="M1055" s="224"/>
      <c r="N1055" s="224"/>
      <c r="O1055" s="224"/>
      <c r="P1055" s="224"/>
      <c r="Q1055" s="224"/>
      <c r="R1055" s="224"/>
      <c r="S1055" s="224"/>
      <c r="T1055" s="224"/>
    </row>
    <row r="1056" spans="1:22">
      <c r="A1056" s="219" t="s">
        <v>96</v>
      </c>
      <c r="B1056" s="214" t="s">
        <v>97</v>
      </c>
      <c r="C1056" s="215"/>
      <c r="D1056" s="229">
        <v>10000</v>
      </c>
      <c r="E1056" s="215"/>
      <c r="F1056" s="229">
        <v>0</v>
      </c>
      <c r="G1056" s="215"/>
      <c r="H1056" s="220">
        <f>J1056-F1056</f>
        <v>10000</v>
      </c>
      <c r="I1056" s="215"/>
      <c r="J1056" s="229">
        <v>10000</v>
      </c>
      <c r="K1056" s="215"/>
      <c r="L1056" s="231">
        <v>10000</v>
      </c>
      <c r="M1056" s="224"/>
      <c r="N1056" s="224"/>
      <c r="O1056" s="224"/>
      <c r="P1056" s="224"/>
      <c r="Q1056" s="224"/>
      <c r="R1056" s="224"/>
      <c r="S1056" s="224"/>
      <c r="T1056" s="224"/>
    </row>
    <row r="1057" spans="1:22">
      <c r="A1057" s="219" t="s">
        <v>358</v>
      </c>
      <c r="B1057" s="214" t="s">
        <v>99</v>
      </c>
      <c r="C1057" s="215"/>
      <c r="D1057" s="229">
        <v>30000</v>
      </c>
      <c r="E1057" s="215"/>
      <c r="F1057" s="229">
        <v>0</v>
      </c>
      <c r="G1057" s="215"/>
      <c r="H1057" s="220">
        <f>J1057-F1057</f>
        <v>20000</v>
      </c>
      <c r="I1057" s="215"/>
      <c r="J1057" s="229">
        <v>20000</v>
      </c>
      <c r="K1057" s="215"/>
      <c r="L1057" s="231">
        <v>40000</v>
      </c>
      <c r="M1057" s="224"/>
      <c r="N1057" s="224"/>
      <c r="O1057" s="224"/>
      <c r="P1057" s="224"/>
      <c r="Q1057" s="224"/>
      <c r="R1057" s="224"/>
      <c r="S1057" s="224"/>
      <c r="T1057" s="224"/>
    </row>
    <row r="1058" spans="1:22">
      <c r="A1058" s="219" t="s">
        <v>102</v>
      </c>
      <c r="B1058" s="214" t="s">
        <v>103</v>
      </c>
      <c r="C1058" s="215"/>
      <c r="D1058" s="229">
        <v>98484</v>
      </c>
      <c r="E1058" s="215"/>
      <c r="F1058" s="229">
        <v>0</v>
      </c>
      <c r="G1058" s="215"/>
      <c r="H1058" s="220">
        <f>J1058-F1058</f>
        <v>98484</v>
      </c>
      <c r="I1058" s="215"/>
      <c r="J1058" s="229">
        <v>98484</v>
      </c>
      <c r="K1058" s="215"/>
      <c r="L1058" s="231">
        <v>109144</v>
      </c>
      <c r="M1058" s="224"/>
      <c r="N1058" s="224"/>
      <c r="O1058" s="224"/>
      <c r="P1058" s="224"/>
      <c r="Q1058" s="224"/>
      <c r="R1058" s="224"/>
      <c r="S1058" s="224"/>
      <c r="T1058" s="224"/>
    </row>
    <row r="1059" spans="1:22">
      <c r="A1059" s="219" t="s">
        <v>104</v>
      </c>
      <c r="B1059" s="214" t="s">
        <v>105</v>
      </c>
      <c r="C1059" s="215"/>
      <c r="D1059" s="229">
        <v>10000</v>
      </c>
      <c r="E1059" s="215"/>
      <c r="F1059" s="229">
        <v>0</v>
      </c>
      <c r="G1059" s="215"/>
      <c r="H1059" s="220">
        <f>J1059-F1059</f>
        <v>10000</v>
      </c>
      <c r="I1059" s="215"/>
      <c r="J1059" s="229">
        <v>10000</v>
      </c>
      <c r="K1059" s="215"/>
      <c r="L1059" s="231">
        <v>10000</v>
      </c>
      <c r="M1059" s="224"/>
      <c r="N1059" s="224"/>
      <c r="O1059" s="224"/>
      <c r="P1059" s="224"/>
      <c r="Q1059" s="224"/>
      <c r="R1059" s="224"/>
      <c r="S1059" s="224"/>
      <c r="T1059" s="224"/>
    </row>
    <row r="1060" spans="1:22">
      <c r="A1060" s="219" t="s">
        <v>106</v>
      </c>
      <c r="B1060" s="214" t="s">
        <v>107</v>
      </c>
      <c r="C1060" s="215"/>
      <c r="D1060" s="229">
        <v>98484</v>
      </c>
      <c r="E1060" s="215"/>
      <c r="F1060" s="229">
        <v>98484</v>
      </c>
      <c r="G1060" s="215"/>
      <c r="H1060" s="220">
        <f>J1060-F1060</f>
        <v>0</v>
      </c>
      <c r="I1060" s="215"/>
      <c r="J1060" s="229">
        <v>98484</v>
      </c>
      <c r="K1060" s="215"/>
      <c r="L1060" s="231">
        <v>104465</v>
      </c>
      <c r="M1060" s="224"/>
      <c r="N1060" s="224"/>
      <c r="O1060" s="224"/>
      <c r="P1060" s="224"/>
      <c r="Q1060" s="224"/>
      <c r="R1060" s="224"/>
      <c r="S1060" s="224"/>
      <c r="T1060" s="224"/>
    </row>
    <row r="1061" spans="1:22">
      <c r="A1061" s="225" t="s">
        <v>340</v>
      </c>
      <c r="B1061" s="214"/>
      <c r="C1061" s="215"/>
      <c r="D1061" s="226"/>
      <c r="E1061" s="215"/>
      <c r="F1061" s="226"/>
      <c r="G1061" s="215"/>
      <c r="H1061" s="226"/>
      <c r="I1061" s="215"/>
      <c r="J1061" s="226"/>
      <c r="K1061" s="215"/>
      <c r="L1061" s="228"/>
      <c r="M1061" s="224"/>
      <c r="N1061" s="224"/>
      <c r="O1061" s="224"/>
      <c r="P1061" s="224"/>
      <c r="Q1061" s="224"/>
      <c r="R1061" s="224"/>
      <c r="S1061" s="224"/>
      <c r="T1061" s="224"/>
    </row>
    <row r="1062" spans="1:22">
      <c r="A1062" s="219" t="s">
        <v>108</v>
      </c>
      <c r="B1062" s="214" t="s">
        <v>109</v>
      </c>
      <c r="C1062" s="215"/>
      <c r="D1062" s="226">
        <v>141816.96</v>
      </c>
      <c r="E1062" s="215"/>
      <c r="F1062" s="226">
        <v>70908.48</v>
      </c>
      <c r="G1062" s="215"/>
      <c r="H1062" s="220">
        <f>J1062-F1062</f>
        <v>70908.48</v>
      </c>
      <c r="I1062" s="215"/>
      <c r="J1062" s="226">
        <v>141816.96</v>
      </c>
      <c r="K1062" s="215"/>
      <c r="L1062" s="228">
        <v>152757</v>
      </c>
      <c r="M1062" s="224"/>
      <c r="N1062" s="224"/>
      <c r="O1062" s="224"/>
      <c r="P1062" s="224"/>
      <c r="Q1062" s="224"/>
      <c r="R1062" s="224"/>
      <c r="S1062" s="224"/>
      <c r="T1062" s="224"/>
    </row>
    <row r="1063" spans="1:22">
      <c r="A1063" s="219" t="s">
        <v>110</v>
      </c>
      <c r="B1063" s="214" t="s">
        <v>111</v>
      </c>
      <c r="C1063" s="215"/>
      <c r="D1063" s="229">
        <v>2400</v>
      </c>
      <c r="E1063" s="215"/>
      <c r="F1063" s="229">
        <v>1200</v>
      </c>
      <c r="G1063" s="215"/>
      <c r="H1063" s="220">
        <f>J1063-F1063</f>
        <v>1200</v>
      </c>
      <c r="I1063" s="215"/>
      <c r="J1063" s="229">
        <v>2400</v>
      </c>
      <c r="K1063" s="215"/>
      <c r="L1063" s="231">
        <v>4800</v>
      </c>
      <c r="M1063" s="224"/>
      <c r="N1063" s="224"/>
      <c r="O1063" s="224"/>
      <c r="P1063" s="224"/>
      <c r="Q1063" s="224"/>
      <c r="R1063" s="224"/>
      <c r="S1063" s="224"/>
      <c r="T1063" s="224"/>
    </row>
    <row r="1064" spans="1:22">
      <c r="A1064" s="219" t="s">
        <v>112</v>
      </c>
      <c r="B1064" s="214" t="s">
        <v>113</v>
      </c>
      <c r="C1064" s="215"/>
      <c r="D1064" s="229">
        <v>23636.16</v>
      </c>
      <c r="E1064" s="215"/>
      <c r="F1064" s="229">
        <v>11818.08</v>
      </c>
      <c r="G1064" s="215"/>
      <c r="H1064" s="220">
        <f>J1064-F1064</f>
        <v>14772.6</v>
      </c>
      <c r="I1064" s="215"/>
      <c r="J1064" s="229">
        <v>26590.68</v>
      </c>
      <c r="K1064" s="215"/>
      <c r="L1064" s="231">
        <v>31825</v>
      </c>
      <c r="M1064" s="224"/>
      <c r="N1064" s="224"/>
      <c r="O1064" s="224"/>
      <c r="P1064" s="224"/>
      <c r="Q1064" s="224"/>
      <c r="R1064" s="224"/>
      <c r="S1064" s="224"/>
      <c r="T1064" s="224"/>
    </row>
    <row r="1065" spans="1:22">
      <c r="A1065" s="219" t="s">
        <v>114</v>
      </c>
      <c r="B1065" s="214" t="s">
        <v>115</v>
      </c>
      <c r="C1065" s="215"/>
      <c r="D1065" s="229">
        <v>2400</v>
      </c>
      <c r="E1065" s="215"/>
      <c r="F1065" s="229">
        <v>1200</v>
      </c>
      <c r="G1065" s="215"/>
      <c r="H1065" s="220">
        <f>J1065-F1065</f>
        <v>1200</v>
      </c>
      <c r="I1065" s="215"/>
      <c r="J1065" s="229">
        <v>2400</v>
      </c>
      <c r="K1065" s="215"/>
      <c r="L1065" s="231">
        <v>2400</v>
      </c>
      <c r="M1065" s="224"/>
      <c r="N1065" s="224"/>
      <c r="O1065" s="224"/>
      <c r="P1065" s="224"/>
      <c r="Q1065" s="224"/>
      <c r="R1065" s="224"/>
      <c r="S1065" s="224"/>
      <c r="T1065" s="224"/>
    </row>
    <row r="1066" spans="1:22">
      <c r="A1066" s="225" t="s">
        <v>359</v>
      </c>
      <c r="B1066" s="214"/>
      <c r="C1066" s="221"/>
      <c r="D1066" s="226"/>
      <c r="E1066" s="215"/>
      <c r="F1066" s="226"/>
      <c r="G1066" s="215"/>
      <c r="H1066" s="226"/>
      <c r="I1066" s="215"/>
      <c r="J1066" s="226"/>
      <c r="K1066" s="215"/>
      <c r="L1066" s="228"/>
      <c r="M1066" s="224"/>
      <c r="N1066" s="224"/>
      <c r="O1066" s="224"/>
      <c r="P1066" s="224"/>
      <c r="Q1066" s="224"/>
      <c r="R1066" s="224"/>
      <c r="S1066" s="224"/>
      <c r="T1066" s="224"/>
    </row>
    <row r="1067" spans="1:22" customHeight="1" ht="15.75">
      <c r="A1067" s="219" t="s">
        <v>361</v>
      </c>
      <c r="B1067" s="214" t="s">
        <v>119</v>
      </c>
      <c r="C1067" s="215"/>
      <c r="D1067" s="239">
        <v>0</v>
      </c>
      <c r="E1067" s="215"/>
      <c r="F1067" s="239">
        <v>0</v>
      </c>
      <c r="G1067" s="215"/>
      <c r="H1067" s="239">
        <f>J1067-F1067</f>
        <v>0</v>
      </c>
      <c r="I1067" s="215"/>
      <c r="J1067" s="239">
        <v>0</v>
      </c>
      <c r="K1067" s="215"/>
      <c r="L1067" s="257">
        <v>14000</v>
      </c>
      <c r="M1067" s="224"/>
      <c r="N1067" s="224"/>
      <c r="O1067" s="224"/>
      <c r="P1067" s="224"/>
      <c r="Q1067" s="224"/>
      <c r="R1067" s="224"/>
      <c r="S1067" s="224"/>
      <c r="T1067" s="224"/>
    </row>
    <row r="1068" spans="1:22" customHeight="1" ht="15.75">
      <c r="A1068" s="242" t="s">
        <v>120</v>
      </c>
      <c r="B1068" s="243"/>
      <c r="C1068" s="244" t="s">
        <v>23</v>
      </c>
      <c r="D1068" s="245">
        <f>SUM(D1050:D1067)</f>
        <v>1803029.12</v>
      </c>
      <c r="E1068" s="246" t="s">
        <v>23</v>
      </c>
      <c r="F1068" s="245">
        <f>SUM(F1050:F1067)</f>
        <v>882514.56</v>
      </c>
      <c r="G1068" s="246" t="s">
        <v>23</v>
      </c>
      <c r="H1068" s="245">
        <f>SUM(H1050:H1067)</f>
        <v>913469.08</v>
      </c>
      <c r="I1068" s="246" t="s">
        <v>23</v>
      </c>
      <c r="J1068" s="245">
        <f>SUM(J1050:J1067)</f>
        <v>1795983.64</v>
      </c>
      <c r="K1068" s="246" t="s">
        <v>23</v>
      </c>
      <c r="L1068" s="300">
        <f>SUM(L1050:L1067)</f>
        <v>1977568</v>
      </c>
      <c r="M1068" s="248"/>
      <c r="N1068" s="248"/>
      <c r="O1068" s="248"/>
      <c r="P1068" s="248"/>
      <c r="Q1068" s="248"/>
      <c r="R1068" s="248"/>
      <c r="S1068" s="248"/>
      <c r="T1068" s="248"/>
    </row>
    <row r="1072" spans="1:22">
      <c r="J1072" s="215"/>
    </row>
    <row r="1076" spans="1:22">
      <c r="A1076" s="273" t="s">
        <v>346</v>
      </c>
      <c r="B1076" s="273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4"/>
      <c r="N1076" s="274"/>
      <c r="O1076" s="274"/>
      <c r="P1076" s="274"/>
      <c r="Q1076" s="274"/>
      <c r="R1076" s="274"/>
      <c r="S1076" s="274"/>
      <c r="T1076" s="274"/>
    </row>
    <row r="1078" spans="1:22" customHeight="1" ht="15.75">
      <c r="A1078" s="183" t="s">
        <v>347</v>
      </c>
      <c r="B1078" s="183"/>
      <c r="C1078" s="183"/>
      <c r="D1078" s="183"/>
      <c r="E1078" s="183"/>
      <c r="F1078" s="183"/>
      <c r="G1078" s="183"/>
      <c r="H1078" s="183"/>
      <c r="I1078" s="183"/>
      <c r="J1078" s="183"/>
      <c r="K1078" s="183"/>
      <c r="L1078" s="183"/>
      <c r="M1078" s="184"/>
      <c r="N1078" s="184"/>
      <c r="O1078" s="184"/>
      <c r="P1078" s="184"/>
      <c r="Q1078" s="184"/>
      <c r="R1078" s="184"/>
      <c r="S1078" s="184"/>
      <c r="T1078" s="184"/>
    </row>
    <row r="1079" spans="1:22">
      <c r="A1079" s="185" t="s">
        <v>348</v>
      </c>
      <c r="B1079" s="185"/>
      <c r="C1079" s="185"/>
      <c r="D1079" s="185"/>
      <c r="E1079" s="185"/>
      <c r="F1079" s="185"/>
      <c r="G1079" s="185"/>
      <c r="H1079" s="185"/>
      <c r="I1079" s="185"/>
      <c r="J1079" s="185"/>
      <c r="K1079" s="185"/>
      <c r="L1079" s="185"/>
      <c r="M1079" s="186"/>
      <c r="N1079" s="186"/>
      <c r="O1079" s="186"/>
      <c r="P1079" s="186"/>
      <c r="Q1079" s="186"/>
      <c r="R1079" s="186"/>
      <c r="S1079" s="186"/>
      <c r="T1079" s="186"/>
    </row>
    <row r="1081" spans="1:22">
      <c r="A1081" s="187" t="s">
        <v>440</v>
      </c>
    </row>
    <row r="1082" spans="1:22" customHeight="1" ht="15.75"/>
    <row r="1083" spans="1:22">
      <c r="A1083" s="189"/>
      <c r="B1083" s="190"/>
      <c r="C1083" s="191" t="s">
        <v>350</v>
      </c>
      <c r="D1083" s="192"/>
      <c r="E1083" s="193" t="s">
        <v>351</v>
      </c>
      <c r="F1083" s="194"/>
      <c r="G1083" s="194"/>
      <c r="H1083" s="194"/>
      <c r="I1083" s="194"/>
      <c r="J1083" s="195"/>
      <c r="K1083" s="191" t="s">
        <v>352</v>
      </c>
      <c r="L1083" s="196"/>
      <c r="M1083" s="186"/>
      <c r="N1083" s="186"/>
      <c r="O1083" s="186"/>
      <c r="P1083" s="186"/>
      <c r="Q1083" s="186"/>
      <c r="R1083" s="186"/>
      <c r="S1083" s="186"/>
      <c r="T1083" s="186"/>
    </row>
    <row r="1084" spans="1:22">
      <c r="A1084" s="197" t="s">
        <v>353</v>
      </c>
      <c r="B1084" s="198" t="s">
        <v>354</v>
      </c>
      <c r="C1084" s="199">
        <v>2023</v>
      </c>
      <c r="D1084" s="200"/>
      <c r="E1084" s="201" t="s">
        <v>11</v>
      </c>
      <c r="F1084" s="202"/>
      <c r="G1084" s="201" t="s">
        <v>355</v>
      </c>
      <c r="H1084" s="202"/>
      <c r="I1084" s="203" t="s">
        <v>356</v>
      </c>
      <c r="J1084" s="204"/>
      <c r="K1084" s="199">
        <v>2025</v>
      </c>
      <c r="L1084" s="205"/>
      <c r="M1084" s="186"/>
      <c r="N1084" s="186"/>
      <c r="O1084" s="186"/>
      <c r="P1084" s="186"/>
      <c r="Q1084" s="186"/>
      <c r="R1084" s="186"/>
      <c r="S1084" s="186"/>
      <c r="T1084" s="186"/>
    </row>
    <row r="1085" spans="1:22" customHeight="1" ht="15.75">
      <c r="A1085" s="206"/>
      <c r="B1085" s="207"/>
      <c r="C1085" s="208" t="s">
        <v>17</v>
      </c>
      <c r="D1085" s="209"/>
      <c r="E1085" s="208" t="s">
        <v>17</v>
      </c>
      <c r="F1085" s="209"/>
      <c r="G1085" s="208" t="s">
        <v>18</v>
      </c>
      <c r="H1085" s="209"/>
      <c r="I1085" s="210"/>
      <c r="J1085" s="211"/>
      <c r="K1085" s="208" t="s">
        <v>357</v>
      </c>
      <c r="L1085" s="212"/>
      <c r="M1085" s="186"/>
      <c r="N1085" s="186"/>
      <c r="O1085" s="186"/>
      <c r="P1085" s="186"/>
      <c r="Q1085" s="186"/>
      <c r="R1085" s="186"/>
      <c r="S1085" s="186"/>
      <c r="T1085" s="186"/>
    </row>
    <row r="1086" spans="1:22">
      <c r="A1086" s="225" t="s">
        <v>121</v>
      </c>
      <c r="B1086" s="254"/>
      <c r="C1086" s="215"/>
      <c r="D1086" s="216"/>
      <c r="E1086" s="215"/>
      <c r="F1086" s="216"/>
      <c r="G1086" s="215"/>
      <c r="H1086" s="216"/>
      <c r="I1086" s="215"/>
      <c r="J1086" s="216"/>
      <c r="K1086" s="215"/>
      <c r="L1086" s="217"/>
      <c r="M1086" s="218"/>
      <c r="N1086" s="218"/>
      <c r="O1086" s="218"/>
      <c r="P1086" s="218"/>
      <c r="Q1086" s="218"/>
      <c r="R1086" s="218"/>
      <c r="S1086" s="218"/>
      <c r="T1086" s="218"/>
    </row>
    <row r="1087" spans="1:22">
      <c r="A1087" s="219" t="s">
        <v>122</v>
      </c>
      <c r="B1087" s="214" t="s">
        <v>123</v>
      </c>
      <c r="C1087" s="215" t="s">
        <v>23</v>
      </c>
      <c r="D1087" s="226">
        <v>38000</v>
      </c>
      <c r="E1087" s="215" t="s">
        <v>23</v>
      </c>
      <c r="F1087" s="226">
        <v>12661</v>
      </c>
      <c r="G1087" s="215" t="s">
        <v>23</v>
      </c>
      <c r="H1087" s="226">
        <f>J1087-F1087</f>
        <v>62339</v>
      </c>
      <c r="I1087" s="215" t="s">
        <v>23</v>
      </c>
      <c r="J1087" s="226">
        <v>75000</v>
      </c>
      <c r="K1087" s="215" t="s">
        <v>23</v>
      </c>
      <c r="L1087" s="228">
        <v>90000</v>
      </c>
      <c r="M1087" s="224"/>
      <c r="N1087" s="224"/>
      <c r="O1087" s="224"/>
      <c r="P1087" s="224"/>
      <c r="Q1087" s="224"/>
      <c r="R1087" s="224"/>
      <c r="S1087" s="224"/>
      <c r="T1087" s="224"/>
    </row>
    <row r="1088" spans="1:22">
      <c r="A1088" s="219" t="s">
        <v>126</v>
      </c>
      <c r="B1088" s="214" t="s">
        <v>127</v>
      </c>
      <c r="C1088" s="215"/>
      <c r="D1088" s="229">
        <v>87000</v>
      </c>
      <c r="E1088" s="215"/>
      <c r="F1088" s="229">
        <v>16750</v>
      </c>
      <c r="G1088" s="215"/>
      <c r="H1088" s="229">
        <f>J1088-F1088</f>
        <v>73250</v>
      </c>
      <c r="I1088" s="215"/>
      <c r="J1088" s="229">
        <v>90000</v>
      </c>
      <c r="K1088" s="215"/>
      <c r="L1088" s="231">
        <v>100000</v>
      </c>
      <c r="M1088" s="224"/>
      <c r="N1088" s="224"/>
      <c r="O1088" s="224"/>
      <c r="P1088" s="224"/>
      <c r="Q1088" s="224"/>
      <c r="R1088" s="224"/>
      <c r="S1088" s="224"/>
      <c r="T1088" s="224"/>
    </row>
    <row r="1089" spans="1:22">
      <c r="A1089" s="219" t="s">
        <v>144</v>
      </c>
      <c r="B1089" s="214" t="s">
        <v>145</v>
      </c>
      <c r="D1089" s="229">
        <v>60000</v>
      </c>
      <c r="E1089" s="215"/>
      <c r="F1089" s="229">
        <v>30000</v>
      </c>
      <c r="G1089" s="215"/>
      <c r="H1089" s="229">
        <f>J1089-F1089</f>
        <v>30000</v>
      </c>
      <c r="I1089" s="215"/>
      <c r="J1089" s="229">
        <v>60000</v>
      </c>
      <c r="K1089" s="215"/>
      <c r="L1089" s="231">
        <f>24000</f>
        <v>24000</v>
      </c>
      <c r="M1089" s="224"/>
      <c r="N1089" s="224"/>
      <c r="O1089" s="224"/>
      <c r="P1089" s="224"/>
      <c r="Q1089" s="224"/>
      <c r="R1089" s="224"/>
      <c r="S1089" s="224"/>
      <c r="T1089" s="224"/>
    </row>
    <row r="1090" spans="1:22">
      <c r="A1090" s="219" t="s">
        <v>146</v>
      </c>
      <c r="B1090" s="214" t="s">
        <v>147</v>
      </c>
      <c r="D1090" s="229">
        <v>25000</v>
      </c>
      <c r="E1090" s="215"/>
      <c r="F1090" s="229">
        <v>8990.15</v>
      </c>
      <c r="G1090" s="215"/>
      <c r="H1090" s="229">
        <f>J1090-F1090</f>
        <v>16009.85</v>
      </c>
      <c r="I1090" s="215"/>
      <c r="J1090" s="229">
        <v>25000</v>
      </c>
      <c r="K1090" s="215"/>
      <c r="L1090" s="231">
        <v>25000</v>
      </c>
      <c r="M1090" s="224"/>
      <c r="N1090" s="224"/>
      <c r="O1090" s="224"/>
      <c r="P1090" s="224"/>
      <c r="Q1090" s="224"/>
      <c r="R1090" s="224"/>
      <c r="S1090" s="224"/>
      <c r="T1090" s="224"/>
    </row>
    <row r="1091" spans="1:22">
      <c r="A1091" s="219" t="s">
        <v>156</v>
      </c>
      <c r="B1091" s="214" t="s">
        <v>157</v>
      </c>
      <c r="D1091" s="229">
        <v>8025</v>
      </c>
      <c r="E1091" s="215"/>
      <c r="F1091" s="229">
        <v>2500</v>
      </c>
      <c r="G1091" s="215"/>
      <c r="H1091" s="229">
        <f>J1091-F1091</f>
        <v>7500</v>
      </c>
      <c r="I1091" s="215"/>
      <c r="J1091" s="229">
        <v>10000</v>
      </c>
      <c r="K1091" s="215"/>
      <c r="L1091" s="231">
        <v>25000</v>
      </c>
      <c r="M1091" s="224"/>
      <c r="N1091" s="224"/>
      <c r="O1091" s="224"/>
      <c r="P1091" s="224"/>
      <c r="Q1091" s="224"/>
      <c r="R1091" s="224"/>
      <c r="S1091" s="224"/>
      <c r="T1091" s="224"/>
    </row>
    <row r="1092" spans="1:22" customHeight="1" ht="15.75">
      <c r="A1092" s="219" t="s">
        <v>169</v>
      </c>
      <c r="B1092" s="214" t="s">
        <v>170</v>
      </c>
      <c r="D1092" s="239">
        <v>16285.8</v>
      </c>
      <c r="E1092" s="215"/>
      <c r="F1092" s="239">
        <v>8250</v>
      </c>
      <c r="G1092" s="215"/>
      <c r="H1092" s="279">
        <f>J1092-F1092</f>
        <v>-7000</v>
      </c>
      <c r="I1092" s="215"/>
      <c r="J1092" s="239">
        <v>1250</v>
      </c>
      <c r="K1092" s="215"/>
      <c r="L1092" s="257">
        <f>5000+36000</f>
        <v>41000</v>
      </c>
      <c r="M1092" s="224"/>
      <c r="N1092" s="224"/>
      <c r="O1092" s="224"/>
      <c r="P1092" s="224"/>
      <c r="Q1092" s="224"/>
      <c r="R1092" s="224"/>
      <c r="S1092" s="224"/>
      <c r="T1092" s="224"/>
    </row>
    <row r="1093" spans="1:22" customHeight="1" ht="15.75">
      <c r="A1093" s="225" t="s">
        <v>200</v>
      </c>
      <c r="B1093" s="254"/>
      <c r="C1093" s="258" t="s">
        <v>23</v>
      </c>
      <c r="D1093" s="245">
        <f>SUM(D1087:D1092)</f>
        <v>234310.8</v>
      </c>
      <c r="E1093" s="258" t="s">
        <v>23</v>
      </c>
      <c r="F1093" s="245">
        <f>SUM(F1087:F1092)</f>
        <v>79151.15</v>
      </c>
      <c r="G1093" s="258" t="s">
        <v>23</v>
      </c>
      <c r="H1093" s="245">
        <f>SUM(H1087:H1092)</f>
        <v>182098.85</v>
      </c>
      <c r="I1093" s="258" t="s">
        <v>23</v>
      </c>
      <c r="J1093" s="245">
        <f>SUM(J1087:J1092)</f>
        <v>261250</v>
      </c>
      <c r="K1093" s="258" t="s">
        <v>23</v>
      </c>
      <c r="L1093" s="247">
        <f>SUM(L1087:L1092)</f>
        <v>305000</v>
      </c>
      <c r="M1093" s="248"/>
      <c r="N1093" s="248"/>
      <c r="O1093" s="248"/>
      <c r="P1093" s="248"/>
      <c r="Q1093" s="248"/>
      <c r="R1093" s="248"/>
      <c r="S1093" s="248"/>
      <c r="T1093" s="248"/>
    </row>
    <row r="1094" spans="1:22">
      <c r="A1094" s="225" t="s">
        <v>201</v>
      </c>
      <c r="B1094" s="254"/>
      <c r="D1094" s="280"/>
      <c r="E1094" s="215"/>
      <c r="F1094" s="280"/>
      <c r="G1094" s="215"/>
      <c r="H1094" s="280"/>
      <c r="I1094" s="215"/>
      <c r="J1094" s="280"/>
      <c r="K1094" s="215"/>
      <c r="L1094" s="281"/>
      <c r="M1094" s="224"/>
      <c r="N1094" s="224"/>
      <c r="O1094" s="224"/>
      <c r="P1094" s="224"/>
      <c r="Q1094" s="224"/>
      <c r="R1094" s="224"/>
      <c r="S1094" s="224"/>
      <c r="T1094" s="224"/>
    </row>
    <row r="1095" spans="1:22" customHeight="1" ht="15.75">
      <c r="A1095" s="219" t="s">
        <v>427</v>
      </c>
      <c r="B1095" s="214" t="s">
        <v>209</v>
      </c>
      <c r="C1095" s="215" t="s">
        <v>23</v>
      </c>
      <c r="D1095" s="226">
        <v>0</v>
      </c>
      <c r="E1095" s="215" t="s">
        <v>23</v>
      </c>
      <c r="F1095" s="226">
        <v>0</v>
      </c>
      <c r="G1095" s="215" t="s">
        <v>23</v>
      </c>
      <c r="H1095" s="226">
        <v>0</v>
      </c>
      <c r="I1095" s="215" t="s">
        <v>23</v>
      </c>
      <c r="J1095" s="226">
        <v>35000</v>
      </c>
      <c r="K1095" s="215" t="s">
        <v>23</v>
      </c>
      <c r="L1095" s="228">
        <v>91250</v>
      </c>
      <c r="M1095" s="224"/>
      <c r="N1095" s="224"/>
      <c r="O1095" s="224"/>
      <c r="P1095" s="224"/>
      <c r="Q1095" s="224"/>
      <c r="R1095" s="224"/>
      <c r="S1095" s="224"/>
      <c r="T1095" s="224"/>
    </row>
    <row r="1096" spans="1:22" customHeight="1" ht="15.75">
      <c r="A1096" s="225" t="s">
        <v>214</v>
      </c>
      <c r="B1096" s="214"/>
      <c r="C1096" s="258" t="s">
        <v>23</v>
      </c>
      <c r="D1096" s="282">
        <f>SUM(D1095)</f>
        <v>0</v>
      </c>
      <c r="E1096" s="258" t="s">
        <v>23</v>
      </c>
      <c r="F1096" s="282">
        <f>SUM(F1095)</f>
        <v>0</v>
      </c>
      <c r="G1096" s="258" t="s">
        <v>23</v>
      </c>
      <c r="H1096" s="282">
        <f>SUM(H1095)</f>
        <v>0</v>
      </c>
      <c r="I1096" s="258" t="s">
        <v>23</v>
      </c>
      <c r="J1096" s="282">
        <f>SUM(J1095)</f>
        <v>35000</v>
      </c>
      <c r="K1096" s="258" t="s">
        <v>23</v>
      </c>
      <c r="L1096" s="283">
        <f>SUM(L1095)</f>
        <v>91250</v>
      </c>
      <c r="M1096" s="248"/>
      <c r="N1096" s="248"/>
      <c r="O1096" s="248"/>
      <c r="P1096" s="248"/>
      <c r="Q1096" s="248"/>
      <c r="R1096" s="248"/>
      <c r="S1096" s="248"/>
      <c r="T1096" s="248"/>
    </row>
    <row r="1097" spans="1:22" customHeight="1" ht="15.75">
      <c r="A1097" s="284" t="s">
        <v>370</v>
      </c>
      <c r="B1097" s="285"/>
      <c r="C1097" s="286" t="s">
        <v>23</v>
      </c>
      <c r="D1097" s="287">
        <f>D1068+D1093+D1096</f>
        <v>2037339.92</v>
      </c>
      <c r="E1097" s="288" t="s">
        <v>23</v>
      </c>
      <c r="F1097" s="287">
        <f>F1068+F1093+F1096</f>
        <v>961665.71</v>
      </c>
      <c r="G1097" s="288" t="s">
        <v>23</v>
      </c>
      <c r="H1097" s="287">
        <f>H1068+H1093+H1096</f>
        <v>1095567.93</v>
      </c>
      <c r="I1097" s="288" t="s">
        <v>23</v>
      </c>
      <c r="J1097" s="287">
        <f>J1068+J1093+J1096</f>
        <v>2092233.64</v>
      </c>
      <c r="K1097" s="288" t="s">
        <v>23</v>
      </c>
      <c r="L1097" s="289">
        <f>L1068+L1093+L1096</f>
        <v>2373818</v>
      </c>
      <c r="M1097" s="248"/>
      <c r="N1097" s="248"/>
      <c r="O1097" s="248"/>
      <c r="P1097" s="248"/>
      <c r="Q1097" s="248"/>
      <c r="R1097" s="248"/>
      <c r="S1097" s="248"/>
      <c r="T1097" s="248"/>
    </row>
    <row r="1098" spans="1:22" customHeight="1" ht="15.75">
      <c r="A1098" s="187"/>
      <c r="C1098" s="258"/>
      <c r="D1098" s="261"/>
      <c r="E1098" s="258"/>
      <c r="F1098" s="261"/>
      <c r="G1098" s="258"/>
      <c r="H1098" s="261"/>
      <c r="I1098" s="258"/>
      <c r="J1098" s="261"/>
      <c r="K1098" s="258"/>
      <c r="L1098" s="248"/>
      <c r="M1098" s="248"/>
      <c r="N1098" s="248"/>
      <c r="O1098" s="248"/>
      <c r="P1098" s="248"/>
      <c r="Q1098" s="248"/>
      <c r="R1098" s="248"/>
      <c r="S1098" s="248"/>
      <c r="T1098" s="248"/>
    </row>
    <row r="1099" spans="1:22">
      <c r="A1099" s="215" t="s">
        <v>371</v>
      </c>
      <c r="B1099" s="215" t="s">
        <v>372</v>
      </c>
      <c r="C1099" s="215"/>
      <c r="D1099" s="215"/>
      <c r="E1099" s="215"/>
      <c r="F1099" s="215"/>
      <c r="G1099" s="215" t="s">
        <v>373</v>
      </c>
      <c r="H1099" s="215"/>
    </row>
    <row r="1102" spans="1:22">
      <c r="A1102" s="268" t="s">
        <v>441</v>
      </c>
      <c r="B1102" s="269" t="s">
        <v>374</v>
      </c>
      <c r="C1102" s="269"/>
      <c r="D1102" s="269"/>
      <c r="E1102" s="269"/>
      <c r="F1102" s="269"/>
      <c r="G1102" s="270"/>
      <c r="H1102" s="269" t="s">
        <v>326</v>
      </c>
      <c r="I1102" s="269"/>
      <c r="J1102" s="269"/>
      <c r="K1102" s="269"/>
      <c r="L1102" s="269"/>
      <c r="M1102" s="268"/>
      <c r="N1102" s="268"/>
      <c r="O1102" s="268"/>
      <c r="P1102" s="268"/>
      <c r="Q1102" s="268"/>
      <c r="R1102" s="268"/>
      <c r="S1102" s="268"/>
      <c r="T1102" s="268"/>
    </row>
    <row r="1103" spans="1:22">
      <c r="A1103" s="271" t="s">
        <v>442</v>
      </c>
      <c r="B1103" s="272" t="s">
        <v>375</v>
      </c>
      <c r="C1103" s="272"/>
      <c r="D1103" s="272"/>
      <c r="E1103" s="272"/>
      <c r="F1103" s="272"/>
      <c r="G1103" s="215"/>
      <c r="H1103" s="272" t="s">
        <v>327</v>
      </c>
      <c r="I1103" s="272"/>
      <c r="J1103" s="272"/>
      <c r="K1103" s="272"/>
      <c r="L1103" s="272"/>
      <c r="M1103" s="271"/>
      <c r="N1103" s="271"/>
      <c r="O1103" s="271"/>
      <c r="P1103" s="271"/>
      <c r="Q1103" s="271"/>
      <c r="R1103" s="271"/>
      <c r="S1103" s="271"/>
      <c r="T1103" s="271"/>
    </row>
    <row r="1108" spans="1:22">
      <c r="J1108" s="215"/>
    </row>
    <row r="1113" spans="1:22">
      <c r="A1113" s="273" t="s">
        <v>346</v>
      </c>
      <c r="B1113" s="273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4"/>
      <c r="N1113" s="274"/>
      <c r="O1113" s="274"/>
      <c r="P1113" s="274"/>
      <c r="Q1113" s="274"/>
      <c r="R1113" s="274"/>
      <c r="S1113" s="274"/>
      <c r="T1113" s="274"/>
    </row>
    <row r="1114" spans="1:22" customHeight="1" ht="15.75">
      <c r="A1114" s="183" t="s">
        <v>347</v>
      </c>
      <c r="B1114" s="183"/>
      <c r="C1114" s="183"/>
      <c r="D1114" s="183"/>
      <c r="E1114" s="183"/>
      <c r="F1114" s="183"/>
      <c r="G1114" s="183"/>
      <c r="H1114" s="183"/>
      <c r="I1114" s="183"/>
      <c r="J1114" s="183"/>
      <c r="K1114" s="183"/>
      <c r="L1114" s="183"/>
      <c r="M1114" s="184"/>
      <c r="N1114" s="184"/>
      <c r="O1114" s="184"/>
      <c r="P1114" s="184"/>
      <c r="Q1114" s="184"/>
      <c r="R1114" s="184"/>
      <c r="S1114" s="184"/>
      <c r="T1114" s="184"/>
    </row>
    <row r="1115" spans="1:22">
      <c r="A1115" s="185" t="s">
        <v>348</v>
      </c>
      <c r="B1115" s="185"/>
      <c r="C1115" s="185"/>
      <c r="D1115" s="185"/>
      <c r="E1115" s="185"/>
      <c r="F1115" s="185"/>
      <c r="G1115" s="185"/>
      <c r="H1115" s="185"/>
      <c r="I1115" s="185"/>
      <c r="J1115" s="185"/>
      <c r="K1115" s="185"/>
      <c r="L1115" s="185"/>
      <c r="M1115" s="186"/>
      <c r="N1115" s="186"/>
      <c r="O1115" s="186"/>
      <c r="P1115" s="186"/>
      <c r="Q1115" s="186"/>
      <c r="R1115" s="186"/>
      <c r="S1115" s="186"/>
      <c r="T1115" s="186"/>
    </row>
    <row r="1117" spans="1:22" customHeight="1" ht="15.75">
      <c r="A1117" s="187" t="s">
        <v>443</v>
      </c>
    </row>
    <row r="1118" spans="1:22">
      <c r="A1118" s="189"/>
      <c r="B1118" s="190"/>
      <c r="C1118" s="191" t="s">
        <v>350</v>
      </c>
      <c r="D1118" s="192"/>
      <c r="E1118" s="193" t="s">
        <v>351</v>
      </c>
      <c r="F1118" s="194"/>
      <c r="G1118" s="194"/>
      <c r="H1118" s="194"/>
      <c r="I1118" s="194"/>
      <c r="J1118" s="195"/>
      <c r="K1118" s="191" t="s">
        <v>352</v>
      </c>
      <c r="L1118" s="196"/>
      <c r="M1118" s="186"/>
      <c r="N1118" s="186"/>
      <c r="O1118" s="186"/>
      <c r="P1118" s="186"/>
      <c r="Q1118" s="186"/>
      <c r="R1118" s="186"/>
      <c r="S1118" s="186"/>
      <c r="T1118" s="186"/>
    </row>
    <row r="1119" spans="1:22">
      <c r="A1119" s="197" t="s">
        <v>353</v>
      </c>
      <c r="B1119" s="198" t="s">
        <v>354</v>
      </c>
      <c r="C1119" s="199">
        <v>2023</v>
      </c>
      <c r="D1119" s="200"/>
      <c r="E1119" s="201" t="s">
        <v>11</v>
      </c>
      <c r="F1119" s="202"/>
      <c r="G1119" s="201" t="s">
        <v>355</v>
      </c>
      <c r="H1119" s="202"/>
      <c r="I1119" s="203" t="s">
        <v>356</v>
      </c>
      <c r="J1119" s="204"/>
      <c r="K1119" s="199">
        <v>2025</v>
      </c>
      <c r="L1119" s="205"/>
      <c r="M1119" s="186"/>
      <c r="N1119" s="186"/>
      <c r="O1119" s="186"/>
      <c r="P1119" s="186"/>
      <c r="Q1119" s="186"/>
      <c r="R1119" s="186"/>
      <c r="S1119" s="186"/>
      <c r="T1119" s="186"/>
    </row>
    <row r="1120" spans="1:22" customHeight="1" ht="15.75">
      <c r="A1120" s="206"/>
      <c r="B1120" s="207"/>
      <c r="C1120" s="208" t="s">
        <v>17</v>
      </c>
      <c r="D1120" s="209"/>
      <c r="E1120" s="208" t="s">
        <v>17</v>
      </c>
      <c r="F1120" s="209"/>
      <c r="G1120" s="208" t="s">
        <v>18</v>
      </c>
      <c r="H1120" s="209"/>
      <c r="I1120" s="210"/>
      <c r="J1120" s="211"/>
      <c r="K1120" s="208" t="s">
        <v>357</v>
      </c>
      <c r="L1120" s="212"/>
      <c r="M1120" s="186"/>
      <c r="N1120" s="186"/>
      <c r="O1120" s="186"/>
      <c r="P1120" s="186"/>
      <c r="Q1120" s="186"/>
      <c r="R1120" s="186"/>
      <c r="S1120" s="186"/>
      <c r="T1120" s="186"/>
    </row>
    <row r="1121" spans="1:22">
      <c r="A1121" s="225" t="s">
        <v>444</v>
      </c>
      <c r="B1121" s="315"/>
      <c r="C1121" s="186"/>
      <c r="D1121" s="316"/>
      <c r="E1121" s="186"/>
      <c r="F1121" s="316"/>
      <c r="G1121" s="186"/>
      <c r="H1121" s="316"/>
      <c r="I1121" s="317"/>
      <c r="J1121" s="318"/>
      <c r="K1121" s="186"/>
      <c r="L1121" s="319"/>
      <c r="M1121" s="186"/>
      <c r="N1121" s="186"/>
      <c r="O1121" s="186"/>
      <c r="P1121" s="186"/>
      <c r="Q1121" s="186"/>
      <c r="R1121" s="186"/>
      <c r="S1121" s="186"/>
      <c r="T1121" s="186"/>
    </row>
    <row r="1122" spans="1:22">
      <c r="A1122" s="219" t="s">
        <v>224</v>
      </c>
      <c r="B1122" s="214" t="s">
        <v>225</v>
      </c>
      <c r="C1122" s="186"/>
      <c r="D1122" s="220">
        <v>0</v>
      </c>
      <c r="E1122" s="215" t="s">
        <v>23</v>
      </c>
      <c r="F1122" s="220">
        <v>0</v>
      </c>
      <c r="G1122" s="215" t="s">
        <v>23</v>
      </c>
      <c r="H1122" s="220">
        <v>0</v>
      </c>
      <c r="I1122" s="215" t="s">
        <v>23</v>
      </c>
      <c r="J1122" s="223">
        <v>4820000</v>
      </c>
      <c r="K1122" s="215" t="s">
        <v>23</v>
      </c>
      <c r="L1122" s="223">
        <v>0</v>
      </c>
      <c r="M1122" s="224"/>
      <c r="N1122" s="224"/>
      <c r="O1122" s="224"/>
      <c r="P1122" s="224"/>
      <c r="Q1122" s="224"/>
      <c r="R1122" s="224"/>
      <c r="S1122" s="224"/>
      <c r="T1122" s="224"/>
    </row>
    <row r="1123" spans="1:22" customHeight="1" ht="15.75">
      <c r="A1123" s="320" t="s">
        <v>445</v>
      </c>
      <c r="B1123" s="315"/>
      <c r="C1123" s="321" t="s">
        <v>23</v>
      </c>
      <c r="D1123" s="265">
        <f>SUM(D1122:D1122)</f>
        <v>0</v>
      </c>
      <c r="E1123" s="258" t="s">
        <v>23</v>
      </c>
      <c r="F1123" s="265">
        <f>SUM(F1122:F1122)</f>
        <v>0</v>
      </c>
      <c r="G1123" s="258" t="s">
        <v>23</v>
      </c>
      <c r="H1123" s="265">
        <f>SUM(H1122:H1122)</f>
        <v>0</v>
      </c>
      <c r="I1123" s="258" t="s">
        <v>23</v>
      </c>
      <c r="J1123" s="265">
        <f>SUM(J1122:J1122)</f>
        <v>4820000</v>
      </c>
      <c r="K1123" s="258" t="s">
        <v>23</v>
      </c>
      <c r="L1123" s="322">
        <f>SUM(L1122:L1122)</f>
        <v>0</v>
      </c>
      <c r="M1123" s="261"/>
      <c r="N1123" s="261"/>
      <c r="O1123" s="261"/>
      <c r="P1123" s="261"/>
      <c r="Q1123" s="261"/>
      <c r="R1123" s="261"/>
      <c r="S1123" s="261"/>
      <c r="T1123" s="261"/>
    </row>
    <row r="1124" spans="1:22" customHeight="1" ht="15.75">
      <c r="A1124" s="320"/>
      <c r="B1124" s="315"/>
      <c r="C1124" s="258"/>
      <c r="D1124" s="259"/>
      <c r="E1124" s="258"/>
      <c r="F1124" s="259"/>
      <c r="G1124" s="258"/>
      <c r="H1124" s="259"/>
      <c r="I1124" s="258"/>
      <c r="J1124" s="259"/>
      <c r="K1124" s="258"/>
      <c r="L1124" s="260"/>
      <c r="M1124" s="261"/>
      <c r="N1124" s="261"/>
      <c r="O1124" s="261"/>
      <c r="P1124" s="261"/>
      <c r="Q1124" s="261"/>
      <c r="R1124" s="261"/>
      <c r="S1124" s="261"/>
      <c r="T1124" s="261"/>
    </row>
    <row r="1125" spans="1:22">
      <c r="A1125" s="225" t="s">
        <v>446</v>
      </c>
      <c r="B1125" s="254"/>
      <c r="D1125" s="323"/>
      <c r="F1125" s="323"/>
      <c r="H1125" s="323"/>
      <c r="J1125" s="323"/>
      <c r="L1125" s="324"/>
    </row>
    <row r="1126" spans="1:22">
      <c r="A1126" s="219" t="s">
        <v>228</v>
      </c>
      <c r="B1126" s="214" t="s">
        <v>229</v>
      </c>
      <c r="C1126" s="215" t="s">
        <v>23</v>
      </c>
      <c r="D1126" s="220">
        <v>1719898.59</v>
      </c>
      <c r="E1126" s="215" t="s">
        <v>23</v>
      </c>
      <c r="F1126" s="220">
        <v>1607345.86</v>
      </c>
      <c r="G1126" s="215" t="s">
        <v>23</v>
      </c>
      <c r="H1126" s="220">
        <f>J1126-F1126</f>
        <v>-607345.86</v>
      </c>
      <c r="I1126" s="215" t="s">
        <v>23</v>
      </c>
      <c r="J1126" s="223">
        <v>1000000</v>
      </c>
      <c r="K1126" s="215" t="s">
        <v>23</v>
      </c>
      <c r="L1126" s="223">
        <v>1000000</v>
      </c>
      <c r="M1126" s="224"/>
      <c r="N1126" s="224"/>
      <c r="O1126" s="224"/>
      <c r="P1126" s="224"/>
      <c r="Q1126" s="224"/>
      <c r="R1126" s="224"/>
      <c r="S1126" s="224"/>
      <c r="T1126" s="224"/>
    </row>
    <row r="1127" spans="1:22">
      <c r="A1127" s="219" t="s">
        <v>230</v>
      </c>
      <c r="B1127" s="214" t="s">
        <v>231</v>
      </c>
      <c r="C1127" s="215"/>
      <c r="D1127" s="226">
        <v>0</v>
      </c>
      <c r="E1127" s="215"/>
      <c r="F1127" s="226">
        <v>0</v>
      </c>
      <c r="G1127" s="215"/>
      <c r="H1127" s="226">
        <f>J1127-F1127</f>
        <v>100000</v>
      </c>
      <c r="I1127" s="215"/>
      <c r="J1127" s="228">
        <v>100000</v>
      </c>
      <c r="K1127" s="215"/>
      <c r="L1127" s="228">
        <v>100000</v>
      </c>
      <c r="M1127" s="224"/>
      <c r="N1127" s="224"/>
      <c r="O1127" s="224"/>
      <c r="P1127" s="224"/>
      <c r="Q1127" s="224"/>
      <c r="R1127" s="224"/>
      <c r="S1127" s="224"/>
      <c r="T1127" s="224"/>
    </row>
    <row r="1128" spans="1:22">
      <c r="A1128" s="219" t="s">
        <v>232</v>
      </c>
      <c r="B1128" s="214" t="s">
        <v>233</v>
      </c>
      <c r="C1128" s="215"/>
      <c r="D1128" s="229">
        <v>0</v>
      </c>
      <c r="E1128" s="215"/>
      <c r="F1128" s="229"/>
      <c r="G1128" s="215"/>
      <c r="H1128" s="229"/>
      <c r="I1128" s="215"/>
      <c r="J1128" s="231">
        <v>200000</v>
      </c>
      <c r="K1128" s="215"/>
      <c r="L1128" s="231">
        <v>200000</v>
      </c>
      <c r="M1128" s="224"/>
      <c r="N1128" s="224"/>
      <c r="O1128" s="224"/>
      <c r="P1128" s="224"/>
      <c r="Q1128" s="224"/>
      <c r="R1128" s="224"/>
      <c r="S1128" s="224"/>
      <c r="T1128" s="224"/>
    </row>
    <row r="1129" spans="1:22">
      <c r="A1129" s="219" t="s">
        <v>447</v>
      </c>
      <c r="B1129" s="214" t="s">
        <v>241</v>
      </c>
      <c r="C1129" s="215"/>
      <c r="D1129" s="229">
        <v>0</v>
      </c>
      <c r="E1129" s="215"/>
      <c r="F1129" s="229"/>
      <c r="G1129" s="215"/>
      <c r="H1129" s="229"/>
      <c r="I1129" s="215"/>
      <c r="J1129" s="231"/>
      <c r="K1129" s="215"/>
      <c r="L1129" s="231">
        <v>50000</v>
      </c>
      <c r="M1129" s="224"/>
      <c r="N1129" s="224"/>
      <c r="O1129" s="224"/>
      <c r="P1129" s="224"/>
      <c r="Q1129" s="224"/>
      <c r="R1129" s="224"/>
      <c r="S1129" s="224"/>
      <c r="T1129" s="224"/>
    </row>
    <row r="1130" spans="1:22">
      <c r="A1130" s="219" t="s">
        <v>234</v>
      </c>
      <c r="B1130" s="214" t="s">
        <v>235</v>
      </c>
      <c r="C1130" s="215"/>
      <c r="D1130" s="229">
        <v>148192</v>
      </c>
      <c r="E1130" s="215"/>
      <c r="F1130" s="229">
        <v>0</v>
      </c>
      <c r="G1130" s="215"/>
      <c r="H1130" s="229">
        <f>J1130-F1130</f>
        <v>200000</v>
      </c>
      <c r="I1130" s="215"/>
      <c r="J1130" s="231">
        <v>200000</v>
      </c>
      <c r="K1130" s="215"/>
      <c r="L1130" s="231">
        <v>200000</v>
      </c>
      <c r="M1130" s="224"/>
      <c r="N1130" s="224"/>
      <c r="O1130" s="224"/>
      <c r="P1130" s="224"/>
      <c r="Q1130" s="224"/>
      <c r="R1130" s="224"/>
      <c r="S1130" s="224"/>
      <c r="T1130" s="224"/>
    </row>
    <row r="1131" spans="1:22">
      <c r="A1131" s="219" t="s">
        <v>236</v>
      </c>
      <c r="B1131" s="214" t="s">
        <v>237</v>
      </c>
      <c r="C1131" s="215"/>
      <c r="D1131" s="229">
        <v>649998</v>
      </c>
      <c r="E1131" s="215"/>
      <c r="F1131" s="229">
        <v>350000</v>
      </c>
      <c r="G1131" s="215"/>
      <c r="H1131" s="229">
        <f>J1131-F1131</f>
        <v>-150000</v>
      </c>
      <c r="I1131" s="215"/>
      <c r="J1131" s="231">
        <v>200000</v>
      </c>
      <c r="K1131" s="215"/>
      <c r="L1131" s="231">
        <v>300000</v>
      </c>
      <c r="M1131" s="224"/>
      <c r="N1131" s="224"/>
      <c r="O1131" s="224"/>
      <c r="P1131" s="224"/>
      <c r="Q1131" s="224"/>
      <c r="R1131" s="224"/>
      <c r="S1131" s="224"/>
      <c r="T1131" s="224"/>
    </row>
    <row r="1132" spans="1:22">
      <c r="A1132" s="219" t="s">
        <v>448</v>
      </c>
      <c r="B1132" s="214" t="s">
        <v>239</v>
      </c>
      <c r="C1132" s="215"/>
      <c r="D1132" s="229">
        <v>809998.3</v>
      </c>
      <c r="E1132" s="215"/>
      <c r="F1132" s="229">
        <v>337485.5</v>
      </c>
      <c r="G1132" s="215"/>
      <c r="H1132" s="229">
        <f>J1132-F1132</f>
        <v>-137485.5</v>
      </c>
      <c r="I1132" s="215"/>
      <c r="J1132" s="231">
        <v>200000</v>
      </c>
      <c r="K1132" s="215"/>
      <c r="L1132" s="231">
        <v>800000</v>
      </c>
      <c r="M1132" s="224"/>
      <c r="N1132" s="224"/>
      <c r="O1132" s="224"/>
      <c r="P1132" s="224"/>
      <c r="Q1132" s="224"/>
      <c r="R1132" s="224"/>
      <c r="S1132" s="224"/>
      <c r="T1132" s="224"/>
    </row>
    <row r="1133" spans="1:22">
      <c r="A1133" s="219" t="s">
        <v>242</v>
      </c>
      <c r="B1133" s="214" t="s">
        <v>449</v>
      </c>
      <c r="C1133" s="215"/>
      <c r="D1133" s="229">
        <v>2757000</v>
      </c>
      <c r="E1133" s="215"/>
      <c r="F1133" s="229">
        <v>1308000</v>
      </c>
      <c r="G1133" s="215"/>
      <c r="H1133" s="229">
        <f>J1133-F1133</f>
        <v>692000</v>
      </c>
      <c r="I1133" s="215"/>
      <c r="J1133" s="231">
        <v>2000000</v>
      </c>
      <c r="K1133" s="215"/>
      <c r="L1133" s="231">
        <v>2000000</v>
      </c>
      <c r="M1133" s="224"/>
      <c r="N1133" s="224"/>
      <c r="O1133" s="224"/>
      <c r="P1133" s="224"/>
      <c r="Q1133" s="224"/>
      <c r="R1133" s="224"/>
      <c r="S1133" s="224"/>
      <c r="T1133" s="224"/>
    </row>
    <row r="1134" spans="1:22">
      <c r="A1134" s="219" t="s">
        <v>244</v>
      </c>
      <c r="B1134" s="214" t="s">
        <v>245</v>
      </c>
      <c r="C1134" s="215"/>
      <c r="D1134" s="229">
        <v>625339.5</v>
      </c>
      <c r="E1134" s="215"/>
      <c r="F1134" s="229">
        <v>262270</v>
      </c>
      <c r="G1134" s="215"/>
      <c r="H1134" s="229">
        <f>J1134-F1134</f>
        <v>87730</v>
      </c>
      <c r="I1134" s="215"/>
      <c r="J1134" s="231">
        <v>350000</v>
      </c>
      <c r="K1134" s="215"/>
      <c r="L1134" s="231">
        <v>1200000</v>
      </c>
      <c r="M1134" s="224"/>
      <c r="N1134" s="224"/>
      <c r="O1134" s="224"/>
      <c r="P1134" s="224"/>
      <c r="Q1134" s="224"/>
      <c r="R1134" s="224"/>
      <c r="S1134" s="224"/>
      <c r="T1134" s="224"/>
    </row>
    <row r="1135" spans="1:22">
      <c r="A1135" s="219" t="s">
        <v>450</v>
      </c>
      <c r="B1135" s="214" t="s">
        <v>247</v>
      </c>
      <c r="C1135" s="215"/>
      <c r="D1135" s="229">
        <v>184269.25</v>
      </c>
      <c r="E1135" s="215"/>
      <c r="F1135" s="229">
        <v>27724.25</v>
      </c>
      <c r="G1135" s="215"/>
      <c r="H1135" s="229">
        <f>J1135-F1135</f>
        <v>172275.75</v>
      </c>
      <c r="I1135" s="215"/>
      <c r="J1135" s="231">
        <v>200000</v>
      </c>
      <c r="K1135" s="215"/>
      <c r="L1135" s="231">
        <v>200000</v>
      </c>
      <c r="M1135" s="224"/>
      <c r="N1135" s="224"/>
      <c r="O1135" s="224"/>
      <c r="P1135" s="224"/>
      <c r="Q1135" s="224"/>
      <c r="R1135" s="224"/>
      <c r="S1135" s="224"/>
      <c r="T1135" s="224"/>
    </row>
    <row r="1136" spans="1:22">
      <c r="A1136" s="219" t="s">
        <v>248</v>
      </c>
      <c r="B1136" s="214" t="s">
        <v>249</v>
      </c>
      <c r="C1136" s="215"/>
      <c r="D1136" s="229">
        <v>300000</v>
      </c>
      <c r="E1136" s="215"/>
      <c r="F1136" s="229">
        <v>186129</v>
      </c>
      <c r="G1136" s="215"/>
      <c r="H1136" s="229">
        <f>J1136-F1136</f>
        <v>13871</v>
      </c>
      <c r="I1136" s="215"/>
      <c r="J1136" s="231">
        <v>200000</v>
      </c>
      <c r="K1136" s="215"/>
      <c r="L1136" s="231">
        <v>200000</v>
      </c>
      <c r="M1136" s="224"/>
      <c r="N1136" s="224"/>
      <c r="O1136" s="224"/>
      <c r="P1136" s="224"/>
      <c r="Q1136" s="224"/>
      <c r="R1136" s="224"/>
      <c r="S1136" s="224"/>
      <c r="T1136" s="224"/>
    </row>
    <row r="1137" spans="1:22">
      <c r="A1137" s="219" t="s">
        <v>250</v>
      </c>
      <c r="B1137" s="214" t="s">
        <v>251</v>
      </c>
      <c r="C1137" s="215"/>
      <c r="D1137" s="229">
        <v>11500</v>
      </c>
      <c r="E1137" s="215"/>
      <c r="F1137" s="229">
        <v>0</v>
      </c>
      <c r="G1137" s="215"/>
      <c r="H1137" s="229">
        <v>0</v>
      </c>
      <c r="I1137" s="215"/>
      <c r="J1137" s="231">
        <v>100000</v>
      </c>
      <c r="K1137" s="215"/>
      <c r="L1137" s="231">
        <v>100000</v>
      </c>
      <c r="M1137" s="224"/>
      <c r="N1137" s="224"/>
      <c r="O1137" s="224"/>
      <c r="P1137" s="224"/>
      <c r="Q1137" s="224"/>
      <c r="R1137" s="224"/>
      <c r="S1137" s="224"/>
      <c r="T1137" s="224"/>
    </row>
    <row r="1138" spans="1:22">
      <c r="A1138" s="219" t="s">
        <v>252</v>
      </c>
      <c r="B1138" s="214" t="s">
        <v>253</v>
      </c>
      <c r="C1138" s="215"/>
      <c r="D1138" s="229">
        <v>175000</v>
      </c>
      <c r="E1138" s="215"/>
      <c r="F1138" s="229">
        <v>96584.84</v>
      </c>
      <c r="G1138" s="215"/>
      <c r="H1138" s="229">
        <f>J1138-F1138</f>
        <v>78415.16</v>
      </c>
      <c r="I1138" s="215"/>
      <c r="J1138" s="231">
        <v>175000</v>
      </c>
      <c r="K1138" s="215"/>
      <c r="L1138" s="231">
        <v>200000</v>
      </c>
      <c r="M1138" s="224"/>
      <c r="N1138" s="224"/>
      <c r="O1138" s="224"/>
      <c r="P1138" s="224"/>
      <c r="Q1138" s="224"/>
      <c r="R1138" s="224"/>
      <c r="S1138" s="224"/>
      <c r="T1138" s="224"/>
    </row>
    <row r="1139" spans="1:22">
      <c r="A1139" s="219" t="s">
        <v>254</v>
      </c>
      <c r="B1139" s="214" t="s">
        <v>255</v>
      </c>
      <c r="C1139" s="215"/>
      <c r="D1139" s="229">
        <v>36000</v>
      </c>
      <c r="E1139" s="215"/>
      <c r="F1139" s="229">
        <v>18000</v>
      </c>
      <c r="G1139" s="215"/>
      <c r="H1139" s="229">
        <f>J1139-F1139</f>
        <v>18000</v>
      </c>
      <c r="I1139" s="215"/>
      <c r="J1139" s="231">
        <v>36000</v>
      </c>
      <c r="K1139" s="215"/>
      <c r="L1139" s="231">
        <v>36000</v>
      </c>
      <c r="M1139" s="224"/>
      <c r="N1139" s="224"/>
      <c r="O1139" s="224"/>
      <c r="P1139" s="224"/>
      <c r="Q1139" s="224"/>
      <c r="R1139" s="224"/>
      <c r="S1139" s="224"/>
      <c r="T1139" s="224"/>
    </row>
    <row r="1140" spans="1:22">
      <c r="A1140" s="219" t="s">
        <v>256</v>
      </c>
      <c r="B1140" s="214" t="s">
        <v>257</v>
      </c>
      <c r="C1140" s="215"/>
      <c r="D1140" s="229">
        <v>55200</v>
      </c>
      <c r="E1140" s="215"/>
      <c r="F1140" s="229">
        <v>25300</v>
      </c>
      <c r="G1140" s="215"/>
      <c r="H1140" s="229">
        <f>J1140-F1140</f>
        <v>34700</v>
      </c>
      <c r="I1140" s="215"/>
      <c r="J1140" s="231">
        <v>60000</v>
      </c>
      <c r="K1140" s="215"/>
      <c r="L1140" s="231">
        <v>60000</v>
      </c>
      <c r="M1140" s="224"/>
      <c r="N1140" s="224"/>
      <c r="O1140" s="224"/>
      <c r="P1140" s="224"/>
      <c r="Q1140" s="224"/>
      <c r="R1140" s="224"/>
      <c r="S1140" s="224"/>
      <c r="T1140" s="224"/>
    </row>
    <row r="1141" spans="1:22">
      <c r="A1141" s="219" t="s">
        <v>451</v>
      </c>
      <c r="B1141" s="214" t="s">
        <v>259</v>
      </c>
      <c r="C1141" s="215"/>
      <c r="D1141" s="229">
        <v>96092.43</v>
      </c>
      <c r="E1141" s="215"/>
      <c r="F1141" s="229">
        <v>0</v>
      </c>
      <c r="G1141" s="215"/>
      <c r="H1141" s="229">
        <f>J1141-F1141</f>
        <v>30000</v>
      </c>
      <c r="I1141" s="215"/>
      <c r="J1141" s="231">
        <v>30000</v>
      </c>
      <c r="K1141" s="215"/>
      <c r="L1141" s="231">
        <v>30000</v>
      </c>
      <c r="M1141" s="224"/>
      <c r="N1141" s="224"/>
      <c r="O1141" s="224"/>
      <c r="P1141" s="224"/>
      <c r="Q1141" s="224"/>
      <c r="R1141" s="224"/>
      <c r="S1141" s="224"/>
      <c r="T1141" s="224"/>
    </row>
    <row r="1142" spans="1:22">
      <c r="A1142" s="219" t="s">
        <v>268</v>
      </c>
      <c r="B1142" s="214" t="s">
        <v>269</v>
      </c>
      <c r="C1142" s="215"/>
      <c r="D1142" s="229">
        <v>214925.75</v>
      </c>
      <c r="E1142" s="215"/>
      <c r="F1142" s="229">
        <v>114356.75</v>
      </c>
      <c r="G1142" s="215"/>
      <c r="H1142" s="229">
        <f>J1142-F1142</f>
        <v>35643.25</v>
      </c>
      <c r="I1142" s="215"/>
      <c r="J1142" s="231">
        <v>150000</v>
      </c>
      <c r="K1142" s="215"/>
      <c r="L1142" s="231">
        <v>0</v>
      </c>
      <c r="M1142" s="224"/>
      <c r="N1142" s="224"/>
      <c r="O1142" s="224"/>
      <c r="P1142" s="224"/>
      <c r="Q1142" s="224"/>
      <c r="R1142" s="224"/>
      <c r="S1142" s="224"/>
      <c r="T1142" s="224"/>
    </row>
    <row r="1143" spans="1:22">
      <c r="A1143" s="219" t="s">
        <v>260</v>
      </c>
      <c r="B1143" s="214" t="s">
        <v>261</v>
      </c>
      <c r="C1143" s="215"/>
      <c r="D1143" s="229">
        <v>46290</v>
      </c>
      <c r="E1143" s="215"/>
      <c r="F1143" s="229">
        <v>0</v>
      </c>
      <c r="G1143" s="215"/>
      <c r="H1143" s="229">
        <f>J1143-F1143</f>
        <v>50000</v>
      </c>
      <c r="I1143" s="215"/>
      <c r="J1143" s="231">
        <v>50000</v>
      </c>
      <c r="K1143" s="215"/>
      <c r="L1143" s="231">
        <v>50000</v>
      </c>
      <c r="M1143" s="224"/>
      <c r="N1143" s="224"/>
      <c r="O1143" s="224"/>
      <c r="P1143" s="224"/>
      <c r="Q1143" s="224"/>
      <c r="R1143" s="224"/>
      <c r="S1143" s="224"/>
      <c r="T1143" s="224"/>
    </row>
    <row r="1144" spans="1:22">
      <c r="A1144" s="219" t="s">
        <v>452</v>
      </c>
      <c r="B1144" s="214" t="s">
        <v>263</v>
      </c>
      <c r="C1144" s="215"/>
      <c r="D1144" s="229">
        <v>8190</v>
      </c>
      <c r="E1144" s="215"/>
      <c r="F1144" s="229">
        <v>0</v>
      </c>
      <c r="G1144" s="215"/>
      <c r="H1144" s="229">
        <f>J1144-F1144</f>
        <v>50000</v>
      </c>
      <c r="I1144" s="215"/>
      <c r="J1144" s="231">
        <v>50000</v>
      </c>
      <c r="K1144" s="215"/>
      <c r="L1144" s="231">
        <v>50000</v>
      </c>
      <c r="M1144" s="224"/>
      <c r="N1144" s="224"/>
      <c r="O1144" s="224"/>
      <c r="P1144" s="224"/>
      <c r="Q1144" s="224"/>
      <c r="R1144" s="224"/>
      <c r="S1144" s="224"/>
      <c r="T1144" s="224"/>
    </row>
    <row r="1145" spans="1:22">
      <c r="A1145" s="219" t="s">
        <v>453</v>
      </c>
      <c r="B1145" s="214" t="s">
        <v>454</v>
      </c>
      <c r="C1145" s="215"/>
      <c r="D1145" s="229"/>
      <c r="E1145" s="215"/>
      <c r="F1145" s="229"/>
      <c r="G1145" s="215"/>
      <c r="H1145" s="229"/>
      <c r="I1145" s="215"/>
      <c r="J1145" s="231"/>
      <c r="K1145" s="215"/>
      <c r="L1145" s="231">
        <v>30000</v>
      </c>
      <c r="M1145" s="224"/>
      <c r="N1145" s="224"/>
      <c r="O1145" s="224"/>
      <c r="P1145" s="224"/>
      <c r="Q1145" s="224"/>
      <c r="R1145" s="224"/>
      <c r="S1145" s="224"/>
      <c r="T1145" s="224"/>
    </row>
    <row r="1146" spans="1:22">
      <c r="A1146" s="219" t="s">
        <v>455</v>
      </c>
      <c r="B1146" s="214" t="s">
        <v>456</v>
      </c>
      <c r="C1146" s="215"/>
      <c r="D1146" s="229"/>
      <c r="E1146" s="215"/>
      <c r="F1146" s="229"/>
      <c r="G1146" s="215"/>
      <c r="H1146" s="229"/>
      <c r="I1146" s="215"/>
      <c r="J1146" s="231"/>
      <c r="K1146" s="215"/>
      <c r="L1146" s="231">
        <v>30000</v>
      </c>
      <c r="M1146" s="224"/>
      <c r="N1146" s="224"/>
      <c r="O1146" s="224"/>
      <c r="P1146" s="224"/>
      <c r="Q1146" s="224"/>
      <c r="R1146" s="224"/>
      <c r="S1146" s="224"/>
      <c r="T1146" s="224"/>
    </row>
    <row r="1147" spans="1:22" customHeight="1" ht="15.75">
      <c r="A1147" s="320" t="s">
        <v>457</v>
      </c>
      <c r="B1147" s="214"/>
      <c r="C1147" s="215"/>
      <c r="D1147" s="279">
        <f>SUM(D1126:D1146)</f>
        <v>7837893.82</v>
      </c>
      <c r="E1147" s="215"/>
      <c r="F1147" s="279">
        <f>SUM(F1126:F1146)</f>
        <v>4333196.2</v>
      </c>
      <c r="G1147" s="215"/>
      <c r="H1147" s="279">
        <f>SUM(H1126:H1146)</f>
        <v>667803.8</v>
      </c>
      <c r="I1147" s="215"/>
      <c r="J1147" s="325">
        <f>SUM(J1126:J1146)</f>
        <v>5301000</v>
      </c>
      <c r="K1147" s="215"/>
      <c r="L1147" s="325">
        <f>SUM(L1126:L1146)</f>
        <v>6836000</v>
      </c>
      <c r="M1147" s="295"/>
      <c r="N1147" s="295"/>
      <c r="O1147" s="295"/>
      <c r="P1147" s="295"/>
      <c r="Q1147" s="295"/>
      <c r="R1147" s="295"/>
      <c r="S1147" s="295"/>
      <c r="T1147" s="295"/>
    </row>
    <row r="1148" spans="1:22" customHeight="1" ht="15.75">
      <c r="A1148" s="326" t="s">
        <v>458</v>
      </c>
      <c r="B1148" s="207"/>
      <c r="C1148" s="244" t="s">
        <v>23</v>
      </c>
      <c r="D1148" s="247">
        <f>D1147+D1123</f>
        <v>7837893.82</v>
      </c>
      <c r="E1148" s="246" t="s">
        <v>23</v>
      </c>
      <c r="F1148" s="247">
        <f>F1147+F1123</f>
        <v>4333196.2</v>
      </c>
      <c r="G1148" s="246" t="s">
        <v>23</v>
      </c>
      <c r="H1148" s="247">
        <f>H1147+H1123</f>
        <v>667803.8</v>
      </c>
      <c r="I1148" s="246" t="s">
        <v>23</v>
      </c>
      <c r="J1148" s="247">
        <f>J1147+J1123</f>
        <v>10121000</v>
      </c>
      <c r="K1148" s="246" t="s">
        <v>23</v>
      </c>
      <c r="L1148" s="247">
        <f>L1147+L1123</f>
        <v>6836000</v>
      </c>
      <c r="M1148" s="248"/>
      <c r="N1148" s="248"/>
      <c r="O1148" s="248"/>
      <c r="P1148" s="248"/>
      <c r="Q1148" s="248"/>
      <c r="R1148" s="248"/>
      <c r="S1148" s="248"/>
      <c r="T1148" s="248"/>
    </row>
    <row r="1149" spans="1:22" customHeight="1" ht="15.75">
      <c r="A1149" s="327"/>
      <c r="B1149" s="187"/>
      <c r="C1149" s="258"/>
      <c r="D1149" s="261"/>
      <c r="E1149" s="258"/>
      <c r="F1149" s="261"/>
      <c r="G1149" s="258"/>
      <c r="H1149" s="261"/>
      <c r="I1149" s="258"/>
      <c r="J1149" s="261"/>
      <c r="K1149" s="258"/>
      <c r="L1149" s="248"/>
      <c r="M1149" s="248"/>
      <c r="N1149" s="248"/>
      <c r="O1149" s="248"/>
      <c r="P1149" s="248"/>
      <c r="Q1149" s="248"/>
      <c r="R1149" s="248"/>
      <c r="S1149" s="248"/>
      <c r="T1149" s="248"/>
    </row>
    <row r="1150" spans="1:22">
      <c r="A1150" s="189"/>
      <c r="B1150" s="190"/>
      <c r="C1150" s="191" t="s">
        <v>350</v>
      </c>
      <c r="D1150" s="192"/>
      <c r="E1150" s="193" t="s">
        <v>351</v>
      </c>
      <c r="F1150" s="194"/>
      <c r="G1150" s="194"/>
      <c r="H1150" s="194"/>
      <c r="I1150" s="194"/>
      <c r="J1150" s="195"/>
      <c r="K1150" s="191" t="s">
        <v>352</v>
      </c>
      <c r="L1150" s="196"/>
      <c r="M1150" s="186"/>
      <c r="N1150" s="186"/>
      <c r="O1150" s="186"/>
      <c r="P1150" s="186"/>
      <c r="Q1150" s="186"/>
      <c r="R1150" s="186"/>
      <c r="S1150" s="186"/>
      <c r="T1150" s="186"/>
    </row>
    <row r="1151" spans="1:22">
      <c r="A1151" s="197" t="s">
        <v>353</v>
      </c>
      <c r="B1151" s="198" t="s">
        <v>354</v>
      </c>
      <c r="C1151" s="199">
        <v>2023</v>
      </c>
      <c r="D1151" s="200"/>
      <c r="E1151" s="201" t="s">
        <v>11</v>
      </c>
      <c r="F1151" s="202"/>
      <c r="G1151" s="201" t="s">
        <v>355</v>
      </c>
      <c r="H1151" s="202"/>
      <c r="I1151" s="203" t="s">
        <v>356</v>
      </c>
      <c r="J1151" s="204"/>
      <c r="K1151" s="199">
        <v>2025</v>
      </c>
      <c r="L1151" s="205"/>
      <c r="M1151" s="186"/>
      <c r="N1151" s="186"/>
      <c r="O1151" s="186"/>
      <c r="P1151" s="186"/>
      <c r="Q1151" s="186"/>
      <c r="R1151" s="186"/>
      <c r="S1151" s="186"/>
      <c r="T1151" s="186"/>
    </row>
    <row r="1152" spans="1:22" customHeight="1" ht="15.75">
      <c r="A1152" s="206"/>
      <c r="B1152" s="207"/>
      <c r="C1152" s="208" t="s">
        <v>17</v>
      </c>
      <c r="D1152" s="209"/>
      <c r="E1152" s="208" t="s">
        <v>17</v>
      </c>
      <c r="F1152" s="209"/>
      <c r="G1152" s="208" t="s">
        <v>18</v>
      </c>
      <c r="H1152" s="209"/>
      <c r="I1152" s="210"/>
      <c r="J1152" s="211"/>
      <c r="K1152" s="208" t="s">
        <v>357</v>
      </c>
      <c r="L1152" s="212"/>
      <c r="M1152" s="186"/>
      <c r="N1152" s="186"/>
      <c r="O1152" s="186"/>
      <c r="P1152" s="186"/>
      <c r="Q1152" s="186"/>
      <c r="R1152" s="186"/>
      <c r="S1152" s="186"/>
      <c r="T1152" s="186"/>
    </row>
    <row r="1153" spans="1:22">
      <c r="A1153" s="225" t="s">
        <v>121</v>
      </c>
      <c r="B1153" s="328"/>
      <c r="D1153" s="329"/>
      <c r="E1153" s="330"/>
      <c r="F1153" s="329"/>
      <c r="G1153" s="330"/>
      <c r="H1153" s="329"/>
      <c r="I1153" s="330"/>
      <c r="J1153" s="329"/>
      <c r="K1153" s="330"/>
      <c r="L1153" s="331"/>
    </row>
    <row r="1154" spans="1:22">
      <c r="A1154" s="219" t="s">
        <v>270</v>
      </c>
      <c r="B1154" s="214" t="s">
        <v>271</v>
      </c>
      <c r="C1154" s="215" t="s">
        <v>23</v>
      </c>
      <c r="D1154" s="229">
        <v>0</v>
      </c>
      <c r="E1154" s="215" t="s">
        <v>23</v>
      </c>
      <c r="F1154" s="229">
        <v>0</v>
      </c>
      <c r="G1154" s="215" t="s">
        <v>23</v>
      </c>
      <c r="H1154" s="229">
        <f>J1154-F1154</f>
        <v>352000</v>
      </c>
      <c r="I1154" s="215" t="s">
        <v>23</v>
      </c>
      <c r="J1154" s="231">
        <v>352000</v>
      </c>
      <c r="K1154" s="215" t="s">
        <v>23</v>
      </c>
      <c r="L1154" s="231">
        <v>352000</v>
      </c>
      <c r="M1154" s="224"/>
      <c r="N1154" s="224"/>
      <c r="O1154" s="224"/>
      <c r="P1154" s="224"/>
      <c r="Q1154" s="224"/>
      <c r="R1154" s="224"/>
      <c r="S1154" s="224"/>
      <c r="T1154" s="224"/>
    </row>
    <row r="1155" spans="1:22">
      <c r="A1155" s="219" t="s">
        <v>272</v>
      </c>
      <c r="B1155" s="214" t="s">
        <v>273</v>
      </c>
      <c r="C1155" s="215"/>
      <c r="D1155" s="229">
        <v>1346469.75</v>
      </c>
      <c r="E1155" s="215"/>
      <c r="F1155" s="229">
        <v>643469.5</v>
      </c>
      <c r="G1155" s="215"/>
      <c r="H1155" s="229">
        <f>J1155-F1155</f>
        <v>1356530.5</v>
      </c>
      <c r="I1155" s="215"/>
      <c r="J1155" s="231">
        <v>2000000</v>
      </c>
      <c r="K1155" s="215"/>
      <c r="L1155" s="231">
        <v>2000000</v>
      </c>
      <c r="M1155" s="224"/>
      <c r="N1155" s="224"/>
      <c r="O1155" s="224"/>
      <c r="P1155" s="224"/>
      <c r="Q1155" s="224"/>
      <c r="R1155" s="224"/>
      <c r="S1155" s="224"/>
      <c r="T1155" s="224"/>
    </row>
    <row r="1156" spans="1:22">
      <c r="A1156" s="219" t="s">
        <v>285</v>
      </c>
      <c r="B1156" s="214" t="s">
        <v>422</v>
      </c>
      <c r="C1156" s="215"/>
      <c r="D1156" s="229">
        <v>199399</v>
      </c>
      <c r="E1156" s="215"/>
      <c r="F1156" s="229">
        <v>92099</v>
      </c>
      <c r="G1156" s="215"/>
      <c r="H1156" s="229">
        <f>J1156-F1156</f>
        <v>107901</v>
      </c>
      <c r="I1156" s="215"/>
      <c r="J1156" s="231">
        <v>200000</v>
      </c>
      <c r="K1156" s="215"/>
      <c r="L1156" s="231">
        <v>1000000</v>
      </c>
      <c r="M1156" s="224"/>
      <c r="N1156" s="224"/>
      <c r="O1156" s="224"/>
      <c r="P1156" s="224"/>
      <c r="Q1156" s="224"/>
      <c r="R1156" s="224"/>
      <c r="S1156" s="224"/>
      <c r="T1156" s="224"/>
    </row>
    <row r="1157" spans="1:22">
      <c r="A1157" s="219" t="s">
        <v>291</v>
      </c>
      <c r="B1157" s="214" t="s">
        <v>424</v>
      </c>
      <c r="C1157" s="215"/>
      <c r="D1157" s="229">
        <v>528000</v>
      </c>
      <c r="E1157" s="215"/>
      <c r="F1157" s="229">
        <v>528000</v>
      </c>
      <c r="G1157" s="215"/>
      <c r="H1157" s="229">
        <f>J1157-F1157</f>
        <v>72000</v>
      </c>
      <c r="I1157" s="215"/>
      <c r="J1157" s="231">
        <v>600000</v>
      </c>
      <c r="K1157" s="215"/>
      <c r="L1157" s="231">
        <v>600000</v>
      </c>
      <c r="M1157" s="224"/>
      <c r="N1157" s="224"/>
      <c r="O1157" s="224"/>
      <c r="P1157" s="224"/>
      <c r="Q1157" s="224"/>
      <c r="R1157" s="224"/>
      <c r="S1157" s="224"/>
      <c r="T1157" s="224"/>
    </row>
    <row r="1158" spans="1:22">
      <c r="A1158" s="219" t="s">
        <v>289</v>
      </c>
      <c r="B1158" s="214" t="s">
        <v>292</v>
      </c>
      <c r="D1158" s="220">
        <v>135500</v>
      </c>
      <c r="F1158" s="220">
        <v>86000</v>
      </c>
      <c r="H1158" s="220">
        <f>J1158-F1158</f>
        <v>14000</v>
      </c>
      <c r="J1158" s="223">
        <v>100000</v>
      </c>
      <c r="L1158" s="223">
        <v>200000</v>
      </c>
      <c r="M1158" s="224"/>
      <c r="N1158" s="224"/>
      <c r="O1158" s="224"/>
      <c r="P1158" s="224"/>
      <c r="Q1158" s="224"/>
      <c r="R1158" s="224"/>
      <c r="S1158" s="224"/>
      <c r="T1158" s="224"/>
    </row>
    <row r="1159" spans="1:22">
      <c r="A1159" s="219" t="s">
        <v>293</v>
      </c>
      <c r="B1159" s="214" t="s">
        <v>294</v>
      </c>
      <c r="C1159" s="215"/>
      <c r="D1159" s="220">
        <v>0</v>
      </c>
      <c r="E1159" s="215"/>
      <c r="F1159" s="220">
        <v>0</v>
      </c>
      <c r="G1159" s="215"/>
      <c r="H1159" s="220">
        <f>J1159-F1159</f>
        <v>0</v>
      </c>
      <c r="I1159" s="215"/>
      <c r="J1159" s="223">
        <v>0</v>
      </c>
      <c r="K1159" s="215"/>
      <c r="L1159" s="223">
        <v>150000</v>
      </c>
      <c r="M1159" s="224"/>
      <c r="N1159" s="224"/>
      <c r="O1159" s="224"/>
      <c r="P1159" s="224"/>
      <c r="Q1159" s="224"/>
      <c r="R1159" s="224"/>
      <c r="S1159" s="224"/>
      <c r="T1159" s="224"/>
    </row>
    <row r="1160" spans="1:22">
      <c r="A1160" s="219" t="s">
        <v>295</v>
      </c>
      <c r="B1160" s="214" t="s">
        <v>178</v>
      </c>
      <c r="C1160" s="215"/>
      <c r="D1160" s="220"/>
      <c r="E1160" s="215"/>
      <c r="F1160" s="220">
        <v>0</v>
      </c>
      <c r="G1160" s="215"/>
      <c r="H1160" s="220">
        <v>0</v>
      </c>
      <c r="I1160" s="215"/>
      <c r="J1160" s="223">
        <v>0</v>
      </c>
      <c r="K1160" s="215"/>
      <c r="L1160" s="223">
        <v>150000</v>
      </c>
      <c r="M1160" s="224"/>
      <c r="N1160" s="224"/>
      <c r="O1160" s="224"/>
      <c r="P1160" s="224"/>
      <c r="Q1160" s="224"/>
      <c r="R1160" s="224"/>
      <c r="S1160" s="224"/>
      <c r="T1160" s="224"/>
    </row>
    <row r="1161" spans="1:22">
      <c r="A1161" s="219" t="s">
        <v>296</v>
      </c>
      <c r="B1161" s="214" t="s">
        <v>297</v>
      </c>
      <c r="C1161" s="215"/>
      <c r="D1161" s="220">
        <v>1152591</v>
      </c>
      <c r="E1161" s="215"/>
      <c r="F1161" s="220">
        <v>494100</v>
      </c>
      <c r="G1161" s="215"/>
      <c r="H1161" s="220">
        <f>J1161-F1161</f>
        <v>705900</v>
      </c>
      <c r="I1161" s="215"/>
      <c r="J1161" s="223">
        <v>1200000</v>
      </c>
      <c r="K1161" s="215"/>
      <c r="L1161" s="223">
        <v>1200000</v>
      </c>
      <c r="M1161" s="224"/>
      <c r="N1161" s="224"/>
      <c r="O1161" s="224"/>
      <c r="P1161" s="224"/>
      <c r="Q1161" s="224"/>
      <c r="R1161" s="224"/>
      <c r="S1161" s="224"/>
      <c r="T1161" s="224"/>
    </row>
    <row r="1162" spans="1:22">
      <c r="A1162" s="219" t="s">
        <v>298</v>
      </c>
      <c r="B1162" s="214" t="s">
        <v>299</v>
      </c>
      <c r="C1162" s="215"/>
      <c r="D1162" s="229">
        <v>0</v>
      </c>
      <c r="E1162" s="215"/>
      <c r="F1162" s="229">
        <v>0</v>
      </c>
      <c r="G1162" s="215"/>
      <c r="H1162" s="229">
        <f>J1162-F1162</f>
        <v>21000</v>
      </c>
      <c r="I1162" s="215"/>
      <c r="J1162" s="231">
        <v>21000</v>
      </c>
      <c r="K1162" s="215"/>
      <c r="L1162" s="231">
        <v>21000</v>
      </c>
      <c r="M1162" s="224"/>
      <c r="N1162" s="224"/>
      <c r="O1162" s="224"/>
      <c r="P1162" s="224"/>
      <c r="Q1162" s="224"/>
      <c r="R1162" s="224"/>
      <c r="S1162" s="224"/>
      <c r="T1162" s="224"/>
    </row>
    <row r="1163" spans="1:22">
      <c r="A1163" s="219" t="s">
        <v>300</v>
      </c>
      <c r="B1163" s="214" t="s">
        <v>301</v>
      </c>
      <c r="C1163" s="215"/>
      <c r="D1163" s="229">
        <v>380000</v>
      </c>
      <c r="E1163" s="215"/>
      <c r="F1163" s="229">
        <v>380000</v>
      </c>
      <c r="G1163" s="215"/>
      <c r="H1163" s="229">
        <f>J1163-F1163</f>
        <v>0</v>
      </c>
      <c r="I1163" s="215"/>
      <c r="J1163" s="231">
        <v>380000</v>
      </c>
      <c r="K1163" s="215"/>
      <c r="L1163" s="231">
        <v>500000</v>
      </c>
      <c r="M1163" s="224"/>
      <c r="N1163" s="224"/>
      <c r="O1163" s="224"/>
      <c r="P1163" s="224"/>
      <c r="Q1163" s="224"/>
      <c r="R1163" s="224"/>
      <c r="S1163" s="224"/>
      <c r="T1163" s="224"/>
    </row>
    <row r="1164" spans="1:22">
      <c r="A1164" s="219" t="s">
        <v>302</v>
      </c>
      <c r="B1164" s="214" t="s">
        <v>303</v>
      </c>
      <c r="C1164" s="332"/>
      <c r="D1164" s="222">
        <v>568445</v>
      </c>
      <c r="E1164" s="332"/>
      <c r="F1164" s="222">
        <v>160645</v>
      </c>
      <c r="G1164" s="332"/>
      <c r="H1164" s="222">
        <f>J1164-F1164</f>
        <v>139355</v>
      </c>
      <c r="I1164" s="332"/>
      <c r="J1164" s="223">
        <v>300000</v>
      </c>
      <c r="K1164" s="218"/>
      <c r="L1164" s="231">
        <v>1000000</v>
      </c>
      <c r="M1164" s="224"/>
      <c r="N1164" s="224"/>
      <c r="O1164" s="224"/>
      <c r="P1164" s="224"/>
      <c r="Q1164" s="224"/>
      <c r="R1164" s="224"/>
      <c r="S1164" s="224"/>
      <c r="T1164" s="224"/>
      <c r="U1164" s="61"/>
    </row>
    <row r="1165" spans="1:22">
      <c r="A1165" s="219" t="s">
        <v>304</v>
      </c>
      <c r="B1165" s="214" t="s">
        <v>305</v>
      </c>
      <c r="C1165" s="332"/>
      <c r="D1165" s="230">
        <v>1489644.19</v>
      </c>
      <c r="E1165" s="224"/>
      <c r="F1165" s="230">
        <v>1020800</v>
      </c>
      <c r="G1165" s="224"/>
      <c r="H1165" s="230">
        <f>J1165-F1165</f>
        <v>-20800</v>
      </c>
      <c r="I1165" s="224"/>
      <c r="J1165" s="231">
        <v>1000000</v>
      </c>
      <c r="K1165" s="224"/>
      <c r="L1165" s="231">
        <v>2000000</v>
      </c>
      <c r="M1165" s="224"/>
      <c r="N1165" s="224"/>
      <c r="O1165" s="224"/>
      <c r="P1165" s="224"/>
      <c r="Q1165" s="224"/>
      <c r="R1165" s="224"/>
      <c r="S1165" s="224"/>
      <c r="T1165" s="224"/>
      <c r="U1165" s="61"/>
    </row>
    <row r="1166" spans="1:22">
      <c r="A1166" s="219" t="s">
        <v>274</v>
      </c>
      <c r="B1166" s="214" t="s">
        <v>275</v>
      </c>
      <c r="C1166" s="332"/>
      <c r="D1166" s="230">
        <v>0</v>
      </c>
      <c r="E1166" s="224"/>
      <c r="F1166" s="230">
        <v>0</v>
      </c>
      <c r="G1166" s="224"/>
      <c r="H1166" s="230">
        <f>J1166-F1166</f>
        <v>20000</v>
      </c>
      <c r="I1166" s="224"/>
      <c r="J1166" s="231">
        <v>20000</v>
      </c>
      <c r="K1166" s="224"/>
      <c r="L1166" s="231">
        <v>20000</v>
      </c>
      <c r="M1166" s="224"/>
      <c r="N1166" s="224"/>
      <c r="O1166" s="224"/>
      <c r="P1166" s="224"/>
      <c r="Q1166" s="224"/>
      <c r="R1166" s="224"/>
      <c r="S1166" s="224"/>
      <c r="T1166" s="224"/>
      <c r="U1166" s="61"/>
    </row>
    <row r="1167" spans="1:22">
      <c r="A1167" s="219" t="s">
        <v>276</v>
      </c>
      <c r="B1167" s="214" t="s">
        <v>277</v>
      </c>
      <c r="C1167" s="332"/>
      <c r="D1167" s="230">
        <v>300000</v>
      </c>
      <c r="E1167" s="224"/>
      <c r="F1167" s="230">
        <v>300000</v>
      </c>
      <c r="G1167" s="224"/>
      <c r="H1167" s="230">
        <f>J1167-F1167</f>
        <v>0</v>
      </c>
      <c r="I1167" s="224"/>
      <c r="J1167" s="231">
        <v>300000</v>
      </c>
      <c r="K1167" s="224"/>
      <c r="L1167" s="231">
        <v>500000</v>
      </c>
      <c r="M1167" s="224"/>
      <c r="N1167" s="224"/>
      <c r="O1167" s="224"/>
      <c r="P1167" s="224"/>
      <c r="Q1167" s="224"/>
      <c r="R1167" s="224"/>
      <c r="S1167" s="224"/>
      <c r="T1167" s="224"/>
      <c r="U1167" s="61"/>
    </row>
    <row r="1168" spans="1:22">
      <c r="A1168" s="219" t="s">
        <v>278</v>
      </c>
      <c r="B1168" s="214" t="s">
        <v>279</v>
      </c>
      <c r="C1168" s="332"/>
      <c r="D1168" s="230">
        <v>0</v>
      </c>
      <c r="E1168" s="224"/>
      <c r="F1168" s="230">
        <v>0</v>
      </c>
      <c r="G1168" s="224"/>
      <c r="H1168" s="230">
        <f>J1168-F1168</f>
        <v>52800</v>
      </c>
      <c r="I1168" s="224"/>
      <c r="J1168" s="231">
        <v>52800</v>
      </c>
      <c r="K1168" s="224"/>
      <c r="L1168" s="231">
        <v>52800</v>
      </c>
      <c r="M1168" s="224"/>
      <c r="N1168" s="224"/>
      <c r="O1168" s="224"/>
      <c r="P1168" s="224"/>
      <c r="Q1168" s="224"/>
      <c r="R1168" s="224"/>
      <c r="S1168" s="224"/>
      <c r="T1168" s="224"/>
      <c r="U1168" s="61"/>
    </row>
    <row r="1169" spans="1:22">
      <c r="A1169" s="219" t="s">
        <v>280</v>
      </c>
      <c r="B1169" s="214" t="s">
        <v>281</v>
      </c>
      <c r="C1169" s="332"/>
      <c r="D1169" s="230">
        <v>104275</v>
      </c>
      <c r="E1169" s="224"/>
      <c r="F1169" s="230">
        <v>0</v>
      </c>
      <c r="G1169" s="224"/>
      <c r="H1169" s="230">
        <f>J1169-F1169</f>
        <v>150000</v>
      </c>
      <c r="I1169" s="224"/>
      <c r="J1169" s="231">
        <v>150000</v>
      </c>
      <c r="K1169" s="224"/>
      <c r="L1169" s="231">
        <v>150000</v>
      </c>
      <c r="M1169" s="224"/>
      <c r="N1169" s="224"/>
      <c r="O1169" s="224"/>
      <c r="P1169" s="224"/>
      <c r="Q1169" s="224"/>
      <c r="R1169" s="224"/>
      <c r="S1169" s="224"/>
      <c r="T1169" s="224"/>
      <c r="U1169" s="61"/>
    </row>
    <row r="1170" spans="1:22">
      <c r="A1170" s="219" t="s">
        <v>282</v>
      </c>
      <c r="B1170" s="214" t="s">
        <v>283</v>
      </c>
      <c r="C1170" s="332"/>
      <c r="D1170" s="230">
        <v>0</v>
      </c>
      <c r="E1170" s="224"/>
      <c r="F1170" s="230">
        <v>0</v>
      </c>
      <c r="G1170" s="224"/>
      <c r="H1170" s="230">
        <f>J1170-F1170</f>
        <v>0</v>
      </c>
      <c r="I1170" s="224"/>
      <c r="J1170" s="231">
        <v>0</v>
      </c>
      <c r="K1170" s="224"/>
      <c r="L1170" s="231">
        <v>300000</v>
      </c>
      <c r="M1170" s="224"/>
      <c r="N1170" s="224"/>
      <c r="O1170" s="224"/>
      <c r="P1170" s="224"/>
      <c r="Q1170" s="224"/>
      <c r="R1170" s="224"/>
      <c r="S1170" s="224"/>
      <c r="T1170" s="224"/>
      <c r="U1170" s="61"/>
    </row>
    <row r="1171" spans="1:22">
      <c r="A1171" s="219" t="s">
        <v>459</v>
      </c>
      <c r="B1171" s="214" t="s">
        <v>307</v>
      </c>
      <c r="C1171" s="332"/>
      <c r="D1171" s="333">
        <v>0</v>
      </c>
      <c r="E1171" s="224"/>
      <c r="F1171" s="333">
        <v>0</v>
      </c>
      <c r="G1171" s="224"/>
      <c r="H1171" s="333">
        <v>0</v>
      </c>
      <c r="I1171" s="224"/>
      <c r="J1171" s="334">
        <v>500000</v>
      </c>
      <c r="K1171" s="224"/>
      <c r="L1171" s="334">
        <v>500000</v>
      </c>
      <c r="M1171" s="224"/>
      <c r="N1171" s="224"/>
      <c r="O1171" s="224"/>
      <c r="P1171" s="224"/>
      <c r="Q1171" s="224"/>
      <c r="R1171" s="224"/>
      <c r="S1171" s="224"/>
      <c r="T1171" s="224"/>
      <c r="U1171" s="61"/>
    </row>
    <row r="1172" spans="1:22">
      <c r="A1172" s="219" t="s">
        <v>460</v>
      </c>
      <c r="B1172" s="214" t="s">
        <v>309</v>
      </c>
      <c r="C1172" s="332"/>
      <c r="D1172" s="333"/>
      <c r="E1172" s="224"/>
      <c r="F1172" s="333"/>
      <c r="G1172" s="224"/>
      <c r="H1172" s="333"/>
      <c r="I1172" s="224"/>
      <c r="J1172" s="334"/>
      <c r="K1172" s="224"/>
      <c r="L1172" s="334">
        <v>100000</v>
      </c>
      <c r="M1172" s="224"/>
      <c r="N1172" s="224"/>
      <c r="O1172" s="224"/>
      <c r="P1172" s="224"/>
      <c r="Q1172" s="224"/>
      <c r="R1172" s="224"/>
      <c r="S1172" s="224"/>
      <c r="T1172" s="224"/>
      <c r="U1172" s="61"/>
    </row>
    <row r="1173" spans="1:22">
      <c r="A1173" s="219" t="s">
        <v>461</v>
      </c>
      <c r="B1173" s="214" t="s">
        <v>219</v>
      </c>
      <c r="C1173" s="332"/>
      <c r="D1173" s="333">
        <v>1273086.45</v>
      </c>
      <c r="E1173" s="224"/>
      <c r="F1173" s="333">
        <v>93220</v>
      </c>
      <c r="G1173" s="224"/>
      <c r="H1173" s="333">
        <f>J1173-F1173</f>
        <v>1354156.63</v>
      </c>
      <c r="I1173" s="224"/>
      <c r="J1173" s="334">
        <v>1447376.63</v>
      </c>
      <c r="K1173" s="224"/>
      <c r="L1173" s="334">
        <v>1719970.74</v>
      </c>
      <c r="M1173" s="224"/>
      <c r="N1173" s="224"/>
      <c r="O1173" s="224"/>
      <c r="P1173" s="224"/>
      <c r="Q1173" s="224"/>
      <c r="R1173" s="224"/>
      <c r="S1173" s="224"/>
      <c r="T1173" s="224"/>
      <c r="U1173" s="61"/>
    </row>
    <row r="1174" spans="1:22">
      <c r="A1174" s="219" t="s">
        <v>287</v>
      </c>
      <c r="B1174" s="214" t="s">
        <v>462</v>
      </c>
      <c r="C1174" s="332"/>
      <c r="D1174" s="230">
        <v>217306</v>
      </c>
      <c r="E1174" s="224"/>
      <c r="F1174" s="230">
        <v>29500</v>
      </c>
      <c r="G1174" s="224"/>
      <c r="H1174" s="230">
        <f>J1174-F1174</f>
        <v>220500</v>
      </c>
      <c r="I1174" s="224"/>
      <c r="J1174" s="231">
        <v>250000</v>
      </c>
      <c r="K1174" s="224"/>
      <c r="L1174" s="231">
        <v>250000</v>
      </c>
      <c r="M1174" s="224"/>
      <c r="N1174" s="224"/>
      <c r="O1174" s="224"/>
      <c r="P1174" s="224"/>
      <c r="Q1174" s="224"/>
      <c r="R1174" s="224"/>
      <c r="S1174" s="224"/>
      <c r="T1174" s="224"/>
      <c r="U1174" s="61"/>
    </row>
    <row r="1175" spans="1:22">
      <c r="A1175" s="219" t="s">
        <v>463</v>
      </c>
      <c r="B1175" s="214" t="s">
        <v>311</v>
      </c>
      <c r="C1175" s="332"/>
      <c r="D1175" s="333">
        <v>44075</v>
      </c>
      <c r="E1175" s="224"/>
      <c r="F1175" s="333">
        <v>19350</v>
      </c>
      <c r="G1175" s="224"/>
      <c r="H1175" s="333">
        <f>J1175-F1175</f>
        <v>480650</v>
      </c>
      <c r="I1175" s="224"/>
      <c r="J1175" s="334">
        <v>500000</v>
      </c>
      <c r="K1175" s="224"/>
      <c r="L1175" s="334">
        <v>500000</v>
      </c>
      <c r="M1175" s="224"/>
      <c r="N1175" s="224"/>
      <c r="O1175" s="224"/>
      <c r="P1175" s="224"/>
      <c r="Q1175" s="224"/>
      <c r="R1175" s="224"/>
      <c r="S1175" s="224"/>
      <c r="T1175" s="224"/>
      <c r="U1175" s="61"/>
    </row>
    <row r="1176" spans="1:22">
      <c r="A1176" s="219" t="s">
        <v>312</v>
      </c>
      <c r="B1176" s="214" t="s">
        <v>313</v>
      </c>
      <c r="C1176" s="332"/>
      <c r="D1176" s="230">
        <v>0</v>
      </c>
      <c r="E1176" s="224"/>
      <c r="F1176" s="230">
        <v>0</v>
      </c>
      <c r="G1176" s="224"/>
      <c r="H1176" s="230">
        <v>0</v>
      </c>
      <c r="I1176" s="224"/>
      <c r="J1176" s="231">
        <v>150000</v>
      </c>
      <c r="K1176" s="224"/>
      <c r="L1176" s="231">
        <v>200000</v>
      </c>
      <c r="M1176" s="224"/>
      <c r="N1176" s="224"/>
      <c r="O1176" s="224"/>
      <c r="P1176" s="224"/>
      <c r="Q1176" s="224"/>
      <c r="R1176" s="224"/>
      <c r="S1176" s="224"/>
      <c r="T1176" s="224"/>
      <c r="U1176" s="61"/>
    </row>
    <row r="1177" spans="1:22" customHeight="1" ht="15.75">
      <c r="A1177" s="219" t="s">
        <v>314</v>
      </c>
      <c r="B1177" s="214" t="s">
        <v>315</v>
      </c>
      <c r="C1177" s="332"/>
      <c r="D1177" s="256">
        <v>0</v>
      </c>
      <c r="E1177" s="224"/>
      <c r="F1177" s="256">
        <v>0</v>
      </c>
      <c r="G1177" s="224"/>
      <c r="H1177" s="256">
        <v>0</v>
      </c>
      <c r="I1177" s="224"/>
      <c r="J1177" s="257">
        <v>1000000</v>
      </c>
      <c r="K1177" s="224"/>
      <c r="L1177" s="257">
        <v>1000000</v>
      </c>
      <c r="M1177" s="224"/>
      <c r="N1177" s="224"/>
      <c r="O1177" s="224"/>
      <c r="P1177" s="224"/>
      <c r="Q1177" s="224"/>
      <c r="R1177" s="224"/>
      <c r="S1177" s="224"/>
      <c r="T1177" s="224"/>
      <c r="U1177" s="61"/>
    </row>
    <row r="1178" spans="1:22" customHeight="1" ht="15.75">
      <c r="A1178" s="335" t="s">
        <v>464</v>
      </c>
      <c r="B1178" s="254"/>
      <c r="C1178" s="336" t="s">
        <v>23</v>
      </c>
      <c r="D1178" s="300">
        <f>SUM(D1154:D1177)</f>
        <v>7738791.39</v>
      </c>
      <c r="E1178" s="336" t="s">
        <v>23</v>
      </c>
      <c r="F1178" s="300">
        <f>SUM(F1158:F1176)</f>
        <v>2583615</v>
      </c>
      <c r="G1178" s="336" t="s">
        <v>23</v>
      </c>
      <c r="H1178" s="300">
        <f>SUM(H1158:H1175)</f>
        <v>3137561.63</v>
      </c>
      <c r="I1178" s="336" t="s">
        <v>23</v>
      </c>
      <c r="J1178" s="300">
        <f>SUM(J1158:J1176)</f>
        <v>6371176.63</v>
      </c>
      <c r="K1178" s="336" t="s">
        <v>23</v>
      </c>
      <c r="L1178" s="247">
        <f>SUM(L1154:L1177)</f>
        <v>14465770.74</v>
      </c>
      <c r="M1178" s="248"/>
      <c r="N1178" s="248"/>
      <c r="O1178" s="248"/>
      <c r="P1178" s="248"/>
      <c r="Q1178" s="248"/>
      <c r="R1178" s="248"/>
      <c r="S1178" s="248"/>
      <c r="T1178" s="248"/>
      <c r="U1178" s="121"/>
    </row>
    <row r="1179" spans="1:22" customHeight="1" ht="15.75">
      <c r="A1179" s="225" t="s">
        <v>465</v>
      </c>
      <c r="B1179" s="254"/>
      <c r="C1179" s="336"/>
      <c r="D1179" s="300">
        <f>D1178+D1147</f>
        <v>15576685.21</v>
      </c>
      <c r="E1179" s="336"/>
      <c r="F1179" s="300">
        <f>F1178+F1147</f>
        <v>6916811.2</v>
      </c>
      <c r="G1179" s="336"/>
      <c r="H1179" s="300">
        <f>H1178+H1147</f>
        <v>3805365.43</v>
      </c>
      <c r="I1179" s="336"/>
      <c r="J1179" s="300">
        <f>J1178+J1147</f>
        <v>11672176.63</v>
      </c>
      <c r="K1179" s="336"/>
      <c r="L1179" s="300">
        <f>L1178+L1148</f>
        <v>21301770.74</v>
      </c>
      <c r="M1179" s="248"/>
      <c r="N1179" s="248"/>
      <c r="O1179" s="248"/>
      <c r="P1179" s="248"/>
      <c r="Q1179" s="248"/>
      <c r="R1179" s="248"/>
      <c r="S1179" s="248"/>
      <c r="T1179" s="248"/>
      <c r="U1179" s="121"/>
    </row>
    <row r="1180" spans="1:22" customHeight="1" ht="15.75">
      <c r="A1180" s="242" t="s">
        <v>466</v>
      </c>
      <c r="B1180" s="337"/>
      <c r="C1180" s="338" t="s">
        <v>23</v>
      </c>
      <c r="D1180" s="282">
        <f>D1148+D1178</f>
        <v>15576685.21</v>
      </c>
      <c r="E1180" s="338" t="s">
        <v>23</v>
      </c>
      <c r="F1180" s="282">
        <f>F1148+F1178</f>
        <v>6916811.2</v>
      </c>
      <c r="G1180" s="338" t="s">
        <v>23</v>
      </c>
      <c r="H1180" s="282">
        <f>H1148+H1178</f>
        <v>3805365.43</v>
      </c>
      <c r="I1180" s="338" t="s">
        <v>23</v>
      </c>
      <c r="J1180" s="282">
        <f>J1148+J1178</f>
        <v>16492176.63</v>
      </c>
      <c r="K1180" s="338" t="s">
        <v>23</v>
      </c>
      <c r="L1180" s="247">
        <f>L1179+L1123</f>
        <v>21301770.74</v>
      </c>
      <c r="M1180" s="248"/>
      <c r="N1180" s="248"/>
      <c r="O1180" s="248"/>
      <c r="P1180" s="248"/>
      <c r="Q1180" s="248"/>
      <c r="R1180" s="248"/>
      <c r="S1180" s="248"/>
      <c r="T1180" s="248"/>
    </row>
    <row r="1181" spans="1:22">
      <c r="A1181" s="215" t="s">
        <v>371</v>
      </c>
      <c r="B1181" s="215" t="s">
        <v>372</v>
      </c>
      <c r="C1181" s="215"/>
      <c r="D1181" s="215"/>
      <c r="E1181" s="215"/>
      <c r="F1181" s="215"/>
      <c r="G1181" s="215" t="s">
        <v>373</v>
      </c>
      <c r="H1181" s="215"/>
      <c r="N1181" s="339"/>
    </row>
    <row r="1182" spans="1:22">
      <c r="B1182" t="s">
        <v>81</v>
      </c>
    </row>
    <row r="1184" spans="1:22">
      <c r="A1184" s="268" t="s">
        <v>326</v>
      </c>
      <c r="B1184" s="269" t="s">
        <v>374</v>
      </c>
      <c r="C1184" s="269"/>
      <c r="D1184" s="269"/>
      <c r="E1184" s="269"/>
      <c r="F1184" s="269"/>
      <c r="G1184" s="270"/>
      <c r="H1184" s="269" t="s">
        <v>326</v>
      </c>
      <c r="I1184" s="269"/>
      <c r="J1184" s="269"/>
      <c r="K1184" s="269"/>
      <c r="L1184" s="269"/>
      <c r="M1184" s="268"/>
      <c r="N1184" s="268"/>
      <c r="O1184" s="268"/>
      <c r="P1184" s="268"/>
      <c r="Q1184" s="268"/>
      <c r="R1184" s="268"/>
      <c r="S1184" s="268"/>
      <c r="T1184" s="268"/>
    </row>
    <row r="1185" spans="1:22">
      <c r="A1185" s="271" t="s">
        <v>327</v>
      </c>
      <c r="B1185" s="272" t="s">
        <v>375</v>
      </c>
      <c r="C1185" s="272"/>
      <c r="D1185" s="272"/>
      <c r="E1185" s="272"/>
      <c r="F1185" s="272"/>
      <c r="G1185" s="215"/>
      <c r="H1185" s="272" t="s">
        <v>327</v>
      </c>
      <c r="I1185" s="272"/>
      <c r="J1185" s="272"/>
      <c r="K1185" s="272"/>
      <c r="L1185" s="272"/>
      <c r="M1185" s="271"/>
      <c r="N1185" s="271"/>
      <c r="O1185" s="271"/>
      <c r="P1185" s="271"/>
      <c r="Q1185" s="271"/>
      <c r="R1185" s="271"/>
      <c r="S1185" s="271"/>
      <c r="T1185" s="271"/>
    </row>
    <row r="1186" spans="1:22">
      <c r="A1186" s="271"/>
      <c r="B1186" s="271"/>
      <c r="C1186" s="271"/>
      <c r="D1186" s="271"/>
      <c r="E1186" s="271"/>
      <c r="F1186" s="271"/>
      <c r="G1186" s="215"/>
      <c r="H1186" s="271"/>
      <c r="I1186" s="271"/>
      <c r="J1186" s="271"/>
      <c r="K1186" s="271"/>
      <c r="L1186" s="271"/>
      <c r="M1186" s="271"/>
      <c r="N1186" s="271"/>
      <c r="O1186" s="271"/>
      <c r="P1186" s="271"/>
      <c r="Q1186" s="271"/>
      <c r="R1186" s="271"/>
      <c r="S1186" s="271"/>
      <c r="T1186" s="271"/>
    </row>
    <row r="1187" spans="1:22">
      <c r="A1187" s="273" t="s">
        <v>346</v>
      </c>
      <c r="B1187" s="273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4"/>
      <c r="N1187" s="274"/>
      <c r="O1187" s="274"/>
      <c r="P1187" s="274"/>
      <c r="Q1187" s="274"/>
      <c r="R1187" s="274"/>
      <c r="S1187" s="274"/>
      <c r="T1187" s="274"/>
    </row>
    <row r="1189" spans="1:22" customHeight="1" ht="15.75">
      <c r="A1189" s="183" t="s">
        <v>347</v>
      </c>
      <c r="B1189" s="183"/>
      <c r="C1189" s="183"/>
      <c r="D1189" s="183"/>
      <c r="E1189" s="183"/>
      <c r="F1189" s="183"/>
      <c r="G1189" s="183"/>
      <c r="H1189" s="183"/>
      <c r="I1189" s="183"/>
      <c r="J1189" s="183"/>
      <c r="K1189" s="183"/>
      <c r="L1189" s="183"/>
      <c r="M1189" s="184"/>
      <c r="N1189" s="184"/>
      <c r="O1189" s="184"/>
      <c r="P1189" s="184"/>
      <c r="Q1189" s="184"/>
      <c r="R1189" s="184"/>
      <c r="S1189" s="184"/>
      <c r="T1189" s="184"/>
    </row>
    <row r="1190" spans="1:22">
      <c r="A1190" s="185" t="s">
        <v>348</v>
      </c>
      <c r="B1190" s="185"/>
      <c r="C1190" s="185"/>
      <c r="D1190" s="185"/>
      <c r="E1190" s="185"/>
      <c r="F1190" s="185"/>
      <c r="G1190" s="185"/>
      <c r="H1190" s="185"/>
      <c r="I1190" s="185"/>
      <c r="J1190" s="185"/>
      <c r="K1190" s="185"/>
      <c r="L1190" s="185"/>
      <c r="M1190" s="186"/>
      <c r="N1190" s="186"/>
      <c r="O1190" s="186"/>
      <c r="P1190" s="186"/>
      <c r="Q1190" s="186"/>
      <c r="R1190" s="186"/>
      <c r="S1190" s="186"/>
      <c r="T1190" s="186"/>
    </row>
    <row r="1192" spans="1:22">
      <c r="A1192" s="187" t="s">
        <v>467</v>
      </c>
    </row>
    <row r="1193" spans="1:22" customHeight="1" ht="15.75"/>
    <row r="1194" spans="1:22">
      <c r="A1194" s="189"/>
      <c r="B1194" s="190"/>
      <c r="C1194" s="191" t="s">
        <v>350</v>
      </c>
      <c r="D1194" s="192"/>
      <c r="E1194" s="193" t="s">
        <v>351</v>
      </c>
      <c r="F1194" s="194"/>
      <c r="G1194" s="194"/>
      <c r="H1194" s="194"/>
      <c r="I1194" s="194"/>
      <c r="J1194" s="195"/>
      <c r="K1194" s="191" t="s">
        <v>352</v>
      </c>
      <c r="L1194" s="196"/>
      <c r="M1194" s="186"/>
      <c r="N1194" s="186"/>
      <c r="O1194" s="186"/>
      <c r="P1194" s="186"/>
      <c r="Q1194" s="186"/>
      <c r="R1194" s="186"/>
      <c r="S1194" s="186"/>
      <c r="T1194" s="186"/>
    </row>
    <row r="1195" spans="1:22">
      <c r="A1195" s="197" t="s">
        <v>353</v>
      </c>
      <c r="B1195" s="198" t="s">
        <v>354</v>
      </c>
      <c r="C1195" s="199">
        <v>2023</v>
      </c>
      <c r="D1195" s="200"/>
      <c r="E1195" s="201" t="s">
        <v>11</v>
      </c>
      <c r="F1195" s="202"/>
      <c r="G1195" s="201" t="s">
        <v>355</v>
      </c>
      <c r="H1195" s="202"/>
      <c r="I1195" s="203" t="s">
        <v>356</v>
      </c>
      <c r="J1195" s="204"/>
      <c r="K1195" s="199">
        <v>2025</v>
      </c>
      <c r="L1195" s="205"/>
      <c r="M1195" s="186"/>
      <c r="N1195" s="186"/>
      <c r="O1195" s="186"/>
      <c r="P1195" s="186"/>
      <c r="Q1195" s="186"/>
      <c r="R1195" s="186"/>
      <c r="S1195" s="186"/>
      <c r="T1195" s="186"/>
    </row>
    <row r="1196" spans="1:22" customHeight="1" ht="15.75">
      <c r="A1196" s="206"/>
      <c r="B1196" s="207"/>
      <c r="C1196" s="208" t="s">
        <v>17</v>
      </c>
      <c r="D1196" s="209"/>
      <c r="E1196" s="208" t="s">
        <v>17</v>
      </c>
      <c r="F1196" s="209"/>
      <c r="G1196" s="208" t="s">
        <v>18</v>
      </c>
      <c r="H1196" s="209"/>
      <c r="I1196" s="210"/>
      <c r="J1196" s="211"/>
      <c r="K1196" s="208" t="s">
        <v>357</v>
      </c>
      <c r="L1196" s="212"/>
      <c r="M1196" s="186"/>
      <c r="N1196" s="186"/>
      <c r="O1196" s="186"/>
      <c r="P1196" s="186"/>
      <c r="Q1196" s="186"/>
      <c r="R1196" s="186"/>
      <c r="S1196" s="186"/>
      <c r="T1196" s="186"/>
    </row>
    <row r="1197" spans="1:22">
      <c r="A1197" s="225" t="s">
        <v>121</v>
      </c>
      <c r="B1197" s="254"/>
      <c r="C1197" s="215"/>
      <c r="D1197" s="216"/>
      <c r="E1197" s="215"/>
      <c r="F1197" s="216"/>
      <c r="G1197" s="215"/>
      <c r="H1197" s="216"/>
      <c r="I1197" s="215"/>
      <c r="J1197" s="216"/>
      <c r="K1197" s="215"/>
      <c r="L1197" s="217"/>
      <c r="M1197" s="218"/>
      <c r="N1197" s="218"/>
      <c r="O1197" s="218"/>
      <c r="P1197" s="218"/>
      <c r="Q1197" s="218"/>
      <c r="R1197" s="218"/>
      <c r="S1197" s="218"/>
      <c r="T1197" s="218"/>
    </row>
    <row r="1198" spans="1:22">
      <c r="A1198" s="219" t="s">
        <v>468</v>
      </c>
      <c r="B1198" s="214" t="s">
        <v>462</v>
      </c>
      <c r="C1198" s="215" t="s">
        <v>23</v>
      </c>
      <c r="D1198" s="226">
        <v>2470991.25</v>
      </c>
      <c r="E1198" s="215" t="s">
        <v>23</v>
      </c>
      <c r="F1198" s="226">
        <v>550907.5</v>
      </c>
      <c r="G1198" s="215" t="s">
        <v>23</v>
      </c>
      <c r="H1198" s="226">
        <v>0</v>
      </c>
      <c r="I1198" s="215" t="s">
        <v>23</v>
      </c>
      <c r="J1198" s="226">
        <v>2298003.21</v>
      </c>
      <c r="K1198" s="215" t="s">
        <v>23</v>
      </c>
      <c r="L1198" s="228">
        <v>3792082.59</v>
      </c>
      <c r="M1198" s="224"/>
      <c r="N1198" s="224"/>
      <c r="O1198" s="224"/>
      <c r="P1198" s="224"/>
      <c r="Q1198" s="224"/>
      <c r="R1198" s="224"/>
      <c r="S1198" s="224"/>
      <c r="T1198" s="224"/>
    </row>
    <row r="1199" spans="1:22">
      <c r="A1199" s="219" t="s">
        <v>469</v>
      </c>
      <c r="B1199" s="214" t="s">
        <v>470</v>
      </c>
      <c r="C1199" s="215"/>
      <c r="D1199" s="229">
        <v>2212281.96</v>
      </c>
      <c r="E1199" s="215"/>
      <c r="F1199" s="229">
        <v>0</v>
      </c>
      <c r="G1199" s="215"/>
      <c r="H1199" s="229">
        <v>0</v>
      </c>
      <c r="I1199" s="215"/>
      <c r="J1199" s="229">
        <v>2313429.94</v>
      </c>
      <c r="K1199" s="215"/>
      <c r="L1199" s="231">
        <v>2782321.11</v>
      </c>
      <c r="M1199" s="224"/>
      <c r="N1199" s="224"/>
      <c r="O1199" s="224"/>
      <c r="P1199" s="224"/>
      <c r="Q1199" s="224"/>
      <c r="R1199" s="224"/>
      <c r="S1199" s="224"/>
      <c r="T1199" s="224"/>
    </row>
    <row r="1200" spans="1:22" customHeight="1" ht="15.75">
      <c r="A1200" s="225" t="s">
        <v>200</v>
      </c>
      <c r="B1200" s="254"/>
      <c r="C1200" s="258" t="s">
        <v>23</v>
      </c>
      <c r="D1200" s="245">
        <f>SUM(D1198:D1199)</f>
        <v>4683273.21</v>
      </c>
      <c r="E1200" s="258" t="s">
        <v>23</v>
      </c>
      <c r="F1200" s="245">
        <f>SUM(F1198:F1199)</f>
        <v>550907.5</v>
      </c>
      <c r="G1200" s="258" t="s">
        <v>23</v>
      </c>
      <c r="H1200" s="245">
        <f>SUM(H1198:H1199)</f>
        <v>0</v>
      </c>
      <c r="I1200" s="258" t="s">
        <v>23</v>
      </c>
      <c r="J1200" s="245">
        <f>SUM(J1198:J1199)</f>
        <v>4611433.15</v>
      </c>
      <c r="K1200" s="258" t="s">
        <v>23</v>
      </c>
      <c r="L1200" s="247">
        <f>SUM(L1198:L1199)</f>
        <v>6574403.7</v>
      </c>
      <c r="M1200" s="248"/>
      <c r="N1200" s="248"/>
      <c r="O1200" s="248"/>
      <c r="P1200" s="248"/>
      <c r="Q1200" s="248"/>
      <c r="R1200" s="248"/>
      <c r="S1200" s="248"/>
      <c r="T1200" s="248"/>
    </row>
    <row r="1201" spans="1:22">
      <c r="A1201" s="225" t="s">
        <v>201</v>
      </c>
      <c r="B1201" s="254"/>
      <c r="D1201" s="280"/>
      <c r="E1201" s="215"/>
      <c r="F1201" s="280"/>
      <c r="G1201" s="215"/>
      <c r="H1201" s="280"/>
      <c r="I1201" s="215"/>
      <c r="J1201" s="280"/>
      <c r="K1201" s="215"/>
      <c r="L1201" s="281"/>
      <c r="M1201" s="224"/>
      <c r="N1201" s="224"/>
      <c r="O1201" s="224"/>
      <c r="P1201" s="224"/>
      <c r="Q1201" s="224"/>
      <c r="R1201" s="224"/>
      <c r="S1201" s="224"/>
      <c r="T1201" s="224"/>
    </row>
    <row r="1202" spans="1:22">
      <c r="A1202" s="219" t="s">
        <v>471</v>
      </c>
      <c r="B1202" s="214" t="s">
        <v>472</v>
      </c>
      <c r="C1202" s="215" t="s">
        <v>23</v>
      </c>
      <c r="D1202" s="220">
        <v>1499312.88</v>
      </c>
      <c r="E1202" s="215" t="s">
        <v>23</v>
      </c>
      <c r="F1202" s="220">
        <v>0</v>
      </c>
      <c r="G1202" s="215" t="s">
        <v>23</v>
      </c>
      <c r="H1202" s="220">
        <v>0</v>
      </c>
      <c r="I1202" s="215" t="s">
        <v>23</v>
      </c>
      <c r="J1202" s="220">
        <v>0</v>
      </c>
      <c r="K1202" s="215" t="s">
        <v>23</v>
      </c>
      <c r="L1202" s="223">
        <v>0</v>
      </c>
      <c r="M1202" s="224"/>
      <c r="N1202" s="224"/>
      <c r="O1202" s="224"/>
      <c r="P1202" s="224"/>
      <c r="Q1202" s="224"/>
      <c r="R1202" s="224"/>
      <c r="S1202" s="224"/>
      <c r="T1202" s="224"/>
    </row>
    <row r="1203" spans="1:22">
      <c r="A1203" s="219" t="s">
        <v>473</v>
      </c>
      <c r="B1203" s="214" t="s">
        <v>474</v>
      </c>
      <c r="D1203" s="220">
        <v>843278.14</v>
      </c>
      <c r="E1203" s="215"/>
      <c r="F1203" s="220">
        <v>0</v>
      </c>
      <c r="G1203" s="215"/>
      <c r="H1203" s="220">
        <v>0</v>
      </c>
      <c r="I1203" s="215"/>
      <c r="J1203" s="220">
        <v>0</v>
      </c>
      <c r="K1203" s="215"/>
      <c r="L1203" s="223">
        <v>0</v>
      </c>
      <c r="M1203" s="224"/>
      <c r="N1203" s="224"/>
      <c r="O1203" s="224"/>
      <c r="P1203" s="224"/>
      <c r="Q1203" s="224"/>
      <c r="R1203" s="224"/>
      <c r="S1203" s="224"/>
      <c r="T1203" s="224"/>
    </row>
    <row r="1204" spans="1:22">
      <c r="A1204" s="219" t="s">
        <v>475</v>
      </c>
      <c r="B1204" s="214" t="s">
        <v>369</v>
      </c>
      <c r="D1204" s="220">
        <v>241540</v>
      </c>
      <c r="E1204" s="215"/>
      <c r="F1204" s="220">
        <v>0</v>
      </c>
      <c r="G1204" s="215"/>
      <c r="H1204" s="220">
        <v>0</v>
      </c>
      <c r="I1204" s="215"/>
      <c r="J1204" s="220">
        <v>0</v>
      </c>
      <c r="K1204" s="215"/>
      <c r="L1204" s="223">
        <v>0</v>
      </c>
      <c r="M1204" s="224"/>
      <c r="N1204" s="224"/>
      <c r="O1204" s="224"/>
      <c r="P1204" s="224"/>
      <c r="Q1204" s="224"/>
      <c r="R1204" s="224"/>
      <c r="S1204" s="224"/>
      <c r="T1204" s="224"/>
    </row>
    <row r="1205" spans="1:22">
      <c r="A1205" s="219" t="s">
        <v>476</v>
      </c>
      <c r="B1205" s="214" t="s">
        <v>477</v>
      </c>
      <c r="C1205" s="215"/>
      <c r="D1205" s="220">
        <v>0</v>
      </c>
      <c r="E1205" s="215"/>
      <c r="F1205" s="220">
        <v>0</v>
      </c>
      <c r="G1205" s="215"/>
      <c r="H1205" s="220">
        <v>0</v>
      </c>
      <c r="I1205" s="215"/>
      <c r="J1205" s="220">
        <v>3000000</v>
      </c>
      <c r="K1205" s="215"/>
      <c r="L1205" s="223">
        <v>0</v>
      </c>
      <c r="M1205" s="224"/>
      <c r="N1205" s="224"/>
      <c r="O1205" s="224"/>
      <c r="P1205" s="224"/>
      <c r="Q1205" s="224"/>
      <c r="R1205" s="224"/>
      <c r="S1205" s="224"/>
      <c r="T1205" s="224"/>
    </row>
    <row r="1206" spans="1:22">
      <c r="A1206" s="219" t="s">
        <v>478</v>
      </c>
      <c r="B1206" s="214" t="s">
        <v>479</v>
      </c>
      <c r="C1206" s="215"/>
      <c r="D1206" s="220">
        <v>0</v>
      </c>
      <c r="E1206" s="215"/>
      <c r="F1206" s="220">
        <v>0</v>
      </c>
      <c r="G1206" s="215"/>
      <c r="H1206" s="220">
        <v>0</v>
      </c>
      <c r="I1206" s="215"/>
      <c r="J1206" s="220">
        <v>100000</v>
      </c>
      <c r="K1206" s="215"/>
      <c r="L1206" s="223">
        <v>0</v>
      </c>
      <c r="M1206" s="224"/>
      <c r="N1206" s="224"/>
      <c r="O1206" s="224"/>
      <c r="P1206" s="224"/>
      <c r="Q1206" s="224"/>
      <c r="R1206" s="224"/>
      <c r="S1206" s="224"/>
      <c r="T1206" s="224"/>
    </row>
    <row r="1207" spans="1:22">
      <c r="A1207" s="219" t="s">
        <v>480</v>
      </c>
      <c r="B1207" s="214" t="s">
        <v>213</v>
      </c>
      <c r="C1207" s="215"/>
      <c r="D1207" s="220">
        <v>0</v>
      </c>
      <c r="E1207" s="215"/>
      <c r="F1207" s="220">
        <v>0</v>
      </c>
      <c r="G1207" s="215"/>
      <c r="H1207" s="220">
        <v>0</v>
      </c>
      <c r="I1207" s="215"/>
      <c r="J1207" s="220">
        <v>0</v>
      </c>
      <c r="K1207" s="215"/>
      <c r="L1207" s="223">
        <v>2000000</v>
      </c>
      <c r="M1207" s="224"/>
      <c r="N1207" s="224"/>
      <c r="O1207" s="224"/>
      <c r="P1207" s="224"/>
      <c r="Q1207" s="224"/>
      <c r="R1207" s="224"/>
      <c r="S1207" s="224"/>
      <c r="T1207" s="224"/>
    </row>
    <row r="1208" spans="1:22" customHeight="1" ht="15.75">
      <c r="A1208" s="219" t="s">
        <v>427</v>
      </c>
      <c r="B1208" s="214" t="s">
        <v>209</v>
      </c>
      <c r="C1208" s="215"/>
      <c r="D1208" s="226">
        <v>0</v>
      </c>
      <c r="E1208" s="215"/>
      <c r="F1208" s="226">
        <v>0</v>
      </c>
      <c r="G1208" s="215"/>
      <c r="H1208" s="226">
        <v>0</v>
      </c>
      <c r="I1208" s="215"/>
      <c r="J1208" s="226">
        <v>0</v>
      </c>
      <c r="K1208" s="215"/>
      <c r="L1208" s="241">
        <v>700000</v>
      </c>
      <c r="M1208" s="224"/>
      <c r="N1208" s="224"/>
      <c r="O1208" s="224"/>
      <c r="P1208" s="224"/>
      <c r="Q1208" s="224"/>
      <c r="R1208" s="224"/>
      <c r="S1208" s="224"/>
      <c r="T1208" s="224"/>
    </row>
    <row r="1209" spans="1:22" customHeight="1" ht="15.75">
      <c r="A1209" s="225" t="s">
        <v>214</v>
      </c>
      <c r="B1209" s="214"/>
      <c r="C1209" s="258" t="s">
        <v>23</v>
      </c>
      <c r="D1209" s="282">
        <f>SUM(D1202:D1208)</f>
        <v>2584131.02</v>
      </c>
      <c r="E1209" s="258" t="s">
        <v>23</v>
      </c>
      <c r="F1209" s="282">
        <f>SUM(F1202:F1208)</f>
        <v>0</v>
      </c>
      <c r="G1209" s="258" t="s">
        <v>23</v>
      </c>
      <c r="H1209" s="282">
        <f>SUM(H1202:H1208)</f>
        <v>0</v>
      </c>
      <c r="I1209" s="258" t="s">
        <v>23</v>
      </c>
      <c r="J1209" s="282">
        <f>SUM(J1202:J1208)</f>
        <v>3100000</v>
      </c>
      <c r="K1209" s="258" t="s">
        <v>23</v>
      </c>
      <c r="L1209" s="340">
        <f>SUM(L1202:L1208)</f>
        <v>2700000</v>
      </c>
      <c r="M1209" s="261"/>
      <c r="N1209" s="248"/>
      <c r="O1209" s="248"/>
      <c r="P1209" s="248"/>
      <c r="Q1209" s="248"/>
      <c r="R1209" s="248"/>
      <c r="S1209" s="248"/>
      <c r="T1209" s="248"/>
    </row>
    <row r="1210" spans="1:22" customHeight="1" ht="15.75">
      <c r="A1210" s="284" t="s">
        <v>370</v>
      </c>
      <c r="B1210" s="285"/>
      <c r="C1210" s="286" t="s">
        <v>23</v>
      </c>
      <c r="D1210" s="287">
        <f>D1200+D1209</f>
        <v>7267404.23</v>
      </c>
      <c r="E1210" s="288" t="s">
        <v>23</v>
      </c>
      <c r="F1210" s="287">
        <f>F1200+F1209</f>
        <v>550907.5</v>
      </c>
      <c r="G1210" s="288" t="s">
        <v>23</v>
      </c>
      <c r="H1210" s="287">
        <f>H1200+H1209</f>
        <v>0</v>
      </c>
      <c r="I1210" s="288" t="s">
        <v>23</v>
      </c>
      <c r="J1210" s="287">
        <f>J1200+J1209</f>
        <v>7711433.15</v>
      </c>
      <c r="K1210" s="288" t="s">
        <v>23</v>
      </c>
      <c r="L1210" s="341">
        <f>L1200+L1209</f>
        <v>9274403.7</v>
      </c>
      <c r="M1210" s="261"/>
      <c r="N1210" s="248"/>
      <c r="O1210" s="248"/>
      <c r="P1210" s="248"/>
      <c r="Q1210" s="248"/>
      <c r="R1210" s="248"/>
      <c r="S1210" s="248"/>
      <c r="T1210" s="248"/>
    </row>
    <row r="1211" spans="1:22" customHeight="1" ht="15.75">
      <c r="A1211" s="187"/>
      <c r="C1211" s="258"/>
      <c r="D1211" s="261"/>
      <c r="E1211" s="258"/>
      <c r="F1211" s="261"/>
      <c r="G1211" s="258"/>
      <c r="H1211" s="261"/>
      <c r="I1211" s="258"/>
      <c r="J1211" s="261"/>
      <c r="K1211" s="258"/>
      <c r="L1211" s="248"/>
      <c r="M1211" s="248"/>
      <c r="N1211" s="248"/>
      <c r="O1211" s="248"/>
      <c r="P1211" s="248"/>
      <c r="Q1211" s="248"/>
      <c r="R1211" s="248"/>
      <c r="S1211" s="248"/>
      <c r="T1211" s="248"/>
    </row>
    <row r="1212" spans="1:22">
      <c r="A1212" s="215" t="s">
        <v>371</v>
      </c>
      <c r="B1212" s="215" t="s">
        <v>372</v>
      </c>
      <c r="C1212" s="215"/>
      <c r="D1212" s="215"/>
      <c r="E1212" s="215"/>
      <c r="F1212" s="215"/>
      <c r="G1212" s="215" t="s">
        <v>373</v>
      </c>
      <c r="H1212" s="215"/>
    </row>
    <row r="1215" spans="1:22">
      <c r="A1215" s="268" t="s">
        <v>377</v>
      </c>
      <c r="B1215" s="269" t="s">
        <v>374</v>
      </c>
      <c r="C1215" s="269"/>
      <c r="D1215" s="269"/>
      <c r="E1215" s="269"/>
      <c r="F1215" s="269"/>
      <c r="G1215" s="270"/>
      <c r="H1215" s="269" t="s">
        <v>326</v>
      </c>
      <c r="I1215" s="269"/>
      <c r="J1215" s="269"/>
      <c r="K1215" s="269"/>
      <c r="L1215" s="269"/>
      <c r="M1215" s="268"/>
      <c r="N1215" s="268"/>
      <c r="O1215" s="268"/>
      <c r="P1215" s="268"/>
      <c r="Q1215" s="268"/>
      <c r="R1215" s="268"/>
      <c r="S1215" s="268"/>
      <c r="T1215" s="268"/>
    </row>
    <row r="1216" spans="1:22">
      <c r="A1216" s="271" t="s">
        <v>378</v>
      </c>
      <c r="B1216" s="272" t="s">
        <v>375</v>
      </c>
      <c r="C1216" s="272"/>
      <c r="D1216" s="272"/>
      <c r="E1216" s="272"/>
      <c r="F1216" s="272"/>
      <c r="G1216" s="215"/>
      <c r="H1216" s="272" t="s">
        <v>327</v>
      </c>
      <c r="I1216" s="272"/>
      <c r="J1216" s="272"/>
      <c r="K1216" s="272"/>
      <c r="L1216" s="272"/>
      <c r="M1216" s="271"/>
      <c r="N1216" s="271"/>
      <c r="O1216" s="271"/>
      <c r="P1216" s="271"/>
      <c r="Q1216" s="271"/>
      <c r="R1216" s="271"/>
      <c r="S1216" s="271"/>
      <c r="T1216" s="271"/>
    </row>
    <row r="1224" spans="1:22">
      <c r="A1224" s="273" t="s">
        <v>346</v>
      </c>
      <c r="B1224" s="273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4"/>
      <c r="N1224" s="274"/>
      <c r="O1224" s="274"/>
      <c r="P1224" s="274"/>
      <c r="Q1224" s="274"/>
      <c r="R1224" s="274"/>
      <c r="S1224" s="274"/>
      <c r="T1224" s="274"/>
    </row>
    <row r="1225" spans="1:22" customHeight="1" ht="15.75">
      <c r="A1225" s="183" t="s">
        <v>347</v>
      </c>
      <c r="B1225" s="183"/>
      <c r="C1225" s="183"/>
      <c r="D1225" s="183"/>
      <c r="E1225" s="183"/>
      <c r="F1225" s="183"/>
      <c r="G1225" s="183"/>
      <c r="H1225" s="183"/>
      <c r="I1225" s="183"/>
      <c r="J1225" s="183"/>
      <c r="K1225" s="183"/>
      <c r="L1225" s="183"/>
      <c r="M1225" s="184"/>
      <c r="N1225" s="184"/>
      <c r="O1225" s="184"/>
      <c r="P1225" s="184"/>
      <c r="Q1225" s="184"/>
      <c r="R1225" s="184"/>
      <c r="S1225" s="184"/>
      <c r="T1225" s="184"/>
    </row>
    <row r="1226" spans="1:22">
      <c r="A1226" s="185" t="s">
        <v>348</v>
      </c>
      <c r="B1226" s="185"/>
      <c r="C1226" s="185"/>
      <c r="D1226" s="185"/>
      <c r="E1226" s="185"/>
      <c r="F1226" s="185"/>
      <c r="G1226" s="185"/>
      <c r="H1226" s="185"/>
      <c r="I1226" s="185"/>
      <c r="J1226" s="185"/>
      <c r="K1226" s="185"/>
      <c r="L1226" s="185"/>
      <c r="M1226" s="186"/>
      <c r="N1226" s="186"/>
      <c r="O1226" s="186"/>
      <c r="P1226" s="186"/>
      <c r="Q1226" s="186"/>
      <c r="R1226" s="186"/>
      <c r="S1226" s="186"/>
      <c r="T1226" s="186"/>
    </row>
    <row r="1228" spans="1:22" customHeight="1" ht="15.75">
      <c r="A1228" s="187" t="s">
        <v>481</v>
      </c>
    </row>
    <row r="1229" spans="1:22">
      <c r="A1229" s="189"/>
      <c r="B1229" s="190"/>
      <c r="C1229" s="191" t="s">
        <v>350</v>
      </c>
      <c r="D1229" s="192"/>
      <c r="E1229" s="193" t="s">
        <v>351</v>
      </c>
      <c r="F1229" s="194"/>
      <c r="G1229" s="194"/>
      <c r="H1229" s="194"/>
      <c r="I1229" s="194"/>
      <c r="J1229" s="195"/>
      <c r="K1229" s="191" t="s">
        <v>352</v>
      </c>
      <c r="L1229" s="196"/>
      <c r="M1229" s="186"/>
      <c r="N1229" s="186"/>
      <c r="O1229" s="186"/>
      <c r="P1229" s="186"/>
      <c r="Q1229" s="186"/>
      <c r="R1229" s="186"/>
      <c r="S1229" s="186"/>
      <c r="T1229" s="186"/>
    </row>
    <row r="1230" spans="1:22">
      <c r="A1230" s="197" t="s">
        <v>353</v>
      </c>
      <c r="B1230" s="198" t="s">
        <v>354</v>
      </c>
      <c r="C1230" s="199">
        <v>2023</v>
      </c>
      <c r="D1230" s="200"/>
      <c r="E1230" s="201" t="s">
        <v>11</v>
      </c>
      <c r="F1230" s="202"/>
      <c r="G1230" s="201" t="s">
        <v>355</v>
      </c>
      <c r="H1230" s="202"/>
      <c r="I1230" s="203" t="s">
        <v>356</v>
      </c>
      <c r="J1230" s="204"/>
      <c r="K1230" s="199">
        <v>2025</v>
      </c>
      <c r="L1230" s="205"/>
      <c r="M1230" s="186"/>
      <c r="N1230" s="186"/>
      <c r="O1230" s="186"/>
      <c r="P1230" s="186"/>
      <c r="Q1230" s="186"/>
      <c r="R1230" s="186"/>
      <c r="S1230" s="186"/>
      <c r="T1230" s="186"/>
    </row>
    <row r="1231" spans="1:22" customHeight="1" ht="15.75">
      <c r="A1231" s="206"/>
      <c r="B1231" s="207"/>
      <c r="C1231" s="208" t="s">
        <v>17</v>
      </c>
      <c r="D1231" s="209"/>
      <c r="E1231" s="208" t="s">
        <v>17</v>
      </c>
      <c r="F1231" s="209"/>
      <c r="G1231" s="208" t="s">
        <v>18</v>
      </c>
      <c r="H1231" s="209"/>
      <c r="I1231" s="210"/>
      <c r="J1231" s="211"/>
      <c r="K1231" s="208" t="s">
        <v>357</v>
      </c>
      <c r="L1231" s="212"/>
      <c r="M1231" s="186"/>
      <c r="N1231" s="186"/>
      <c r="O1231" s="186"/>
      <c r="P1231" s="186"/>
      <c r="Q1231" s="186"/>
      <c r="R1231" s="186"/>
      <c r="S1231" s="186"/>
      <c r="T1231" s="186"/>
    </row>
    <row r="1232" spans="1:22">
      <c r="A1232" s="311" t="s">
        <v>482</v>
      </c>
      <c r="B1232" s="254" t="s">
        <v>483</v>
      </c>
      <c r="C1232" t="s">
        <v>484</v>
      </c>
      <c r="D1232" s="220">
        <v>2997955.38</v>
      </c>
      <c r="E1232" t="s">
        <v>484</v>
      </c>
      <c r="F1232" s="220">
        <v>0</v>
      </c>
      <c r="G1232" t="s">
        <v>484</v>
      </c>
      <c r="H1232" s="220">
        <f>J1232-F1232</f>
        <v>0</v>
      </c>
      <c r="I1232" t="s">
        <v>484</v>
      </c>
      <c r="J1232" s="220">
        <v>0</v>
      </c>
      <c r="K1232" t="s">
        <v>484</v>
      </c>
      <c r="L1232" s="223">
        <v>8500000</v>
      </c>
      <c r="M1232" s="224"/>
      <c r="N1232" s="224"/>
      <c r="O1232" s="224"/>
      <c r="P1232" s="224"/>
      <c r="Q1232" s="224"/>
      <c r="R1232" s="224"/>
      <c r="S1232" s="224"/>
      <c r="T1232" s="224"/>
    </row>
    <row r="1233" spans="1:22">
      <c r="A1233" s="219" t="s">
        <v>485</v>
      </c>
      <c r="B1233" s="254" t="s">
        <v>486</v>
      </c>
      <c r="D1233" s="220">
        <v>17595218.4</v>
      </c>
      <c r="E1233" s="215"/>
      <c r="F1233" s="220">
        <v>9133984.45</v>
      </c>
      <c r="G1233" s="215"/>
      <c r="H1233" s="220">
        <f>J1233-F1233</f>
        <v>12042041.64</v>
      </c>
      <c r="I1233" s="215"/>
      <c r="J1233" s="220">
        <v>21176026.09</v>
      </c>
      <c r="K1233" s="215"/>
      <c r="L1233" s="223">
        <v>25958787.24</v>
      </c>
      <c r="M1233" s="224"/>
      <c r="N1233" s="224"/>
      <c r="O1233" s="224"/>
      <c r="P1233" s="224"/>
      <c r="Q1233" s="224"/>
      <c r="R1233" s="224"/>
      <c r="S1233" s="224"/>
      <c r="T1233" s="224"/>
    </row>
    <row r="1234" spans="1:22">
      <c r="A1234" s="219" t="s">
        <v>487</v>
      </c>
      <c r="B1234" s="254" t="s">
        <v>488</v>
      </c>
      <c r="D1234" s="220">
        <v>398401.57</v>
      </c>
      <c r="E1234" s="215"/>
      <c r="F1234" s="220">
        <v>0</v>
      </c>
      <c r="G1234" s="215"/>
      <c r="H1234" s="220">
        <f>J1234-F1234</f>
        <v>0</v>
      </c>
      <c r="I1234" s="215"/>
      <c r="J1234" s="220"/>
      <c r="K1234" s="215"/>
      <c r="L1234" s="223">
        <v>0</v>
      </c>
      <c r="M1234" s="224"/>
      <c r="N1234" s="224"/>
      <c r="O1234" s="224"/>
      <c r="P1234" s="224"/>
      <c r="Q1234" s="224"/>
      <c r="R1234" s="224"/>
      <c r="S1234" s="224"/>
      <c r="T1234" s="224"/>
    </row>
    <row r="1235" spans="1:22">
      <c r="A1235" s="342" t="s">
        <v>489</v>
      </c>
      <c r="B1235" s="254" t="s">
        <v>490</v>
      </c>
      <c r="D1235" s="220">
        <v>999355.01</v>
      </c>
      <c r="E1235" s="215"/>
      <c r="F1235" s="220">
        <v>0</v>
      </c>
      <c r="G1235" s="215"/>
      <c r="H1235" s="220">
        <f>J1235-F1235</f>
        <v>0</v>
      </c>
      <c r="I1235" s="215"/>
      <c r="J1235" s="220"/>
      <c r="K1235" s="215"/>
      <c r="L1235" s="223">
        <v>0</v>
      </c>
      <c r="M1235" s="224"/>
      <c r="N1235" s="224"/>
      <c r="O1235" s="224"/>
      <c r="P1235" s="224"/>
      <c r="Q1235" s="224"/>
      <c r="R1235" s="224"/>
      <c r="S1235" s="224"/>
      <c r="T1235" s="224"/>
    </row>
    <row r="1236" spans="1:22">
      <c r="A1236" s="342" t="s">
        <v>491</v>
      </c>
      <c r="B1236" s="254" t="s">
        <v>492</v>
      </c>
      <c r="D1236" s="220">
        <v>497686.45</v>
      </c>
      <c r="E1236" s="215"/>
      <c r="F1236" s="220">
        <v>0</v>
      </c>
      <c r="G1236" s="215"/>
      <c r="H1236" s="220">
        <f>J1236-F1236</f>
        <v>571506.51</v>
      </c>
      <c r="I1236" s="215"/>
      <c r="J1236" s="220">
        <v>571506.51</v>
      </c>
      <c r="K1236" s="215"/>
      <c r="L1236" s="223">
        <v>0</v>
      </c>
      <c r="M1236" s="224"/>
      <c r="N1236" s="224"/>
      <c r="O1236" s="224"/>
      <c r="P1236" s="224"/>
      <c r="Q1236" s="224"/>
      <c r="R1236" s="224"/>
      <c r="S1236" s="224"/>
      <c r="T1236" s="224"/>
    </row>
    <row r="1237" spans="1:22">
      <c r="A1237" s="342" t="s">
        <v>493</v>
      </c>
      <c r="B1237" s="254" t="s">
        <v>494</v>
      </c>
      <c r="D1237" s="220">
        <v>496256.93</v>
      </c>
      <c r="E1237" s="215"/>
      <c r="F1237" s="220">
        <v>0</v>
      </c>
      <c r="G1237" s="215"/>
      <c r="H1237" s="220">
        <f>J1237-F1237</f>
        <v>0</v>
      </c>
      <c r="I1237" s="215"/>
      <c r="J1237" s="220"/>
      <c r="K1237" s="215"/>
      <c r="L1237" s="223">
        <v>0</v>
      </c>
      <c r="M1237" s="224"/>
      <c r="N1237" s="224"/>
      <c r="O1237" s="224"/>
      <c r="P1237" s="224"/>
      <c r="Q1237" s="224"/>
      <c r="R1237" s="224"/>
      <c r="S1237" s="224"/>
      <c r="T1237" s="224"/>
    </row>
    <row r="1238" spans="1:22">
      <c r="A1238" s="342" t="s">
        <v>495</v>
      </c>
      <c r="B1238" s="254" t="s">
        <v>496</v>
      </c>
      <c r="D1238" s="220">
        <v>475403.1</v>
      </c>
      <c r="E1238" s="215"/>
      <c r="F1238" s="220">
        <v>0</v>
      </c>
      <c r="G1238" s="215"/>
      <c r="H1238" s="220">
        <f>J1238-F1238</f>
        <v>0</v>
      </c>
      <c r="I1238" s="215"/>
      <c r="J1238" s="220"/>
      <c r="K1238" s="215"/>
      <c r="L1238" s="223">
        <v>0</v>
      </c>
      <c r="M1238" s="224"/>
      <c r="N1238" s="224"/>
      <c r="O1238" s="224"/>
      <c r="P1238" s="224"/>
      <c r="Q1238" s="224"/>
      <c r="R1238" s="224"/>
      <c r="S1238" s="224"/>
      <c r="T1238" s="224"/>
    </row>
    <row r="1239" spans="1:22" customHeight="1" ht="48.75">
      <c r="A1239" s="342" t="s">
        <v>497</v>
      </c>
      <c r="B1239" s="343" t="s">
        <v>498</v>
      </c>
      <c r="D1239" s="220">
        <v>3083239.79</v>
      </c>
      <c r="E1239" s="215"/>
      <c r="F1239" s="220">
        <v>0</v>
      </c>
      <c r="G1239" s="215"/>
      <c r="H1239" s="220">
        <f>J1239-F1239</f>
        <v>0</v>
      </c>
      <c r="I1239" s="215"/>
      <c r="J1239" s="220"/>
      <c r="K1239" s="215"/>
      <c r="L1239" s="223">
        <v>0</v>
      </c>
      <c r="M1239" s="224"/>
      <c r="N1239" s="224"/>
      <c r="O1239" s="224"/>
      <c r="P1239" s="224"/>
      <c r="Q1239" s="224"/>
      <c r="R1239" s="224"/>
      <c r="S1239" s="224"/>
      <c r="T1239" s="224"/>
    </row>
    <row r="1240" spans="1:22">
      <c r="A1240" s="342" t="s">
        <v>499</v>
      </c>
      <c r="B1240" s="254" t="s">
        <v>500</v>
      </c>
      <c r="D1240" s="220">
        <v>0</v>
      </c>
      <c r="E1240" s="215"/>
      <c r="F1240" s="220">
        <v>0</v>
      </c>
      <c r="G1240" s="215"/>
      <c r="H1240" s="220">
        <f>J1240-F1240</f>
        <v>1000000</v>
      </c>
      <c r="I1240" s="215"/>
      <c r="J1240" s="220">
        <v>1000000</v>
      </c>
      <c r="K1240" s="215"/>
      <c r="L1240" s="223">
        <v>0</v>
      </c>
      <c r="M1240" s="224"/>
      <c r="N1240" s="224"/>
      <c r="O1240" s="224"/>
      <c r="P1240" s="224"/>
      <c r="Q1240" s="224"/>
      <c r="R1240" s="224"/>
      <c r="S1240" s="224"/>
      <c r="T1240" s="224"/>
    </row>
    <row r="1241" spans="1:22" customHeight="1" ht="24.75">
      <c r="A1241" s="342" t="s">
        <v>501</v>
      </c>
      <c r="B1241" s="344" t="s">
        <v>502</v>
      </c>
      <c r="C1241" s="215"/>
      <c r="D1241" s="220">
        <v>0</v>
      </c>
      <c r="E1241" s="215"/>
      <c r="F1241" s="220">
        <v>0</v>
      </c>
      <c r="G1241" s="215"/>
      <c r="H1241" s="220">
        <f>J1241-F1241</f>
        <v>1500000</v>
      </c>
      <c r="I1241" s="215"/>
      <c r="J1241" s="220">
        <v>1500000</v>
      </c>
      <c r="K1241" s="215"/>
      <c r="L1241" s="223">
        <v>0</v>
      </c>
      <c r="M1241" s="224"/>
      <c r="N1241" s="224"/>
      <c r="O1241" s="224"/>
      <c r="P1241" s="224"/>
      <c r="Q1241" s="224"/>
      <c r="R1241" s="224"/>
      <c r="S1241" s="224"/>
      <c r="T1241" s="224"/>
    </row>
    <row r="1242" spans="1:22" customHeight="1" ht="15">
      <c r="A1242" s="342" t="s">
        <v>503</v>
      </c>
      <c r="B1242" s="344" t="s">
        <v>504</v>
      </c>
      <c r="D1242" s="220">
        <v>0</v>
      </c>
      <c r="E1242" s="215"/>
      <c r="F1242" s="220">
        <v>0</v>
      </c>
      <c r="G1242" s="215"/>
      <c r="H1242" s="220">
        <f>J1242-F1242</f>
        <v>500000</v>
      </c>
      <c r="I1242" s="215"/>
      <c r="J1242" s="220">
        <v>500000</v>
      </c>
      <c r="K1242" s="215"/>
      <c r="L1242" s="223">
        <v>0</v>
      </c>
      <c r="M1242" s="224"/>
      <c r="N1242" s="224"/>
      <c r="O1242" s="224"/>
      <c r="P1242" s="224"/>
      <c r="Q1242" s="224"/>
      <c r="R1242" s="224"/>
      <c r="S1242" s="224"/>
      <c r="T1242" s="224"/>
    </row>
    <row r="1243" spans="1:22" customHeight="1" ht="15">
      <c r="A1243" s="342" t="s">
        <v>505</v>
      </c>
      <c r="B1243" s="344" t="s">
        <v>506</v>
      </c>
      <c r="D1243" s="220">
        <v>0</v>
      </c>
      <c r="E1243" s="215"/>
      <c r="F1243" s="220"/>
      <c r="G1243" s="215"/>
      <c r="H1243" s="220">
        <f>J1243-F1243</f>
        <v>500000</v>
      </c>
      <c r="I1243" s="215"/>
      <c r="J1243" s="220">
        <v>500000</v>
      </c>
      <c r="K1243" s="215"/>
      <c r="L1243" s="223">
        <v>0</v>
      </c>
      <c r="M1243" s="224"/>
      <c r="N1243" s="224"/>
      <c r="O1243" s="224"/>
      <c r="P1243" s="224"/>
      <c r="Q1243" s="224"/>
      <c r="R1243" s="224"/>
      <c r="S1243" s="224"/>
      <c r="T1243" s="224"/>
    </row>
    <row r="1244" spans="1:22" customHeight="1" ht="15">
      <c r="A1244" s="342" t="s">
        <v>507</v>
      </c>
      <c r="B1244" s="344" t="s">
        <v>508</v>
      </c>
      <c r="C1244" s="215"/>
      <c r="D1244" s="220">
        <v>0</v>
      </c>
      <c r="E1244" s="215"/>
      <c r="F1244" s="220">
        <v>0</v>
      </c>
      <c r="G1244" s="215"/>
      <c r="H1244" s="220">
        <f>J1244-F1244</f>
        <v>700000</v>
      </c>
      <c r="I1244" s="215"/>
      <c r="J1244" s="220">
        <v>700000</v>
      </c>
      <c r="K1244" s="215"/>
      <c r="L1244" s="223">
        <v>0</v>
      </c>
      <c r="M1244" s="224"/>
      <c r="N1244" s="224"/>
      <c r="O1244" s="224"/>
      <c r="P1244" s="224"/>
      <c r="Q1244" s="224"/>
      <c r="R1244" s="224"/>
      <c r="S1244" s="224"/>
      <c r="T1244" s="224"/>
    </row>
    <row r="1245" spans="1:22" customHeight="1" ht="15">
      <c r="A1245" s="342" t="s">
        <v>509</v>
      </c>
      <c r="B1245" s="344" t="s">
        <v>510</v>
      </c>
      <c r="C1245" s="215"/>
      <c r="D1245" s="220">
        <v>0</v>
      </c>
      <c r="E1245" s="215"/>
      <c r="F1245" s="220">
        <v>1698498.46</v>
      </c>
      <c r="G1245" s="215"/>
      <c r="H1245" s="220">
        <f>J1245-F1245</f>
        <v>1501.54</v>
      </c>
      <c r="I1245" s="215"/>
      <c r="J1245" s="220">
        <v>1700000</v>
      </c>
      <c r="K1245" s="215"/>
      <c r="L1245" s="223">
        <v>0</v>
      </c>
      <c r="M1245" s="224"/>
      <c r="N1245" s="224"/>
      <c r="O1245" s="224"/>
      <c r="P1245" s="224"/>
      <c r="Q1245" s="224"/>
      <c r="R1245" s="224"/>
      <c r="S1245" s="224"/>
      <c r="T1245" s="224"/>
    </row>
    <row r="1246" spans="1:22" customHeight="1" ht="15">
      <c r="A1246" s="342" t="s">
        <v>511</v>
      </c>
      <c r="B1246" s="344" t="s">
        <v>512</v>
      </c>
      <c r="C1246" s="215"/>
      <c r="D1246" s="220">
        <v>0</v>
      </c>
      <c r="E1246" s="215"/>
      <c r="F1246" s="220">
        <v>0</v>
      </c>
      <c r="G1246" s="215"/>
      <c r="H1246" s="220">
        <f>J1246-F1246</f>
        <v>500000</v>
      </c>
      <c r="I1246" s="215"/>
      <c r="J1246" s="220">
        <v>500000</v>
      </c>
      <c r="K1246" s="215"/>
      <c r="L1246" s="223">
        <v>0</v>
      </c>
      <c r="M1246" s="224"/>
      <c r="N1246" s="224"/>
      <c r="O1246" s="224"/>
      <c r="P1246" s="224"/>
      <c r="Q1246" s="224"/>
      <c r="R1246" s="224"/>
      <c r="S1246" s="224"/>
      <c r="T1246" s="224"/>
    </row>
    <row r="1247" spans="1:22" customHeight="1" ht="15">
      <c r="A1247" s="342" t="s">
        <v>513</v>
      </c>
      <c r="B1247" s="344" t="s">
        <v>514</v>
      </c>
      <c r="C1247" s="215"/>
      <c r="D1247" s="220">
        <v>0</v>
      </c>
      <c r="E1247" s="215"/>
      <c r="F1247" s="220">
        <v>0</v>
      </c>
      <c r="G1247" s="215"/>
      <c r="H1247" s="220">
        <f>J1247-F1247</f>
        <v>500000</v>
      </c>
      <c r="I1247" s="215"/>
      <c r="J1247" s="220">
        <v>500000</v>
      </c>
      <c r="K1247" s="215"/>
      <c r="L1247" s="223">
        <v>0</v>
      </c>
      <c r="M1247" s="224"/>
      <c r="N1247" s="224"/>
      <c r="O1247" s="224"/>
      <c r="P1247" s="224"/>
      <c r="Q1247" s="224"/>
      <c r="R1247" s="224"/>
      <c r="S1247" s="224"/>
      <c r="T1247" s="224"/>
    </row>
    <row r="1248" spans="1:22" customHeight="1" ht="15">
      <c r="A1248" s="342" t="s">
        <v>515</v>
      </c>
      <c r="B1248" s="344" t="s">
        <v>516</v>
      </c>
      <c r="C1248" s="215"/>
      <c r="D1248" s="220">
        <v>0</v>
      </c>
      <c r="E1248" s="215"/>
      <c r="F1248" s="220">
        <v>0</v>
      </c>
      <c r="G1248" s="215"/>
      <c r="H1248" s="220">
        <f>J1248-F1248</f>
        <v>300000</v>
      </c>
      <c r="I1248" s="215"/>
      <c r="J1248" s="220">
        <v>300000</v>
      </c>
      <c r="K1248" s="215"/>
      <c r="L1248" s="223">
        <v>0</v>
      </c>
      <c r="M1248" s="224"/>
      <c r="N1248" s="224"/>
      <c r="O1248" s="224"/>
      <c r="P1248" s="224"/>
      <c r="Q1248" s="224"/>
      <c r="R1248" s="224"/>
      <c r="S1248" s="224"/>
      <c r="T1248" s="224"/>
    </row>
    <row r="1249" spans="1:22" customHeight="1" ht="15.75">
      <c r="A1249" s="284" t="s">
        <v>370</v>
      </c>
      <c r="B1249" s="285"/>
      <c r="C1249" s="286" t="s">
        <v>23</v>
      </c>
      <c r="D1249" s="287">
        <f>SUM(D1232:D1248)</f>
        <v>26543516.63</v>
      </c>
      <c r="E1249" s="288" t="s">
        <v>23</v>
      </c>
      <c r="F1249" s="287">
        <f>SUM(F1232:F1248)</f>
        <v>10832482.91</v>
      </c>
      <c r="G1249" s="288" t="s">
        <v>23</v>
      </c>
      <c r="H1249" s="287">
        <f>SUM(H1232:H1248)</f>
        <v>18115049.69</v>
      </c>
      <c r="I1249" s="288" t="s">
        <v>23</v>
      </c>
      <c r="J1249" s="287">
        <f>SUM(J1232:J1248)</f>
        <v>28947532.6</v>
      </c>
      <c r="K1249" s="288" t="s">
        <v>23</v>
      </c>
      <c r="L1249" s="341">
        <f>SUM(L1232:L1248)</f>
        <v>34458787.24</v>
      </c>
      <c r="M1249" s="261"/>
      <c r="N1249" s="248"/>
      <c r="O1249" s="248"/>
      <c r="P1249" s="248"/>
      <c r="Q1249" s="248"/>
      <c r="R1249" s="248"/>
      <c r="S1249" s="248"/>
      <c r="T1249" s="248"/>
    </row>
    <row r="1250" spans="1:22" customHeight="1" ht="15.75">
      <c r="A1250" s="215" t="s">
        <v>371</v>
      </c>
      <c r="B1250" s="215" t="s">
        <v>372</v>
      </c>
      <c r="C1250" s="215"/>
      <c r="D1250" s="215"/>
      <c r="E1250" s="215"/>
      <c r="F1250" s="215"/>
      <c r="G1250" s="215" t="s">
        <v>373</v>
      </c>
      <c r="H1250" s="215"/>
    </row>
    <row r="1253" spans="1:22">
      <c r="A1253" s="268" t="s">
        <v>326</v>
      </c>
      <c r="B1253" s="269" t="s">
        <v>374</v>
      </c>
      <c r="C1253" s="269"/>
      <c r="D1253" s="269"/>
      <c r="E1253" s="269"/>
      <c r="F1253" s="269"/>
      <c r="G1253" s="270"/>
      <c r="H1253" s="269" t="s">
        <v>326</v>
      </c>
      <c r="I1253" s="269"/>
      <c r="J1253" s="269"/>
      <c r="K1253" s="269"/>
      <c r="L1253" s="269"/>
      <c r="M1253" s="268"/>
      <c r="N1253" s="268"/>
      <c r="O1253" s="268"/>
      <c r="P1253" s="268"/>
      <c r="Q1253" s="268"/>
      <c r="R1253" s="268"/>
      <c r="S1253" s="268"/>
      <c r="T1253" s="268"/>
    </row>
    <row r="1254" spans="1:22">
      <c r="A1254" s="271" t="s">
        <v>327</v>
      </c>
      <c r="B1254" s="272" t="s">
        <v>375</v>
      </c>
      <c r="C1254" s="272"/>
      <c r="D1254" s="272"/>
      <c r="E1254" s="272"/>
      <c r="F1254" s="272"/>
      <c r="G1254" s="215"/>
      <c r="H1254" s="272" t="s">
        <v>327</v>
      </c>
      <c r="I1254" s="272"/>
      <c r="J1254" s="272"/>
      <c r="K1254" s="272"/>
      <c r="L1254" s="272"/>
      <c r="M1254" s="271"/>
      <c r="N1254" s="271"/>
      <c r="O1254" s="271"/>
      <c r="P1254" s="271"/>
      <c r="Q1254" s="271"/>
      <c r="R1254" s="271"/>
      <c r="S1254" s="271"/>
      <c r="T1254" s="271"/>
    </row>
    <row r="1258" spans="1:22">
      <c r="A1258" s="273" t="s">
        <v>346</v>
      </c>
      <c r="B1258" s="273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4"/>
      <c r="N1258" s="274"/>
      <c r="O1258" s="274"/>
      <c r="P1258" s="274"/>
      <c r="Q1258" s="274"/>
      <c r="R1258" s="274"/>
      <c r="S1258" s="274"/>
      <c r="T1258" s="274"/>
    </row>
    <row r="1260" spans="1:22" customHeight="1" ht="15.75">
      <c r="A1260" s="183" t="s">
        <v>347</v>
      </c>
      <c r="B1260" s="183"/>
      <c r="C1260" s="183"/>
      <c r="D1260" s="183"/>
      <c r="E1260" s="183"/>
      <c r="F1260" s="183"/>
      <c r="G1260" s="183"/>
      <c r="H1260" s="183"/>
      <c r="I1260" s="183"/>
      <c r="J1260" s="183"/>
      <c r="K1260" s="183"/>
      <c r="L1260" s="183"/>
      <c r="M1260" s="184"/>
      <c r="N1260" s="184"/>
      <c r="O1260" s="184"/>
      <c r="P1260" s="184"/>
      <c r="Q1260" s="184"/>
      <c r="R1260" s="184"/>
      <c r="S1260" s="184"/>
      <c r="T1260" s="184"/>
    </row>
    <row r="1261" spans="1:22">
      <c r="A1261" s="185" t="s">
        <v>348</v>
      </c>
      <c r="B1261" s="185"/>
      <c r="C1261" s="185"/>
      <c r="D1261" s="185"/>
      <c r="E1261" s="185"/>
      <c r="F1261" s="185"/>
      <c r="G1261" s="185"/>
      <c r="H1261" s="185"/>
      <c r="I1261" s="185"/>
      <c r="J1261" s="185"/>
      <c r="K1261" s="185"/>
      <c r="L1261" s="185"/>
      <c r="M1261" s="186"/>
      <c r="N1261" s="186"/>
      <c r="O1261" s="186"/>
      <c r="P1261" s="186"/>
      <c r="Q1261" s="186"/>
      <c r="R1261" s="186"/>
      <c r="S1261" s="186"/>
      <c r="T1261" s="186"/>
    </row>
    <row r="1263" spans="1:22">
      <c r="A1263" s="187" t="s">
        <v>517</v>
      </c>
    </row>
    <row r="1264" spans="1:22" customHeight="1" ht="15.75"/>
    <row r="1265" spans="1:22">
      <c r="A1265" s="189"/>
      <c r="B1265" s="190"/>
      <c r="C1265" s="191" t="s">
        <v>350</v>
      </c>
      <c r="D1265" s="192"/>
      <c r="E1265" s="193" t="s">
        <v>351</v>
      </c>
      <c r="F1265" s="194"/>
      <c r="G1265" s="194"/>
      <c r="H1265" s="194"/>
      <c r="I1265" s="194"/>
      <c r="J1265" s="195"/>
      <c r="K1265" s="191" t="s">
        <v>352</v>
      </c>
      <c r="L1265" s="196"/>
      <c r="M1265" s="186"/>
      <c r="N1265" s="186"/>
      <c r="O1265" s="186"/>
      <c r="P1265" s="186"/>
      <c r="Q1265" s="186"/>
      <c r="R1265" s="186"/>
      <c r="S1265" s="186"/>
      <c r="T1265" s="186"/>
    </row>
    <row r="1266" spans="1:22">
      <c r="A1266" s="197" t="s">
        <v>353</v>
      </c>
      <c r="B1266" s="198" t="s">
        <v>354</v>
      </c>
      <c r="C1266" s="199">
        <v>2023</v>
      </c>
      <c r="D1266" s="200"/>
      <c r="E1266" s="201" t="s">
        <v>11</v>
      </c>
      <c r="F1266" s="202"/>
      <c r="G1266" s="201" t="s">
        <v>355</v>
      </c>
      <c r="H1266" s="202"/>
      <c r="I1266" s="203" t="s">
        <v>356</v>
      </c>
      <c r="J1266" s="204"/>
      <c r="K1266" s="199">
        <v>2025</v>
      </c>
      <c r="L1266" s="205"/>
      <c r="M1266" s="186"/>
      <c r="N1266" s="186"/>
      <c r="O1266" s="186"/>
      <c r="P1266" s="186"/>
      <c r="Q1266" s="186"/>
      <c r="R1266" s="186"/>
      <c r="S1266" s="186"/>
      <c r="T1266" s="186"/>
    </row>
    <row r="1267" spans="1:22" customHeight="1" ht="15.75">
      <c r="A1267" s="206"/>
      <c r="B1267" s="207"/>
      <c r="C1267" s="208" t="s">
        <v>17</v>
      </c>
      <c r="D1267" s="209"/>
      <c r="E1267" s="208" t="s">
        <v>17</v>
      </c>
      <c r="F1267" s="209"/>
      <c r="G1267" s="208" t="s">
        <v>18</v>
      </c>
      <c r="H1267" s="209"/>
      <c r="I1267" s="210"/>
      <c r="J1267" s="211"/>
      <c r="K1267" s="208" t="s">
        <v>357</v>
      </c>
      <c r="L1267" s="212"/>
      <c r="M1267" s="186"/>
      <c r="N1267" s="186"/>
      <c r="O1267" s="186"/>
      <c r="P1267" s="186"/>
      <c r="Q1267" s="186"/>
      <c r="R1267" s="186"/>
      <c r="S1267" s="186"/>
      <c r="T1267" s="186"/>
    </row>
    <row r="1268" spans="1:22">
      <c r="A1268" s="213" t="s">
        <v>80</v>
      </c>
      <c r="B1268" s="214"/>
      <c r="C1268" s="215"/>
      <c r="D1268" s="216"/>
      <c r="E1268" s="215"/>
      <c r="F1268" s="216"/>
      <c r="G1268" s="215"/>
      <c r="H1268" s="216"/>
      <c r="I1268" s="215"/>
      <c r="J1268" s="216"/>
      <c r="K1268" s="215"/>
      <c r="L1268" s="217"/>
      <c r="M1268" s="218"/>
      <c r="N1268" s="218"/>
      <c r="O1268" s="218"/>
      <c r="P1268" s="218"/>
      <c r="Q1268" s="218"/>
      <c r="R1268" s="218"/>
      <c r="S1268" s="218"/>
      <c r="T1268" s="218"/>
    </row>
    <row r="1269" spans="1:22">
      <c r="A1269" s="219" t="s">
        <v>82</v>
      </c>
      <c r="B1269" s="214" t="s">
        <v>83</v>
      </c>
      <c r="C1269" s="215" t="s">
        <v>23</v>
      </c>
      <c r="D1269" s="220">
        <v>1175991.89</v>
      </c>
      <c r="E1269" s="215" t="s">
        <v>23</v>
      </c>
      <c r="F1269" s="220">
        <v>645987.53</v>
      </c>
      <c r="G1269" s="215" t="s">
        <v>23</v>
      </c>
      <c r="H1269" s="220">
        <f>J1269-F1269</f>
        <v>667163.47</v>
      </c>
      <c r="I1269" s="215" t="s">
        <v>23</v>
      </c>
      <c r="J1269" s="220">
        <v>1313151</v>
      </c>
      <c r="K1269" s="215" t="s">
        <v>23</v>
      </c>
      <c r="L1269" s="223">
        <v>1385130</v>
      </c>
      <c r="M1269" s="224"/>
      <c r="N1269" s="224"/>
      <c r="O1269" s="224"/>
      <c r="P1269" s="224"/>
      <c r="Q1269" s="224"/>
      <c r="R1269" s="224"/>
      <c r="S1269" s="224"/>
      <c r="T1269" s="224"/>
    </row>
    <row r="1270" spans="1:22">
      <c r="A1270" s="225" t="s">
        <v>338</v>
      </c>
      <c r="B1270" s="214"/>
      <c r="C1270" s="215"/>
      <c r="D1270" s="226"/>
      <c r="E1270" s="215"/>
      <c r="F1270" s="226"/>
      <c r="G1270" s="215"/>
      <c r="H1270" s="226"/>
      <c r="I1270" s="215"/>
      <c r="J1270" s="226"/>
      <c r="K1270" s="215"/>
      <c r="L1270" s="228"/>
      <c r="M1270" s="224"/>
      <c r="N1270" s="224"/>
      <c r="O1270" s="224"/>
      <c r="P1270" s="224"/>
      <c r="Q1270" s="224"/>
      <c r="R1270" s="224"/>
      <c r="S1270" s="224"/>
      <c r="T1270" s="224"/>
    </row>
    <row r="1271" spans="1:22">
      <c r="A1271" s="219" t="s">
        <v>84</v>
      </c>
      <c r="B1271" s="214" t="s">
        <v>85</v>
      </c>
      <c r="C1271" s="215"/>
      <c r="D1271" s="226">
        <v>213870.97</v>
      </c>
      <c r="E1271" s="215"/>
      <c r="F1271" s="226">
        <v>118000</v>
      </c>
      <c r="G1271" s="215"/>
      <c r="H1271" s="226">
        <f>J1271-F1271</f>
        <v>122000</v>
      </c>
      <c r="I1271" s="215"/>
      <c r="J1271" s="226">
        <v>240000</v>
      </c>
      <c r="K1271" s="215"/>
      <c r="L1271" s="228">
        <v>240000</v>
      </c>
      <c r="M1271" s="224"/>
      <c r="N1271" s="224"/>
      <c r="O1271" s="224"/>
      <c r="P1271" s="224"/>
      <c r="Q1271" s="224"/>
      <c r="R1271" s="224"/>
      <c r="S1271" s="224"/>
      <c r="T1271" s="224"/>
    </row>
    <row r="1272" spans="1:22">
      <c r="A1272" s="219" t="s">
        <v>90</v>
      </c>
      <c r="B1272" s="214" t="s">
        <v>91</v>
      </c>
      <c r="C1272" s="215"/>
      <c r="D1272" s="229">
        <v>60000</v>
      </c>
      <c r="E1272" s="215"/>
      <c r="F1272" s="229">
        <v>60000</v>
      </c>
      <c r="G1272" s="215"/>
      <c r="H1272" s="229">
        <f>J1272-F1272</f>
        <v>0</v>
      </c>
      <c r="I1272" s="215"/>
      <c r="J1272" s="229">
        <v>60000</v>
      </c>
      <c r="K1272" s="215"/>
      <c r="L1272" s="231">
        <v>70000</v>
      </c>
      <c r="M1272" s="224"/>
      <c r="N1272" s="224"/>
      <c r="O1272" s="224"/>
      <c r="P1272" s="224"/>
      <c r="Q1272" s="224"/>
      <c r="R1272" s="224"/>
      <c r="S1272" s="224"/>
      <c r="T1272" s="224"/>
    </row>
    <row r="1273" spans="1:22">
      <c r="A1273" s="219" t="s">
        <v>96</v>
      </c>
      <c r="B1273" s="214" t="s">
        <v>97</v>
      </c>
      <c r="C1273" s="215"/>
      <c r="D1273" s="229">
        <v>40000</v>
      </c>
      <c r="E1273" s="215"/>
      <c r="F1273" s="229">
        <v>0</v>
      </c>
      <c r="G1273" s="215"/>
      <c r="H1273" s="229">
        <f>J1273-F1273</f>
        <v>50000</v>
      </c>
      <c r="I1273" s="215"/>
      <c r="J1273" s="229">
        <v>50000</v>
      </c>
      <c r="K1273" s="215"/>
      <c r="L1273" s="231">
        <v>50000</v>
      </c>
      <c r="M1273" s="224"/>
      <c r="N1273" s="224"/>
      <c r="O1273" s="224"/>
      <c r="P1273" s="224"/>
      <c r="Q1273" s="224"/>
      <c r="R1273" s="224"/>
      <c r="S1273" s="224"/>
      <c r="T1273" s="224"/>
    </row>
    <row r="1274" spans="1:22">
      <c r="A1274" s="219" t="s">
        <v>358</v>
      </c>
      <c r="B1274" s="214" t="s">
        <v>99</v>
      </c>
      <c r="C1274" s="215"/>
      <c r="D1274" s="229">
        <v>120000</v>
      </c>
      <c r="E1274" s="215"/>
      <c r="F1274" s="229">
        <v>0</v>
      </c>
      <c r="G1274" s="215"/>
      <c r="H1274" s="229">
        <f>J1274-F1274</f>
        <v>100000</v>
      </c>
      <c r="I1274" s="215"/>
      <c r="J1274" s="229">
        <v>100000</v>
      </c>
      <c r="K1274" s="215"/>
      <c r="L1274" s="231">
        <v>200000</v>
      </c>
      <c r="M1274" s="224"/>
      <c r="N1274" s="224"/>
      <c r="O1274" s="224"/>
      <c r="P1274" s="224"/>
      <c r="Q1274" s="224"/>
      <c r="R1274" s="224"/>
      <c r="S1274" s="224"/>
      <c r="T1274" s="224"/>
    </row>
    <row r="1275" spans="1:22">
      <c r="A1275" s="219" t="s">
        <v>102</v>
      </c>
      <c r="B1275" s="214" t="s">
        <v>103</v>
      </c>
      <c r="C1275" s="215"/>
      <c r="D1275" s="229">
        <v>98066.7</v>
      </c>
      <c r="E1275" s="215"/>
      <c r="F1275" s="229">
        <v>0</v>
      </c>
      <c r="G1275" s="215"/>
      <c r="H1275" s="229">
        <f>J1275-F1275</f>
        <v>109452</v>
      </c>
      <c r="I1275" s="215"/>
      <c r="J1275" s="229">
        <v>109452</v>
      </c>
      <c r="K1275" s="215"/>
      <c r="L1275" s="231">
        <v>118417</v>
      </c>
      <c r="M1275" s="224"/>
      <c r="N1275" s="224"/>
      <c r="O1275" s="224"/>
      <c r="P1275" s="224"/>
      <c r="Q1275" s="224"/>
      <c r="R1275" s="224"/>
      <c r="S1275" s="224"/>
      <c r="T1275" s="224"/>
    </row>
    <row r="1276" spans="1:22">
      <c r="A1276" s="219" t="s">
        <v>104</v>
      </c>
      <c r="B1276" s="214" t="s">
        <v>105</v>
      </c>
      <c r="C1276" s="215"/>
      <c r="D1276" s="229">
        <v>44500</v>
      </c>
      <c r="E1276" s="215"/>
      <c r="F1276" s="229">
        <v>0</v>
      </c>
      <c r="G1276" s="215"/>
      <c r="H1276" s="229">
        <f>J1276-F1276</f>
        <v>50000</v>
      </c>
      <c r="I1276" s="215"/>
      <c r="J1276" s="229">
        <v>50000</v>
      </c>
      <c r="K1276" s="215"/>
      <c r="L1276" s="231">
        <v>50000</v>
      </c>
      <c r="M1276" s="224"/>
      <c r="N1276" s="224"/>
      <c r="O1276" s="224"/>
      <c r="P1276" s="224"/>
      <c r="Q1276" s="224"/>
      <c r="R1276" s="224"/>
      <c r="S1276" s="224"/>
      <c r="T1276" s="224"/>
    </row>
    <row r="1277" spans="1:22">
      <c r="A1277" s="219" t="s">
        <v>106</v>
      </c>
      <c r="B1277" s="214" t="s">
        <v>107</v>
      </c>
      <c r="C1277" s="215"/>
      <c r="D1277" s="229">
        <v>98936</v>
      </c>
      <c r="E1277" s="215"/>
      <c r="F1277" s="229">
        <v>99052</v>
      </c>
      <c r="G1277" s="215"/>
      <c r="H1277" s="229">
        <f>J1277-F1277</f>
        <v>10400</v>
      </c>
      <c r="I1277" s="215"/>
      <c r="J1277" s="229">
        <v>109452</v>
      </c>
      <c r="K1277" s="215"/>
      <c r="L1277" s="231">
        <v>113943</v>
      </c>
      <c r="M1277" s="224"/>
      <c r="N1277" s="224"/>
      <c r="O1277" s="224"/>
      <c r="P1277" s="224"/>
      <c r="Q1277" s="224"/>
      <c r="R1277" s="224"/>
      <c r="S1277" s="224"/>
      <c r="T1277" s="224"/>
    </row>
    <row r="1278" spans="1:22">
      <c r="A1278" s="225" t="s">
        <v>340</v>
      </c>
      <c r="B1278" s="214"/>
      <c r="C1278" s="215"/>
      <c r="D1278" s="226"/>
      <c r="E1278" s="215"/>
      <c r="F1278" s="226"/>
      <c r="G1278" s="215"/>
      <c r="H1278" s="226"/>
      <c r="I1278" s="215"/>
      <c r="J1278" s="226"/>
      <c r="K1278" s="215"/>
      <c r="L1278" s="228"/>
      <c r="M1278" s="224"/>
      <c r="N1278" s="224"/>
      <c r="O1278" s="224"/>
      <c r="P1278" s="224"/>
      <c r="Q1278" s="224"/>
      <c r="R1278" s="224"/>
      <c r="S1278" s="224"/>
      <c r="T1278" s="224"/>
    </row>
    <row r="1279" spans="1:22">
      <c r="A1279" s="219" t="s">
        <v>108</v>
      </c>
      <c r="B1279" s="214" t="s">
        <v>109</v>
      </c>
      <c r="C1279" s="215"/>
      <c r="D1279" s="229">
        <v>141119.02</v>
      </c>
      <c r="E1279" s="215"/>
      <c r="F1279" s="226">
        <v>77518.51</v>
      </c>
      <c r="G1279" s="215"/>
      <c r="H1279" s="226">
        <f>J1279-F1279</f>
        <v>80059.61</v>
      </c>
      <c r="I1279" s="215"/>
      <c r="J1279" s="226">
        <v>157578.12</v>
      </c>
      <c r="K1279" s="215"/>
      <c r="L1279" s="228">
        <v>166218</v>
      </c>
      <c r="M1279" s="224"/>
      <c r="N1279" s="224"/>
      <c r="O1279" s="224"/>
      <c r="P1279" s="224"/>
      <c r="Q1279" s="224"/>
      <c r="R1279" s="224"/>
      <c r="S1279" s="224"/>
      <c r="T1279" s="224"/>
    </row>
    <row r="1280" spans="1:22">
      <c r="A1280" s="219" t="s">
        <v>110</v>
      </c>
      <c r="B1280" s="214" t="s">
        <v>111</v>
      </c>
      <c r="C1280" s="215"/>
      <c r="D1280" s="229">
        <v>10700</v>
      </c>
      <c r="E1280" s="215"/>
      <c r="F1280" s="229">
        <v>10900</v>
      </c>
      <c r="G1280" s="215"/>
      <c r="H1280" s="229">
        <f>J1280-F1280</f>
        <v>1100</v>
      </c>
      <c r="I1280" s="215"/>
      <c r="J1280" s="229">
        <v>12000</v>
      </c>
      <c r="K1280" s="215"/>
      <c r="L1280" s="231">
        <v>24000</v>
      </c>
      <c r="M1280" s="224"/>
      <c r="N1280" s="224"/>
      <c r="O1280" s="224"/>
      <c r="P1280" s="224"/>
      <c r="Q1280" s="224"/>
      <c r="R1280" s="224"/>
      <c r="S1280" s="224"/>
      <c r="T1280" s="224"/>
    </row>
    <row r="1281" spans="1:22">
      <c r="A1281" s="219" t="s">
        <v>112</v>
      </c>
      <c r="B1281" s="214" t="s">
        <v>113</v>
      </c>
      <c r="C1281" s="215"/>
      <c r="D1281" s="229">
        <v>23525.27</v>
      </c>
      <c r="E1281" s="215"/>
      <c r="F1281" s="229">
        <v>16149.84</v>
      </c>
      <c r="G1281" s="215"/>
      <c r="H1281" s="229">
        <f>J1281-F1281</f>
        <v>16678.94</v>
      </c>
      <c r="I1281" s="215"/>
      <c r="J1281" s="229">
        <v>32828.78</v>
      </c>
      <c r="K1281" s="215"/>
      <c r="L1281" s="231">
        <v>34629</v>
      </c>
      <c r="M1281" s="224"/>
      <c r="N1281" s="224"/>
      <c r="O1281" s="224"/>
      <c r="P1281" s="224"/>
      <c r="Q1281" s="224"/>
      <c r="R1281" s="224"/>
      <c r="S1281" s="224"/>
      <c r="T1281" s="224"/>
    </row>
    <row r="1282" spans="1:22">
      <c r="A1282" s="219" t="s">
        <v>114</v>
      </c>
      <c r="B1282" s="214" t="s">
        <v>115</v>
      </c>
      <c r="C1282" s="215"/>
      <c r="D1282" s="229">
        <v>10700</v>
      </c>
      <c r="E1282" s="215"/>
      <c r="F1282" s="229">
        <v>5900</v>
      </c>
      <c r="G1282" s="215"/>
      <c r="H1282" s="229">
        <f>J1282-F1282</f>
        <v>6100</v>
      </c>
      <c r="I1282" s="215"/>
      <c r="J1282" s="229">
        <v>12000</v>
      </c>
      <c r="K1282" s="215"/>
      <c r="L1282" s="231">
        <v>12000</v>
      </c>
      <c r="M1282" s="224"/>
      <c r="N1282" s="224"/>
      <c r="O1282" s="224"/>
      <c r="P1282" s="224"/>
      <c r="Q1282" s="224"/>
      <c r="R1282" s="224"/>
      <c r="S1282" s="224"/>
      <c r="T1282" s="224"/>
    </row>
    <row r="1283" spans="1:22">
      <c r="A1283" s="225" t="s">
        <v>359</v>
      </c>
      <c r="B1283" s="214"/>
      <c r="C1283" s="221"/>
      <c r="D1283" s="226"/>
      <c r="E1283" s="215"/>
      <c r="F1283" s="226"/>
      <c r="G1283" s="215"/>
      <c r="H1283" s="226"/>
      <c r="I1283" s="215"/>
      <c r="J1283" s="226"/>
      <c r="K1283" s="215"/>
      <c r="L1283" s="228"/>
      <c r="M1283" s="224"/>
      <c r="N1283" s="224"/>
      <c r="O1283" s="224"/>
      <c r="P1283" s="224"/>
      <c r="Q1283" s="224"/>
      <c r="R1283" s="224"/>
      <c r="S1283" s="224"/>
      <c r="T1283" s="224"/>
    </row>
    <row r="1284" spans="1:22">
      <c r="A1284" s="219" t="s">
        <v>360</v>
      </c>
      <c r="B1284" s="214" t="s">
        <v>117</v>
      </c>
      <c r="C1284" s="215"/>
      <c r="D1284" s="220">
        <v>0</v>
      </c>
      <c r="E1284" s="215"/>
      <c r="F1284" s="220">
        <v>0</v>
      </c>
      <c r="G1284" s="215"/>
      <c r="H1284" s="220">
        <v>0</v>
      </c>
      <c r="I1284" s="215"/>
      <c r="J1284" s="220">
        <v>0</v>
      </c>
      <c r="K1284" s="215"/>
      <c r="L1284" s="223"/>
      <c r="M1284" s="224"/>
      <c r="N1284" s="224"/>
      <c r="O1284" s="224"/>
      <c r="P1284" s="224"/>
      <c r="Q1284" s="224"/>
      <c r="R1284" s="224"/>
      <c r="S1284" s="224"/>
      <c r="T1284" s="224"/>
    </row>
    <row r="1285" spans="1:22" customHeight="1" ht="15.75">
      <c r="A1285" s="219" t="s">
        <v>361</v>
      </c>
      <c r="B1285" s="214" t="s">
        <v>119</v>
      </c>
      <c r="C1285" s="215"/>
      <c r="D1285" s="239">
        <v>0</v>
      </c>
      <c r="E1285" s="215"/>
      <c r="F1285" s="239">
        <v>0</v>
      </c>
      <c r="G1285" s="215"/>
      <c r="H1285" s="279">
        <f>J1285-F1285</f>
        <v>173000</v>
      </c>
      <c r="I1285" s="215"/>
      <c r="J1285" s="279">
        <v>173000</v>
      </c>
      <c r="K1285" s="215"/>
      <c r="L1285" s="241">
        <v>70000</v>
      </c>
      <c r="M1285" s="224"/>
      <c r="N1285" s="224"/>
      <c r="O1285" s="224"/>
      <c r="P1285" s="224"/>
      <c r="Q1285" s="224"/>
      <c r="R1285" s="224"/>
      <c r="S1285" s="224"/>
      <c r="T1285" s="224"/>
    </row>
    <row r="1286" spans="1:22" customHeight="1" ht="15.75">
      <c r="A1286" s="242" t="s">
        <v>120</v>
      </c>
      <c r="B1286" s="243"/>
      <c r="C1286" s="244" t="s">
        <v>23</v>
      </c>
      <c r="D1286" s="245">
        <f>SUM(D1269:D1285)</f>
        <v>2037409.85</v>
      </c>
      <c r="E1286" s="246" t="s">
        <v>23</v>
      </c>
      <c r="F1286" s="245">
        <f>SUM(F1269:F1285)</f>
        <v>1033507.88</v>
      </c>
      <c r="G1286" s="246" t="s">
        <v>23</v>
      </c>
      <c r="H1286" s="245">
        <f>SUM(H1269:H1285)</f>
        <v>1385954.02</v>
      </c>
      <c r="I1286" s="246" t="s">
        <v>23</v>
      </c>
      <c r="J1286" s="245">
        <f>SUM(J1269:J1285)</f>
        <v>2419461.9</v>
      </c>
      <c r="K1286" s="246" t="s">
        <v>23</v>
      </c>
      <c r="L1286" s="247">
        <f>SUM(L1269:L1285)</f>
        <v>2534337</v>
      </c>
      <c r="M1286" s="248"/>
      <c r="N1286" s="248"/>
      <c r="O1286" s="248"/>
      <c r="P1286" s="248"/>
      <c r="Q1286" s="248"/>
      <c r="R1286" s="248"/>
      <c r="S1286" s="248"/>
      <c r="T1286" s="248"/>
    </row>
    <row r="1287" spans="1:22">
      <c r="A1287" s="215"/>
      <c r="B1287" s="215"/>
      <c r="C1287" s="215"/>
      <c r="D1287" s="215"/>
      <c r="E1287" s="215"/>
      <c r="F1287" s="215"/>
      <c r="G1287" s="215"/>
      <c r="H1287" s="215"/>
    </row>
    <row r="1290" spans="1:22">
      <c r="A1290" s="327"/>
      <c r="B1290" s="345"/>
      <c r="C1290" s="345"/>
      <c r="D1290" s="345"/>
      <c r="E1290" s="345"/>
      <c r="F1290" s="345"/>
      <c r="G1290" s="215"/>
      <c r="H1290" s="345"/>
      <c r="I1290" s="345"/>
      <c r="J1290" s="345"/>
      <c r="K1290" s="345"/>
      <c r="L1290" s="345"/>
      <c r="M1290" s="327"/>
      <c r="N1290" s="327"/>
      <c r="O1290" s="327"/>
      <c r="P1290" s="327"/>
      <c r="Q1290" s="327"/>
      <c r="R1290" s="327"/>
      <c r="S1290" s="327"/>
      <c r="T1290" s="327"/>
    </row>
    <row r="1291" spans="1:22">
      <c r="A1291" s="271"/>
      <c r="B1291" s="272"/>
      <c r="C1291" s="272"/>
      <c r="D1291" s="272"/>
      <c r="E1291" s="272"/>
      <c r="F1291" s="272"/>
      <c r="G1291" s="215"/>
      <c r="H1291" s="272"/>
      <c r="I1291" s="272"/>
      <c r="J1291" s="272"/>
      <c r="K1291" s="272"/>
      <c r="L1291" s="272"/>
      <c r="M1291" s="271"/>
      <c r="N1291" s="271"/>
      <c r="O1291" s="271"/>
      <c r="P1291" s="271"/>
      <c r="Q1291" s="271"/>
      <c r="R1291" s="271"/>
      <c r="S1291" s="271"/>
      <c r="T1291" s="271"/>
    </row>
    <row r="1295" spans="1:22">
      <c r="A1295" s="273" t="s">
        <v>346</v>
      </c>
      <c r="B1295" s="273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4"/>
      <c r="N1295" s="274"/>
      <c r="O1295" s="274"/>
      <c r="P1295" s="274"/>
      <c r="Q1295" s="274"/>
      <c r="R1295" s="274"/>
      <c r="S1295" s="274"/>
      <c r="T1295" s="274"/>
    </row>
    <row r="1297" spans="1:22" customHeight="1" ht="15.75">
      <c r="A1297" s="183" t="s">
        <v>347</v>
      </c>
      <c r="B1297" s="183"/>
      <c r="C1297" s="183"/>
      <c r="D1297" s="183"/>
      <c r="E1297" s="183"/>
      <c r="F1297" s="183"/>
      <c r="G1297" s="183"/>
      <c r="H1297" s="183"/>
      <c r="I1297" s="183"/>
      <c r="J1297" s="183"/>
      <c r="K1297" s="183"/>
      <c r="L1297" s="183"/>
      <c r="M1297" s="184"/>
      <c r="N1297" s="184"/>
      <c r="O1297" s="184"/>
      <c r="P1297" s="184"/>
      <c r="Q1297" s="184"/>
      <c r="R1297" s="184"/>
      <c r="S1297" s="184"/>
      <c r="T1297" s="184"/>
    </row>
    <row r="1298" spans="1:22">
      <c r="A1298" s="185" t="s">
        <v>348</v>
      </c>
      <c r="B1298" s="185"/>
      <c r="C1298" s="185"/>
      <c r="D1298" s="185"/>
      <c r="E1298" s="185"/>
      <c r="F1298" s="185"/>
      <c r="G1298" s="185"/>
      <c r="H1298" s="185"/>
      <c r="I1298" s="185"/>
      <c r="J1298" s="185"/>
      <c r="K1298" s="185"/>
      <c r="L1298" s="185"/>
      <c r="M1298" s="186"/>
      <c r="N1298" s="186"/>
      <c r="O1298" s="186"/>
      <c r="P1298" s="186"/>
      <c r="Q1298" s="186"/>
      <c r="R1298" s="186"/>
      <c r="S1298" s="186"/>
      <c r="T1298" s="186"/>
    </row>
    <row r="1300" spans="1:22">
      <c r="A1300" s="187" t="s">
        <v>517</v>
      </c>
    </row>
    <row r="1301" spans="1:22" customHeight="1" ht="15.75"/>
    <row r="1302" spans="1:22">
      <c r="A1302" s="189"/>
      <c r="B1302" s="190"/>
      <c r="C1302" s="191" t="s">
        <v>350</v>
      </c>
      <c r="D1302" s="192"/>
      <c r="E1302" s="193" t="s">
        <v>351</v>
      </c>
      <c r="F1302" s="194"/>
      <c r="G1302" s="194"/>
      <c r="H1302" s="194"/>
      <c r="I1302" s="194"/>
      <c r="J1302" s="195"/>
      <c r="K1302" s="191" t="s">
        <v>352</v>
      </c>
      <c r="L1302" s="196"/>
      <c r="M1302" s="186"/>
      <c r="N1302" s="186"/>
      <c r="O1302" s="186"/>
      <c r="P1302" s="186"/>
      <c r="Q1302" s="186"/>
      <c r="R1302" s="186"/>
      <c r="S1302" s="186"/>
      <c r="T1302" s="186"/>
    </row>
    <row r="1303" spans="1:22">
      <c r="A1303" s="197" t="s">
        <v>353</v>
      </c>
      <c r="B1303" s="198" t="s">
        <v>354</v>
      </c>
      <c r="C1303" s="199">
        <v>2023</v>
      </c>
      <c r="D1303" s="200"/>
      <c r="E1303" s="201" t="s">
        <v>11</v>
      </c>
      <c r="F1303" s="202"/>
      <c r="G1303" s="201" t="s">
        <v>355</v>
      </c>
      <c r="H1303" s="202"/>
      <c r="I1303" s="203" t="s">
        <v>356</v>
      </c>
      <c r="J1303" s="204"/>
      <c r="K1303" s="199">
        <v>2025</v>
      </c>
      <c r="L1303" s="205"/>
      <c r="M1303" s="186"/>
      <c r="N1303" s="186"/>
      <c r="O1303" s="186"/>
      <c r="P1303" s="186"/>
      <c r="Q1303" s="186"/>
      <c r="R1303" s="186"/>
      <c r="S1303" s="186"/>
      <c r="T1303" s="186"/>
    </row>
    <row r="1304" spans="1:22" customHeight="1" ht="15.75">
      <c r="A1304" s="206"/>
      <c r="B1304" s="207"/>
      <c r="C1304" s="208" t="s">
        <v>17</v>
      </c>
      <c r="D1304" s="209"/>
      <c r="E1304" s="208" t="s">
        <v>17</v>
      </c>
      <c r="F1304" s="209"/>
      <c r="G1304" s="208" t="s">
        <v>18</v>
      </c>
      <c r="H1304" s="209"/>
      <c r="I1304" s="210"/>
      <c r="J1304" s="211"/>
      <c r="K1304" s="208" t="s">
        <v>357</v>
      </c>
      <c r="L1304" s="212"/>
      <c r="M1304" s="186"/>
      <c r="N1304" s="186"/>
      <c r="O1304" s="186"/>
      <c r="P1304" s="186"/>
      <c r="Q1304" s="186"/>
      <c r="R1304" s="186"/>
      <c r="S1304" s="186"/>
      <c r="T1304" s="186"/>
    </row>
    <row r="1305" spans="1:22">
      <c r="A1305" s="225" t="s">
        <v>121</v>
      </c>
      <c r="B1305" s="254"/>
      <c r="C1305" s="215"/>
      <c r="D1305" s="346"/>
      <c r="E1305" s="215"/>
      <c r="F1305" s="346"/>
      <c r="G1305" s="215"/>
      <c r="H1305" s="346"/>
      <c r="I1305" s="215"/>
      <c r="J1305" s="346"/>
      <c r="K1305" s="215"/>
      <c r="L1305" s="278"/>
      <c r="M1305" s="218"/>
      <c r="N1305" s="218"/>
      <c r="O1305" s="218"/>
      <c r="P1305" s="218"/>
      <c r="Q1305" s="218"/>
      <c r="R1305" s="218"/>
      <c r="S1305" s="218"/>
      <c r="T1305" s="218"/>
    </row>
    <row r="1306" spans="1:22">
      <c r="A1306" s="219" t="s">
        <v>122</v>
      </c>
      <c r="B1306" s="214" t="s">
        <v>123</v>
      </c>
      <c r="C1306" s="215" t="s">
        <v>23</v>
      </c>
      <c r="D1306" s="220">
        <v>0</v>
      </c>
      <c r="E1306" s="215" t="s">
        <v>23</v>
      </c>
      <c r="F1306" s="220">
        <v>0</v>
      </c>
      <c r="G1306" s="215" t="s">
        <v>23</v>
      </c>
      <c r="H1306" s="220">
        <f>J1306-F1306</f>
        <v>10000</v>
      </c>
      <c r="I1306" s="215" t="s">
        <v>23</v>
      </c>
      <c r="J1306" s="220">
        <v>10000</v>
      </c>
      <c r="K1306" s="215" t="s">
        <v>23</v>
      </c>
      <c r="L1306" s="223"/>
      <c r="M1306" s="224"/>
      <c r="N1306" s="224"/>
      <c r="O1306" s="224"/>
      <c r="P1306" s="224"/>
      <c r="Q1306" s="224"/>
      <c r="R1306" s="224"/>
      <c r="S1306" s="224"/>
      <c r="T1306" s="224"/>
    </row>
    <row r="1307" spans="1:22">
      <c r="A1307" s="219" t="s">
        <v>126</v>
      </c>
      <c r="B1307" s="214" t="s">
        <v>127</v>
      </c>
      <c r="C1307" s="215"/>
      <c r="D1307" s="226">
        <v>40000</v>
      </c>
      <c r="E1307" s="215"/>
      <c r="F1307" s="226">
        <v>0</v>
      </c>
      <c r="G1307" s="215"/>
      <c r="H1307" s="226">
        <v>0</v>
      </c>
      <c r="I1307" s="215"/>
      <c r="J1307" s="226">
        <v>40000</v>
      </c>
      <c r="K1307" s="215"/>
      <c r="L1307" s="228">
        <v>50000</v>
      </c>
      <c r="M1307" s="224"/>
      <c r="N1307" s="224"/>
      <c r="O1307" s="224"/>
      <c r="P1307" s="224"/>
      <c r="Q1307" s="224"/>
      <c r="R1307" s="224"/>
      <c r="S1307" s="224"/>
      <c r="T1307" s="224"/>
    </row>
    <row r="1308" spans="1:22">
      <c r="A1308" s="219" t="s">
        <v>154</v>
      </c>
      <c r="B1308" s="214" t="s">
        <v>155</v>
      </c>
      <c r="C1308" s="215"/>
      <c r="D1308" s="229">
        <v>1261415</v>
      </c>
      <c r="E1308" s="215"/>
      <c r="F1308" s="229">
        <v>503278.75</v>
      </c>
      <c r="G1308" s="215"/>
      <c r="H1308" s="229">
        <f>J1308-F1308</f>
        <v>396721.25</v>
      </c>
      <c r="I1308" s="215"/>
      <c r="J1308" s="229">
        <v>900000</v>
      </c>
      <c r="K1308" s="215"/>
      <c r="L1308" s="231">
        <v>850000</v>
      </c>
      <c r="M1308" s="224"/>
      <c r="N1308" s="224"/>
      <c r="O1308" s="224"/>
      <c r="P1308" s="224"/>
      <c r="Q1308" s="224"/>
      <c r="R1308" s="224"/>
      <c r="S1308" s="224"/>
      <c r="T1308" s="224"/>
    </row>
    <row r="1309" spans="1:22">
      <c r="A1309" s="219" t="s">
        <v>344</v>
      </c>
      <c r="B1309" s="214" t="s">
        <v>161</v>
      </c>
      <c r="C1309" s="215"/>
      <c r="D1309" s="232">
        <v>0</v>
      </c>
      <c r="E1309" s="215"/>
      <c r="F1309" s="232">
        <v>50000</v>
      </c>
      <c r="G1309" s="215"/>
      <c r="H1309" s="232">
        <v>0</v>
      </c>
      <c r="I1309" s="215"/>
      <c r="J1309" s="229">
        <v>50000</v>
      </c>
      <c r="K1309" s="215"/>
      <c r="L1309" s="231">
        <v>50000</v>
      </c>
      <c r="M1309" s="224"/>
      <c r="N1309" s="224"/>
      <c r="O1309" s="224"/>
      <c r="P1309" s="224"/>
      <c r="Q1309" s="224"/>
      <c r="R1309" s="224"/>
      <c r="S1309" s="224"/>
      <c r="T1309" s="224"/>
    </row>
    <row r="1310" spans="1:22" customHeight="1" ht="15.75">
      <c r="A1310" s="219" t="s">
        <v>169</v>
      </c>
      <c r="B1310" s="214" t="s">
        <v>170</v>
      </c>
      <c r="C1310" s="215"/>
      <c r="D1310" s="279">
        <v>244829</v>
      </c>
      <c r="E1310" s="215" t="s">
        <v>23</v>
      </c>
      <c r="F1310" s="279">
        <v>76276</v>
      </c>
      <c r="G1310" s="215" t="s">
        <v>23</v>
      </c>
      <c r="H1310" s="279">
        <f>J1310-F1310</f>
        <v>4262.1</v>
      </c>
      <c r="I1310" s="215" t="s">
        <v>23</v>
      </c>
      <c r="J1310" s="239">
        <v>80538.1</v>
      </c>
      <c r="K1310" s="215"/>
      <c r="L1310" s="257">
        <v>15663</v>
      </c>
      <c r="M1310" s="224"/>
      <c r="N1310" s="224"/>
      <c r="O1310" s="224"/>
      <c r="P1310" s="224"/>
      <c r="Q1310" s="224"/>
      <c r="R1310" s="224"/>
      <c r="S1310" s="224"/>
      <c r="T1310" s="224"/>
    </row>
    <row r="1311" spans="1:22" customHeight="1" ht="15.75">
      <c r="A1311" s="225" t="s">
        <v>200</v>
      </c>
      <c r="B1311" s="254"/>
      <c r="C1311" s="258" t="s">
        <v>23</v>
      </c>
      <c r="D1311" s="245">
        <f>SUM(D1306:D1310)</f>
        <v>1546244</v>
      </c>
      <c r="E1311" s="258" t="s">
        <v>23</v>
      </c>
      <c r="F1311" s="245">
        <f>SUM(F1306:F1310)</f>
        <v>629554.75</v>
      </c>
      <c r="G1311" s="258" t="s">
        <v>23</v>
      </c>
      <c r="H1311" s="245">
        <f>SUM(H1306:H1310)</f>
        <v>410983.35</v>
      </c>
      <c r="I1311" s="258" t="s">
        <v>23</v>
      </c>
      <c r="J1311" s="245">
        <f>SUM(J1306:J1310)</f>
        <v>1080538.1</v>
      </c>
      <c r="K1311" s="258" t="s">
        <v>23</v>
      </c>
      <c r="L1311" s="247">
        <f>SUM(L1306:L1310)</f>
        <v>965663</v>
      </c>
      <c r="M1311" s="248"/>
      <c r="N1311" s="248"/>
      <c r="O1311" s="248"/>
      <c r="P1311" s="248"/>
      <c r="Q1311" s="248"/>
      <c r="R1311" s="248"/>
      <c r="S1311" s="248"/>
      <c r="T1311" s="248"/>
    </row>
    <row r="1312" spans="1:22" customHeight="1" ht="15.75">
      <c r="A1312" s="284" t="s">
        <v>370</v>
      </c>
      <c r="B1312" s="285"/>
      <c r="C1312" s="286" t="s">
        <v>23</v>
      </c>
      <c r="D1312" s="287">
        <f>D1286+D1311</f>
        <v>3583653.85</v>
      </c>
      <c r="E1312" s="288" t="s">
        <v>23</v>
      </c>
      <c r="F1312" s="287">
        <f>F1286+F1311</f>
        <v>1663062.63</v>
      </c>
      <c r="G1312" s="288" t="s">
        <v>23</v>
      </c>
      <c r="H1312" s="287">
        <f>H1286+H1311</f>
        <v>1796937.37</v>
      </c>
      <c r="I1312" s="288" t="s">
        <v>23</v>
      </c>
      <c r="J1312" s="287">
        <f>J1286+J1311</f>
        <v>3500000</v>
      </c>
      <c r="K1312" s="288" t="s">
        <v>23</v>
      </c>
      <c r="L1312" s="289">
        <f>L1286+L1311</f>
        <v>3500000</v>
      </c>
      <c r="M1312" s="248"/>
      <c r="N1312" s="248"/>
      <c r="O1312" s="248"/>
      <c r="P1312" s="248"/>
      <c r="Q1312" s="248"/>
      <c r="R1312" s="248"/>
      <c r="S1312" s="248"/>
      <c r="T1312" s="248"/>
      <c r="V1312" s="347"/>
    </row>
    <row r="1313" spans="1:22" customHeight="1" ht="15.75">
      <c r="A1313" s="348"/>
      <c r="B1313" s="348"/>
      <c r="C1313" s="348"/>
      <c r="D1313" s="348"/>
      <c r="E1313" s="348"/>
      <c r="F1313" s="348"/>
      <c r="G1313" s="348"/>
      <c r="H1313" s="348"/>
      <c r="I1313" s="348"/>
      <c r="J1313" s="348"/>
      <c r="K1313" s="348"/>
      <c r="L1313" s="349"/>
    </row>
    <row r="1314" spans="1:22">
      <c r="A1314" s="215" t="s">
        <v>371</v>
      </c>
      <c r="B1314" s="215" t="s">
        <v>372</v>
      </c>
      <c r="C1314" s="215"/>
      <c r="D1314" s="215"/>
      <c r="E1314" s="215"/>
      <c r="F1314" s="215"/>
      <c r="G1314" s="215" t="s">
        <v>373</v>
      </c>
      <c r="H1314" s="215"/>
    </row>
    <row r="1317" spans="1:22">
      <c r="A1317" s="268" t="s">
        <v>326</v>
      </c>
      <c r="B1317" s="269" t="s">
        <v>374</v>
      </c>
      <c r="C1317" s="269"/>
      <c r="D1317" s="269"/>
      <c r="E1317" s="269"/>
      <c r="F1317" s="269"/>
      <c r="G1317" s="270"/>
      <c r="H1317" s="269" t="s">
        <v>326</v>
      </c>
      <c r="I1317" s="269"/>
      <c r="J1317" s="269"/>
      <c r="K1317" s="269"/>
      <c r="L1317" s="269"/>
      <c r="M1317" s="268"/>
      <c r="N1317" s="268"/>
      <c r="O1317" s="268"/>
      <c r="P1317" s="268"/>
      <c r="Q1317" s="268"/>
      <c r="R1317" s="268"/>
      <c r="S1317" s="268"/>
      <c r="T1317" s="268"/>
    </row>
    <row r="1318" spans="1:22">
      <c r="A1318" s="271" t="s">
        <v>327</v>
      </c>
      <c r="B1318" s="272" t="s">
        <v>375</v>
      </c>
      <c r="C1318" s="272"/>
      <c r="D1318" s="272"/>
      <c r="E1318" s="272"/>
      <c r="F1318" s="272"/>
      <c r="G1318" s="215"/>
      <c r="H1318" s="272" t="s">
        <v>327</v>
      </c>
      <c r="I1318" s="272"/>
      <c r="J1318" s="272"/>
      <c r="K1318" s="272"/>
      <c r="L1318" s="272"/>
      <c r="M1318" s="271"/>
      <c r="N1318" s="271"/>
      <c r="O1318" s="271"/>
      <c r="P1318" s="271"/>
      <c r="Q1318" s="271"/>
      <c r="R1318" s="271"/>
      <c r="S1318" s="271"/>
      <c r="T1318" s="271"/>
    </row>
    <row r="1332" spans="1:22">
      <c r="A1332" s="273" t="s">
        <v>346</v>
      </c>
      <c r="B1332" s="273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4"/>
      <c r="N1332" s="274"/>
      <c r="O1332" s="274"/>
      <c r="P1332" s="274"/>
      <c r="Q1332" s="274"/>
      <c r="R1332" s="274"/>
      <c r="S1332" s="274"/>
      <c r="T1332" s="274"/>
    </row>
    <row r="1334" spans="1:22" customHeight="1" ht="15.75">
      <c r="A1334" s="183" t="s">
        <v>347</v>
      </c>
      <c r="B1334" s="183"/>
      <c r="C1334" s="183"/>
      <c r="D1334" s="183"/>
      <c r="E1334" s="183"/>
      <c r="F1334" s="183"/>
      <c r="G1334" s="183"/>
      <c r="H1334" s="183"/>
      <c r="I1334" s="183"/>
      <c r="J1334" s="183"/>
      <c r="K1334" s="183"/>
      <c r="L1334" s="183"/>
      <c r="M1334" s="184"/>
      <c r="N1334" s="184"/>
      <c r="O1334" s="184"/>
      <c r="P1334" s="184"/>
      <c r="Q1334" s="184"/>
      <c r="R1334" s="184"/>
      <c r="S1334" s="184"/>
      <c r="T1334" s="184"/>
    </row>
    <row r="1335" spans="1:22">
      <c r="A1335" s="185" t="s">
        <v>348</v>
      </c>
      <c r="B1335" s="185"/>
      <c r="C1335" s="185"/>
      <c r="D1335" s="185"/>
      <c r="E1335" s="185"/>
      <c r="F1335" s="185"/>
      <c r="G1335" s="185"/>
      <c r="H1335" s="185"/>
      <c r="I1335" s="185"/>
      <c r="J1335" s="185"/>
      <c r="K1335" s="185"/>
      <c r="L1335" s="185"/>
      <c r="M1335" s="186"/>
      <c r="N1335" s="186"/>
      <c r="O1335" s="186"/>
      <c r="P1335" s="186"/>
      <c r="Q1335" s="186"/>
      <c r="R1335" s="186"/>
      <c r="S1335" s="186"/>
      <c r="T1335" s="186"/>
    </row>
    <row r="1337" spans="1:22">
      <c r="A1337" s="187" t="s">
        <v>518</v>
      </c>
    </row>
    <row r="1338" spans="1:22" customHeight="1" ht="15.75">
      <c r="A1338" s="187"/>
    </row>
    <row r="1339" spans="1:22">
      <c r="A1339" s="189"/>
      <c r="B1339" s="190"/>
      <c r="C1339" s="191" t="s">
        <v>350</v>
      </c>
      <c r="D1339" s="192"/>
      <c r="E1339" s="193" t="s">
        <v>351</v>
      </c>
      <c r="F1339" s="194"/>
      <c r="G1339" s="194"/>
      <c r="H1339" s="194"/>
      <c r="I1339" s="194"/>
      <c r="J1339" s="195"/>
      <c r="K1339" s="191" t="s">
        <v>352</v>
      </c>
      <c r="L1339" s="196"/>
      <c r="M1339" s="186"/>
      <c r="N1339" s="186"/>
      <c r="O1339" s="186"/>
      <c r="P1339" s="186"/>
      <c r="Q1339" s="186"/>
      <c r="R1339" s="186"/>
      <c r="S1339" s="186"/>
      <c r="T1339" s="186"/>
    </row>
    <row r="1340" spans="1:22">
      <c r="A1340" s="197" t="s">
        <v>353</v>
      </c>
      <c r="B1340" s="198" t="s">
        <v>354</v>
      </c>
      <c r="C1340" s="199">
        <v>2023</v>
      </c>
      <c r="D1340" s="200"/>
      <c r="E1340" s="201" t="s">
        <v>11</v>
      </c>
      <c r="F1340" s="202"/>
      <c r="G1340" s="201" t="s">
        <v>355</v>
      </c>
      <c r="H1340" s="202"/>
      <c r="I1340" s="203" t="s">
        <v>356</v>
      </c>
      <c r="J1340" s="204"/>
      <c r="K1340" s="199">
        <v>2025</v>
      </c>
      <c r="L1340" s="205"/>
      <c r="M1340" s="186"/>
      <c r="N1340" s="186"/>
      <c r="O1340" s="186"/>
      <c r="P1340" s="186"/>
      <c r="Q1340" s="186"/>
      <c r="R1340" s="186"/>
      <c r="S1340" s="186"/>
      <c r="T1340" s="186"/>
    </row>
    <row r="1341" spans="1:22" customHeight="1" ht="15.75">
      <c r="A1341" s="206"/>
      <c r="B1341" s="207"/>
      <c r="C1341" s="208" t="s">
        <v>17</v>
      </c>
      <c r="D1341" s="209"/>
      <c r="E1341" s="208" t="s">
        <v>17</v>
      </c>
      <c r="F1341" s="209"/>
      <c r="G1341" s="208" t="s">
        <v>18</v>
      </c>
      <c r="H1341" s="209"/>
      <c r="I1341" s="210"/>
      <c r="J1341" s="211"/>
      <c r="K1341" s="208" t="s">
        <v>357</v>
      </c>
      <c r="L1341" s="212"/>
      <c r="M1341" s="186"/>
      <c r="N1341" s="186"/>
      <c r="O1341" s="186"/>
      <c r="P1341" s="186"/>
      <c r="Q1341" s="186"/>
      <c r="R1341" s="186"/>
      <c r="S1341" s="186"/>
      <c r="T1341" s="186"/>
    </row>
    <row r="1342" spans="1:22">
      <c r="A1342" s="213" t="s">
        <v>80</v>
      </c>
      <c r="B1342" s="214"/>
      <c r="C1342" s="215"/>
      <c r="D1342" s="216"/>
      <c r="E1342" s="215"/>
      <c r="F1342" s="216"/>
      <c r="G1342" s="215"/>
      <c r="H1342" s="216"/>
      <c r="I1342" s="215"/>
      <c r="J1342" s="216"/>
      <c r="K1342" s="215"/>
      <c r="L1342" s="217"/>
      <c r="M1342" s="218"/>
      <c r="N1342" s="218"/>
      <c r="O1342" s="218"/>
      <c r="P1342" s="218"/>
      <c r="Q1342" s="218"/>
      <c r="R1342" s="218"/>
      <c r="S1342" s="218"/>
      <c r="T1342" s="218"/>
    </row>
    <row r="1343" spans="1:22">
      <c r="A1343" s="219" t="s">
        <v>82</v>
      </c>
      <c r="B1343" s="214" t="s">
        <v>83</v>
      </c>
      <c r="C1343" s="215" t="s">
        <v>23</v>
      </c>
      <c r="D1343" s="220">
        <v>317071</v>
      </c>
      <c r="E1343" s="215" t="s">
        <v>23</v>
      </c>
      <c r="F1343" s="220">
        <v>164098</v>
      </c>
      <c r="G1343" s="215" t="s">
        <v>23</v>
      </c>
      <c r="H1343" s="220">
        <f>J1343-F1343</f>
        <v>153785</v>
      </c>
      <c r="I1343" s="215" t="s">
        <v>23</v>
      </c>
      <c r="J1343" s="220">
        <v>317883</v>
      </c>
      <c r="K1343" s="215" t="s">
        <v>23</v>
      </c>
      <c r="L1343" s="223">
        <v>336264</v>
      </c>
      <c r="M1343" s="224"/>
      <c r="N1343" s="224"/>
      <c r="O1343" s="224"/>
      <c r="P1343" s="224"/>
      <c r="Q1343" s="224"/>
      <c r="R1343" s="224"/>
      <c r="S1343" s="224"/>
      <c r="T1343" s="224"/>
    </row>
    <row r="1344" spans="1:22">
      <c r="A1344" s="225" t="s">
        <v>338</v>
      </c>
      <c r="B1344" s="214"/>
      <c r="C1344" s="215"/>
      <c r="D1344" s="226"/>
      <c r="E1344" s="215"/>
      <c r="F1344" s="226"/>
      <c r="G1344" s="215"/>
      <c r="H1344" s="226"/>
      <c r="I1344" s="215"/>
      <c r="J1344" s="226"/>
      <c r="K1344" s="215"/>
      <c r="L1344" s="228"/>
      <c r="M1344" s="224"/>
      <c r="N1344" s="224"/>
      <c r="O1344" s="224"/>
      <c r="P1344" s="224"/>
      <c r="Q1344" s="224"/>
      <c r="R1344" s="224"/>
      <c r="S1344" s="224"/>
      <c r="T1344" s="224"/>
    </row>
    <row r="1345" spans="1:22">
      <c r="A1345" s="219" t="s">
        <v>84</v>
      </c>
      <c r="B1345" s="214" t="s">
        <v>85</v>
      </c>
      <c r="C1345" s="215"/>
      <c r="D1345" s="226">
        <v>48000</v>
      </c>
      <c r="E1345" s="215"/>
      <c r="F1345" s="226">
        <v>26000</v>
      </c>
      <c r="G1345" s="215"/>
      <c r="H1345" s="226">
        <f>J1345-F1345</f>
        <v>22000</v>
      </c>
      <c r="I1345" s="215"/>
      <c r="J1345" s="226">
        <v>48000</v>
      </c>
      <c r="K1345" s="215"/>
      <c r="L1345" s="228">
        <v>48000</v>
      </c>
      <c r="M1345" s="224"/>
      <c r="N1345" s="224"/>
      <c r="O1345" s="224"/>
      <c r="P1345" s="224"/>
      <c r="Q1345" s="224"/>
      <c r="R1345" s="224"/>
      <c r="S1345" s="224"/>
      <c r="T1345" s="224"/>
    </row>
    <row r="1346" spans="1:22">
      <c r="A1346" s="219" t="s">
        <v>90</v>
      </c>
      <c r="B1346" s="214" t="s">
        <v>91</v>
      </c>
      <c r="C1346" s="215"/>
      <c r="D1346" s="229">
        <v>12000</v>
      </c>
      <c r="E1346" s="215"/>
      <c r="F1346" s="229">
        <v>12000</v>
      </c>
      <c r="G1346" s="215"/>
      <c r="H1346" s="229">
        <f>J1346-F1346</f>
        <v>0</v>
      </c>
      <c r="I1346" s="215"/>
      <c r="J1346" s="229">
        <v>12000</v>
      </c>
      <c r="K1346" s="215"/>
      <c r="L1346" s="231">
        <v>14000</v>
      </c>
      <c r="M1346" s="224"/>
      <c r="N1346" s="224"/>
      <c r="O1346" s="224"/>
      <c r="P1346" s="224"/>
      <c r="Q1346" s="224"/>
      <c r="R1346" s="224"/>
      <c r="S1346" s="224"/>
      <c r="T1346" s="224"/>
    </row>
    <row r="1347" spans="1:22">
      <c r="A1347" s="219" t="s">
        <v>96</v>
      </c>
      <c r="B1347" s="214" t="s">
        <v>97</v>
      </c>
      <c r="C1347" s="215"/>
      <c r="D1347" s="229">
        <v>10000</v>
      </c>
      <c r="E1347" s="215"/>
      <c r="F1347" s="229">
        <v>0</v>
      </c>
      <c r="G1347" s="215"/>
      <c r="H1347" s="229">
        <f>J1347-F1347</f>
        <v>10000</v>
      </c>
      <c r="I1347" s="215"/>
      <c r="J1347" s="229">
        <v>10000</v>
      </c>
      <c r="K1347" s="215"/>
      <c r="L1347" s="231">
        <v>10000</v>
      </c>
      <c r="M1347" s="224"/>
      <c r="N1347" s="224"/>
      <c r="O1347" s="224"/>
      <c r="P1347" s="224"/>
      <c r="Q1347" s="224"/>
      <c r="R1347" s="224"/>
      <c r="S1347" s="224"/>
      <c r="T1347" s="224"/>
    </row>
    <row r="1348" spans="1:22">
      <c r="A1348" s="219" t="s">
        <v>358</v>
      </c>
      <c r="B1348" s="214" t="s">
        <v>99</v>
      </c>
      <c r="C1348" s="215"/>
      <c r="D1348" s="229">
        <v>30000</v>
      </c>
      <c r="E1348" s="215"/>
      <c r="F1348" s="229">
        <v>0</v>
      </c>
      <c r="G1348" s="215"/>
      <c r="H1348" s="229">
        <f>J1348-F1348</f>
        <v>20000</v>
      </c>
      <c r="I1348" s="215"/>
      <c r="J1348" s="229">
        <v>20000</v>
      </c>
      <c r="K1348" s="215"/>
      <c r="L1348" s="231">
        <v>40000</v>
      </c>
      <c r="M1348" s="224"/>
      <c r="N1348" s="224"/>
      <c r="O1348" s="224"/>
      <c r="P1348" s="224"/>
      <c r="Q1348" s="224"/>
      <c r="R1348" s="224"/>
      <c r="S1348" s="224"/>
      <c r="T1348" s="224"/>
    </row>
    <row r="1349" spans="1:22">
      <c r="A1349" s="219" t="s">
        <v>102</v>
      </c>
      <c r="B1349" s="214" t="s">
        <v>103</v>
      </c>
      <c r="C1349" s="215"/>
      <c r="D1349" s="229">
        <v>26483</v>
      </c>
      <c r="E1349" s="215"/>
      <c r="F1349" s="229">
        <v>0</v>
      </c>
      <c r="G1349" s="215"/>
      <c r="H1349" s="229">
        <f>J1349-F1349</f>
        <v>26570</v>
      </c>
      <c r="I1349" s="215"/>
      <c r="J1349" s="229">
        <v>26570</v>
      </c>
      <c r="K1349" s="215"/>
      <c r="L1349" s="231">
        <v>28802</v>
      </c>
      <c r="M1349" s="224"/>
      <c r="N1349" s="224"/>
      <c r="O1349" s="224"/>
      <c r="P1349" s="224"/>
      <c r="Q1349" s="224"/>
      <c r="R1349" s="224"/>
      <c r="S1349" s="224"/>
      <c r="T1349" s="224"/>
    </row>
    <row r="1350" spans="1:22">
      <c r="A1350" s="219" t="s">
        <v>104</v>
      </c>
      <c r="B1350" s="214" t="s">
        <v>105</v>
      </c>
      <c r="C1350" s="215"/>
      <c r="D1350" s="229">
        <v>10000</v>
      </c>
      <c r="E1350" s="215"/>
      <c r="F1350" s="229">
        <v>0</v>
      </c>
      <c r="G1350" s="215"/>
      <c r="H1350" s="229">
        <f>J1350-F1350</f>
        <v>10000</v>
      </c>
      <c r="I1350" s="215"/>
      <c r="J1350" s="229">
        <v>10000</v>
      </c>
      <c r="K1350" s="215"/>
      <c r="L1350" s="231">
        <v>10000</v>
      </c>
      <c r="M1350" s="224"/>
      <c r="N1350" s="224"/>
      <c r="O1350" s="224"/>
      <c r="P1350" s="224"/>
      <c r="Q1350" s="224"/>
      <c r="R1350" s="224"/>
      <c r="S1350" s="224"/>
      <c r="T1350" s="224"/>
    </row>
    <row r="1351" spans="1:22">
      <c r="A1351" s="219" t="s">
        <v>106</v>
      </c>
      <c r="B1351" s="214" t="s">
        <v>107</v>
      </c>
      <c r="C1351" s="215"/>
      <c r="D1351" s="229">
        <v>26338</v>
      </c>
      <c r="E1351" s="215"/>
      <c r="F1351" s="229">
        <v>26483</v>
      </c>
      <c r="G1351" s="215"/>
      <c r="H1351" s="229">
        <f>J1351-F1351</f>
        <v>0</v>
      </c>
      <c r="I1351" s="215"/>
      <c r="J1351" s="229">
        <v>26483</v>
      </c>
      <c r="K1351" s="215"/>
      <c r="L1351" s="231">
        <v>27632</v>
      </c>
      <c r="M1351" s="224"/>
      <c r="N1351" s="224"/>
      <c r="O1351" s="224"/>
      <c r="P1351" s="224"/>
      <c r="Q1351" s="224"/>
      <c r="R1351" s="224"/>
      <c r="S1351" s="224"/>
      <c r="T1351" s="224"/>
    </row>
    <row r="1352" spans="1:22">
      <c r="A1352" s="225" t="s">
        <v>340</v>
      </c>
      <c r="B1352" s="214"/>
      <c r="C1352" s="215"/>
      <c r="D1352" s="226"/>
      <c r="E1352" s="215"/>
      <c r="F1352" s="226"/>
      <c r="G1352" s="215"/>
      <c r="H1352" s="226"/>
      <c r="I1352" s="215"/>
      <c r="J1352" s="226"/>
      <c r="K1352" s="215"/>
      <c r="L1352" s="228"/>
      <c r="M1352" s="224"/>
      <c r="N1352" s="224"/>
      <c r="O1352" s="224"/>
      <c r="P1352" s="224"/>
      <c r="Q1352" s="224"/>
      <c r="R1352" s="224"/>
      <c r="S1352" s="224"/>
      <c r="T1352" s="224"/>
    </row>
    <row r="1353" spans="1:22">
      <c r="A1353" s="219" t="s">
        <v>108</v>
      </c>
      <c r="B1353" s="214" t="s">
        <v>109</v>
      </c>
      <c r="C1353" s="215"/>
      <c r="D1353" s="220">
        <v>38048.52</v>
      </c>
      <c r="E1353" s="215"/>
      <c r="F1353" s="220">
        <v>20315.76</v>
      </c>
      <c r="G1353" s="215"/>
      <c r="H1353" s="226">
        <f>J1353-F1353</f>
        <v>17830.2</v>
      </c>
      <c r="I1353" s="215"/>
      <c r="J1353" s="226">
        <v>38145.96</v>
      </c>
      <c r="K1353" s="215"/>
      <c r="L1353" s="228">
        <v>40352</v>
      </c>
      <c r="M1353" s="224"/>
      <c r="N1353" s="224"/>
      <c r="O1353" s="224"/>
      <c r="P1353" s="224"/>
      <c r="Q1353" s="224"/>
      <c r="R1353" s="224"/>
      <c r="S1353" s="224"/>
      <c r="T1353" s="224"/>
    </row>
    <row r="1354" spans="1:22">
      <c r="A1354" s="219" t="s">
        <v>110</v>
      </c>
      <c r="B1354" s="214" t="s">
        <v>111</v>
      </c>
      <c r="C1354" s="215"/>
      <c r="D1354" s="229">
        <v>2400</v>
      </c>
      <c r="E1354" s="215"/>
      <c r="F1354" s="229">
        <v>2400</v>
      </c>
      <c r="G1354" s="215"/>
      <c r="H1354" s="229">
        <f>J1354-F1354</f>
        <v>0</v>
      </c>
      <c r="I1354" s="215"/>
      <c r="J1354" s="229">
        <v>2400</v>
      </c>
      <c r="K1354" s="215"/>
      <c r="L1354" s="231">
        <v>4800</v>
      </c>
      <c r="M1354" s="224"/>
      <c r="N1354" s="224"/>
      <c r="O1354" s="224"/>
      <c r="P1354" s="224"/>
      <c r="Q1354" s="224"/>
      <c r="R1354" s="224"/>
      <c r="S1354" s="224"/>
      <c r="T1354" s="224"/>
    </row>
    <row r="1355" spans="1:22">
      <c r="A1355" s="219" t="s">
        <v>112</v>
      </c>
      <c r="B1355" s="214" t="s">
        <v>113</v>
      </c>
      <c r="C1355" s="215"/>
      <c r="D1355" s="229">
        <v>6341.42</v>
      </c>
      <c r="E1355" s="215"/>
      <c r="F1355" s="229">
        <v>4332.48</v>
      </c>
      <c r="G1355" s="215"/>
      <c r="H1355" s="229">
        <f>J1355-F1355</f>
        <v>3614.6</v>
      </c>
      <c r="I1355" s="215"/>
      <c r="J1355" s="229">
        <v>7947.08</v>
      </c>
      <c r="K1355" s="215"/>
      <c r="L1355" s="231">
        <v>8407</v>
      </c>
      <c r="M1355" s="224"/>
      <c r="N1355" s="224"/>
      <c r="O1355" s="224"/>
      <c r="P1355" s="224"/>
      <c r="Q1355" s="224"/>
      <c r="R1355" s="224"/>
      <c r="S1355" s="224"/>
      <c r="T1355" s="224"/>
    </row>
    <row r="1356" spans="1:22">
      <c r="A1356" s="219" t="s">
        <v>114</v>
      </c>
      <c r="B1356" s="214" t="s">
        <v>115</v>
      </c>
      <c r="C1356" s="215"/>
      <c r="D1356" s="229">
        <v>2400</v>
      </c>
      <c r="E1356" s="215"/>
      <c r="F1356" s="229">
        <v>1200</v>
      </c>
      <c r="G1356" s="215"/>
      <c r="H1356" s="229">
        <f>J1356-F1356</f>
        <v>1200</v>
      </c>
      <c r="I1356" s="215"/>
      <c r="J1356" s="229">
        <v>2400</v>
      </c>
      <c r="K1356" s="215"/>
      <c r="L1356" s="231">
        <v>2400</v>
      </c>
      <c r="M1356" s="224"/>
      <c r="N1356" s="224"/>
      <c r="O1356" s="224"/>
      <c r="P1356" s="224"/>
      <c r="Q1356" s="224"/>
      <c r="R1356" s="224"/>
      <c r="S1356" s="224"/>
      <c r="T1356" s="224"/>
    </row>
    <row r="1357" spans="1:22">
      <c r="A1357" s="225" t="s">
        <v>359</v>
      </c>
      <c r="B1357" s="214"/>
      <c r="C1357" s="221"/>
      <c r="D1357" s="226"/>
      <c r="E1357" s="215"/>
      <c r="F1357" s="226"/>
      <c r="G1357" s="215"/>
      <c r="H1357" s="226"/>
      <c r="I1357" s="215"/>
      <c r="J1357" s="226"/>
      <c r="K1357" s="215"/>
      <c r="L1357" s="228"/>
      <c r="M1357" s="224"/>
      <c r="N1357" s="224"/>
      <c r="O1357" s="224"/>
      <c r="P1357" s="224"/>
      <c r="Q1357" s="224"/>
      <c r="R1357" s="224"/>
      <c r="S1357" s="224"/>
      <c r="T1357" s="224"/>
    </row>
    <row r="1358" spans="1:22">
      <c r="A1358" s="238" t="s">
        <v>360</v>
      </c>
      <c r="B1358" s="214" t="s">
        <v>117</v>
      </c>
      <c r="C1358" s="215"/>
      <c r="D1358" s="220">
        <v>0</v>
      </c>
      <c r="E1358" s="215"/>
      <c r="F1358" s="220">
        <v>0</v>
      </c>
      <c r="G1358" s="215"/>
      <c r="H1358" s="220">
        <f>J1358-F1358</f>
        <v>0</v>
      </c>
      <c r="I1358" s="215"/>
      <c r="J1358" s="220">
        <v>0</v>
      </c>
      <c r="K1358" s="215"/>
      <c r="L1358" s="223"/>
      <c r="M1358" s="224"/>
      <c r="N1358" s="224"/>
      <c r="O1358" s="224"/>
      <c r="P1358" s="224"/>
      <c r="Q1358" s="224"/>
      <c r="R1358" s="224"/>
      <c r="S1358" s="224"/>
      <c r="T1358" s="224"/>
    </row>
    <row r="1359" spans="1:22" customHeight="1" ht="15.75">
      <c r="A1359" s="238" t="s">
        <v>361</v>
      </c>
      <c r="B1359" s="214" t="s">
        <v>119</v>
      </c>
      <c r="C1359" s="215"/>
      <c r="D1359" s="239">
        <v>0</v>
      </c>
      <c r="E1359" s="215"/>
      <c r="F1359" s="239">
        <v>0</v>
      </c>
      <c r="G1359" s="215"/>
      <c r="H1359" s="279">
        <f>J1359-F1359</f>
        <v>42000</v>
      </c>
      <c r="I1359" s="215"/>
      <c r="J1359" s="239">
        <v>42000</v>
      </c>
      <c r="K1359" s="215"/>
      <c r="L1359" s="257">
        <v>14000</v>
      </c>
      <c r="M1359" s="224"/>
      <c r="N1359" s="224"/>
      <c r="O1359" s="224"/>
      <c r="P1359" s="224"/>
      <c r="Q1359" s="224"/>
      <c r="R1359" s="224"/>
      <c r="S1359" s="224"/>
      <c r="T1359" s="224"/>
    </row>
    <row r="1360" spans="1:22" customHeight="1" ht="15.75">
      <c r="A1360" s="242" t="s">
        <v>120</v>
      </c>
      <c r="B1360" s="243"/>
      <c r="C1360" s="244" t="s">
        <v>23</v>
      </c>
      <c r="D1360" s="245">
        <f>SUM(D1343:D1359)</f>
        <v>529081.94</v>
      </c>
      <c r="E1360" s="246" t="s">
        <v>23</v>
      </c>
      <c r="F1360" s="245">
        <f>SUM(F1343:F1359)</f>
        <v>256829.24</v>
      </c>
      <c r="G1360" s="246" t="s">
        <v>23</v>
      </c>
      <c r="H1360" s="245">
        <f>SUM(H1343:H1359)</f>
        <v>306999.8</v>
      </c>
      <c r="I1360" s="246" t="s">
        <v>23</v>
      </c>
      <c r="J1360" s="245">
        <f>SUM(J1343:J1359)</f>
        <v>563829.04</v>
      </c>
      <c r="K1360" s="246" t="s">
        <v>23</v>
      </c>
      <c r="L1360" s="247">
        <f>SUM(L1343:L1359)</f>
        <v>584657</v>
      </c>
      <c r="M1360" s="248"/>
      <c r="N1360" s="248"/>
      <c r="O1360" s="248"/>
      <c r="P1360" s="248"/>
      <c r="Q1360" s="248"/>
      <c r="R1360" s="248"/>
      <c r="S1360" s="248"/>
      <c r="T1360" s="248"/>
    </row>
    <row r="1364" spans="1:22">
      <c r="J1364" s="215"/>
    </row>
    <row r="1369" spans="1:22">
      <c r="A1369" s="273" t="s">
        <v>346</v>
      </c>
      <c r="B1369" s="273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4"/>
      <c r="N1369" s="274"/>
      <c r="O1369" s="274"/>
      <c r="P1369" s="274"/>
      <c r="Q1369" s="274"/>
      <c r="R1369" s="274"/>
      <c r="S1369" s="274"/>
      <c r="T1369" s="274"/>
    </row>
    <row r="1371" spans="1:22" customHeight="1" ht="15.75">
      <c r="A1371" s="183" t="s">
        <v>347</v>
      </c>
      <c r="B1371" s="183"/>
      <c r="C1371" s="183"/>
      <c r="D1371" s="183"/>
      <c r="E1371" s="183"/>
      <c r="F1371" s="183"/>
      <c r="G1371" s="183"/>
      <c r="H1371" s="183"/>
      <c r="I1371" s="183"/>
      <c r="J1371" s="183"/>
      <c r="K1371" s="183"/>
      <c r="L1371" s="183"/>
      <c r="M1371" s="184"/>
      <c r="N1371" s="184"/>
      <c r="O1371" s="184"/>
      <c r="P1371" s="184"/>
      <c r="Q1371" s="184"/>
      <c r="R1371" s="184"/>
      <c r="S1371" s="184"/>
      <c r="T1371" s="184"/>
    </row>
    <row r="1372" spans="1:22">
      <c r="A1372" s="185" t="s">
        <v>348</v>
      </c>
      <c r="B1372" s="185"/>
      <c r="C1372" s="185"/>
      <c r="D1372" s="185"/>
      <c r="E1372" s="185"/>
      <c r="F1372" s="185"/>
      <c r="G1372" s="185"/>
      <c r="H1372" s="185"/>
      <c r="I1372" s="185"/>
      <c r="J1372" s="185"/>
      <c r="K1372" s="185"/>
      <c r="L1372" s="185"/>
      <c r="M1372" s="186"/>
      <c r="N1372" s="186"/>
      <c r="O1372" s="186"/>
      <c r="P1372" s="186"/>
      <c r="Q1372" s="186"/>
      <c r="R1372" s="186"/>
      <c r="S1372" s="186"/>
      <c r="T1372" s="186"/>
    </row>
    <row r="1374" spans="1:22">
      <c r="A1374" s="187" t="s">
        <v>518</v>
      </c>
    </row>
    <row r="1375" spans="1:22" customHeight="1" ht="15.75"/>
    <row r="1376" spans="1:22">
      <c r="A1376" s="189"/>
      <c r="B1376" s="190"/>
      <c r="C1376" s="191" t="s">
        <v>350</v>
      </c>
      <c r="D1376" s="192"/>
      <c r="E1376" s="193" t="s">
        <v>351</v>
      </c>
      <c r="F1376" s="194"/>
      <c r="G1376" s="194"/>
      <c r="H1376" s="194"/>
      <c r="I1376" s="194"/>
      <c r="J1376" s="195"/>
      <c r="K1376" s="191" t="s">
        <v>352</v>
      </c>
      <c r="L1376" s="196"/>
      <c r="M1376" s="186"/>
      <c r="N1376" s="186"/>
      <c r="O1376" s="186"/>
      <c r="P1376" s="186"/>
      <c r="Q1376" s="186"/>
      <c r="R1376" s="186"/>
      <c r="S1376" s="186"/>
      <c r="T1376" s="186"/>
    </row>
    <row r="1377" spans="1:22">
      <c r="A1377" s="197" t="s">
        <v>353</v>
      </c>
      <c r="B1377" s="198" t="s">
        <v>354</v>
      </c>
      <c r="C1377" s="199">
        <v>2023</v>
      </c>
      <c r="D1377" s="200"/>
      <c r="E1377" s="201" t="s">
        <v>11</v>
      </c>
      <c r="F1377" s="202"/>
      <c r="G1377" s="201" t="s">
        <v>355</v>
      </c>
      <c r="H1377" s="202"/>
      <c r="I1377" s="203" t="s">
        <v>356</v>
      </c>
      <c r="J1377" s="204"/>
      <c r="K1377" s="199">
        <v>2025</v>
      </c>
      <c r="L1377" s="205"/>
      <c r="M1377" s="186"/>
      <c r="N1377" s="186"/>
      <c r="O1377" s="186"/>
      <c r="P1377" s="186"/>
      <c r="Q1377" s="186"/>
      <c r="R1377" s="186"/>
      <c r="S1377" s="186"/>
      <c r="T1377" s="186"/>
    </row>
    <row r="1378" spans="1:22" customHeight="1" ht="15.75">
      <c r="A1378" s="206"/>
      <c r="B1378" s="207"/>
      <c r="C1378" s="208" t="s">
        <v>17</v>
      </c>
      <c r="D1378" s="209"/>
      <c r="E1378" s="208" t="s">
        <v>17</v>
      </c>
      <c r="F1378" s="209"/>
      <c r="G1378" s="208" t="s">
        <v>18</v>
      </c>
      <c r="H1378" s="209"/>
      <c r="I1378" s="210"/>
      <c r="J1378" s="211"/>
      <c r="K1378" s="208" t="s">
        <v>357</v>
      </c>
      <c r="L1378" s="212"/>
      <c r="M1378" s="186"/>
      <c r="N1378" s="186"/>
      <c r="O1378" s="186"/>
      <c r="P1378" s="186"/>
      <c r="Q1378" s="186"/>
      <c r="R1378" s="186"/>
      <c r="S1378" s="186"/>
      <c r="T1378" s="186"/>
    </row>
    <row r="1379" spans="1:22">
      <c r="A1379" s="225" t="s">
        <v>121</v>
      </c>
      <c r="B1379" s="254"/>
      <c r="C1379" s="215"/>
      <c r="D1379" s="346"/>
      <c r="E1379" s="215"/>
      <c r="F1379" s="346"/>
      <c r="G1379" s="215"/>
      <c r="H1379" s="346"/>
      <c r="I1379" s="215"/>
      <c r="J1379" s="346"/>
      <c r="K1379" s="215"/>
      <c r="L1379" s="278"/>
      <c r="M1379" s="218"/>
      <c r="N1379" s="218"/>
      <c r="O1379" s="218"/>
      <c r="P1379" s="218"/>
      <c r="Q1379" s="218"/>
      <c r="R1379" s="218"/>
      <c r="S1379" s="218"/>
      <c r="T1379" s="218"/>
    </row>
    <row r="1380" spans="1:22" hidden="true">
      <c r="A1380" s="219" t="s">
        <v>122</v>
      </c>
      <c r="B1380" s="214" t="s">
        <v>123</v>
      </c>
      <c r="C1380" s="215" t="s">
        <v>23</v>
      </c>
      <c r="D1380" s="220">
        <v>0</v>
      </c>
      <c r="E1380" s="215" t="s">
        <v>23</v>
      </c>
      <c r="F1380" s="220">
        <v>0</v>
      </c>
      <c r="G1380" s="215" t="s">
        <v>23</v>
      </c>
      <c r="H1380" s="220">
        <f>J1380-F1380</f>
        <v>0</v>
      </c>
      <c r="I1380" s="215" t="s">
        <v>23</v>
      </c>
      <c r="J1380" s="220">
        <v>0</v>
      </c>
      <c r="K1380" s="215" t="s">
        <v>23</v>
      </c>
      <c r="L1380" s="223"/>
      <c r="M1380" s="224"/>
      <c r="N1380" s="224"/>
      <c r="O1380" s="224"/>
      <c r="P1380" s="224"/>
      <c r="Q1380" s="224"/>
      <c r="R1380" s="224"/>
      <c r="S1380" s="224"/>
      <c r="T1380" s="224"/>
    </row>
    <row r="1381" spans="1:22" hidden="true">
      <c r="A1381" s="219" t="s">
        <v>126</v>
      </c>
      <c r="B1381" s="214" t="s">
        <v>127</v>
      </c>
      <c r="C1381" s="215"/>
      <c r="D1381" s="226">
        <v>0</v>
      </c>
      <c r="E1381" s="215"/>
      <c r="F1381" s="226">
        <v>0</v>
      </c>
      <c r="G1381" s="215"/>
      <c r="H1381" s="226">
        <v>0</v>
      </c>
      <c r="I1381" s="215"/>
      <c r="J1381" s="226">
        <v>0</v>
      </c>
      <c r="K1381" s="215"/>
      <c r="L1381" s="228">
        <v>0</v>
      </c>
      <c r="M1381" s="224"/>
      <c r="N1381" s="224"/>
      <c r="O1381" s="224"/>
      <c r="P1381" s="224"/>
      <c r="Q1381" s="224"/>
      <c r="R1381" s="224"/>
      <c r="S1381" s="224"/>
      <c r="T1381" s="224"/>
    </row>
    <row r="1382" spans="1:22">
      <c r="A1382" s="219" t="s">
        <v>344</v>
      </c>
      <c r="B1382" s="214" t="s">
        <v>161</v>
      </c>
      <c r="C1382" s="215" t="s">
        <v>23</v>
      </c>
      <c r="D1382" s="232">
        <v>0</v>
      </c>
      <c r="E1382" s="215" t="s">
        <v>23</v>
      </c>
      <c r="F1382" s="232">
        <v>0</v>
      </c>
      <c r="G1382" s="215" t="s">
        <v>23</v>
      </c>
      <c r="H1382" s="232">
        <v>0</v>
      </c>
      <c r="I1382" s="215" t="s">
        <v>23</v>
      </c>
      <c r="J1382" s="229">
        <v>0</v>
      </c>
      <c r="K1382" s="215" t="s">
        <v>23</v>
      </c>
      <c r="L1382" s="231">
        <v>50000</v>
      </c>
      <c r="M1382" s="224"/>
      <c r="N1382" s="224"/>
      <c r="O1382" s="224"/>
      <c r="P1382" s="224"/>
      <c r="Q1382" s="224"/>
      <c r="R1382" s="224"/>
      <c r="S1382" s="224"/>
      <c r="T1382" s="224"/>
    </row>
    <row r="1383" spans="1:22" customHeight="1" ht="15.75">
      <c r="A1383" s="219" t="s">
        <v>169</v>
      </c>
      <c r="B1383" s="214" t="s">
        <v>170</v>
      </c>
      <c r="C1383" s="215"/>
      <c r="D1383" s="279">
        <v>92344</v>
      </c>
      <c r="E1383" s="221"/>
      <c r="F1383" s="279">
        <v>22117.5</v>
      </c>
      <c r="G1383" s="221"/>
      <c r="H1383" s="279">
        <f>J1383-F1383</f>
        <v>14053.46</v>
      </c>
      <c r="I1383" s="221"/>
      <c r="J1383" s="279">
        <v>36170.96</v>
      </c>
      <c r="K1383" s="215"/>
      <c r="L1383" s="241">
        <v>65343</v>
      </c>
      <c r="M1383" s="224"/>
      <c r="N1383" s="224"/>
      <c r="O1383" s="224"/>
      <c r="P1383" s="224"/>
      <c r="Q1383" s="224"/>
      <c r="R1383" s="224"/>
      <c r="S1383" s="224"/>
      <c r="T1383" s="224"/>
    </row>
    <row r="1384" spans="1:22" customHeight="1" ht="15.75">
      <c r="A1384" s="225" t="s">
        <v>200</v>
      </c>
      <c r="B1384" s="254"/>
      <c r="C1384" s="258" t="s">
        <v>23</v>
      </c>
      <c r="D1384" s="245">
        <f>SUM(D1380:D1383)</f>
        <v>92344</v>
      </c>
      <c r="E1384" s="258" t="s">
        <v>23</v>
      </c>
      <c r="F1384" s="245">
        <f>SUM(F1380:F1383)</f>
        <v>22117.5</v>
      </c>
      <c r="G1384" s="258" t="s">
        <v>23</v>
      </c>
      <c r="H1384" s="245">
        <f>SUM(H1380:H1383)</f>
        <v>14053.46</v>
      </c>
      <c r="I1384" s="258" t="s">
        <v>23</v>
      </c>
      <c r="J1384" s="245">
        <f>SUM(J1380:J1383)</f>
        <v>36170.96</v>
      </c>
      <c r="K1384" s="258" t="s">
        <v>23</v>
      </c>
      <c r="L1384" s="247">
        <f>SUM(L1381:L1383)</f>
        <v>115343</v>
      </c>
      <c r="M1384" s="248"/>
      <c r="N1384" s="248"/>
      <c r="O1384" s="248"/>
      <c r="P1384" s="248"/>
      <c r="Q1384" s="248"/>
      <c r="R1384" s="248"/>
      <c r="S1384" s="248"/>
      <c r="T1384" s="248"/>
    </row>
    <row r="1385" spans="1:22" customHeight="1" ht="15.75">
      <c r="A1385" s="284" t="s">
        <v>370</v>
      </c>
      <c r="B1385" s="285"/>
      <c r="C1385" s="286" t="s">
        <v>23</v>
      </c>
      <c r="D1385" s="287">
        <f>D1360+D1384</f>
        <v>621425.94</v>
      </c>
      <c r="E1385" s="288" t="s">
        <v>23</v>
      </c>
      <c r="F1385" s="287">
        <f>F1360+F1384</f>
        <v>278946.74</v>
      </c>
      <c r="G1385" s="288" t="s">
        <v>23</v>
      </c>
      <c r="H1385" s="287">
        <f>H1360+H1384</f>
        <v>321053.26</v>
      </c>
      <c r="I1385" s="288" t="s">
        <v>23</v>
      </c>
      <c r="J1385" s="287">
        <f>J1360+J1384</f>
        <v>600000</v>
      </c>
      <c r="K1385" s="288" t="s">
        <v>23</v>
      </c>
      <c r="L1385" s="289">
        <f>L1360+L1384</f>
        <v>700000</v>
      </c>
      <c r="M1385" s="248"/>
      <c r="N1385" s="248"/>
      <c r="O1385" s="248"/>
      <c r="P1385" s="248"/>
      <c r="Q1385" s="248"/>
      <c r="R1385" s="248"/>
      <c r="S1385" s="248"/>
      <c r="T1385" s="248"/>
    </row>
    <row r="1386" spans="1:22" customHeight="1" ht="15.75">
      <c r="A1386" s="348"/>
      <c r="B1386" s="348"/>
      <c r="C1386" s="348"/>
      <c r="D1386" s="348"/>
      <c r="E1386" s="348"/>
      <c r="F1386" s="348"/>
      <c r="G1386" s="348"/>
      <c r="H1386" s="348"/>
      <c r="I1386" s="348"/>
      <c r="J1386" s="348"/>
      <c r="K1386" s="348"/>
      <c r="L1386" s="349"/>
    </row>
    <row r="1387" spans="1:22">
      <c r="A1387" s="215" t="s">
        <v>371</v>
      </c>
      <c r="B1387" s="215" t="s">
        <v>372</v>
      </c>
      <c r="C1387" s="215"/>
      <c r="D1387" s="215"/>
      <c r="E1387" s="215"/>
      <c r="F1387" s="215"/>
      <c r="G1387" s="215" t="s">
        <v>373</v>
      </c>
      <c r="H1387" s="215"/>
    </row>
    <row r="1390" spans="1:22">
      <c r="A1390" s="268" t="s">
        <v>326</v>
      </c>
      <c r="B1390" s="269" t="s">
        <v>374</v>
      </c>
      <c r="C1390" s="269"/>
      <c r="D1390" s="269"/>
      <c r="E1390" s="269"/>
      <c r="F1390" s="269"/>
      <c r="G1390" s="270"/>
      <c r="H1390" s="269" t="s">
        <v>326</v>
      </c>
      <c r="I1390" s="269"/>
      <c r="J1390" s="269"/>
      <c r="K1390" s="269"/>
      <c r="L1390" s="269"/>
      <c r="M1390" s="268"/>
      <c r="N1390" s="268"/>
      <c r="O1390" s="268"/>
      <c r="P1390" s="268"/>
      <c r="Q1390" s="268"/>
      <c r="R1390" s="268"/>
      <c r="S1390" s="268"/>
      <c r="T1390" s="268"/>
    </row>
    <row r="1391" spans="1:22">
      <c r="A1391" s="271" t="s">
        <v>327</v>
      </c>
      <c r="B1391" s="272" t="s">
        <v>375</v>
      </c>
      <c r="C1391" s="272"/>
      <c r="D1391" s="272"/>
      <c r="E1391" s="272"/>
      <c r="F1391" s="272"/>
      <c r="G1391" s="215"/>
      <c r="H1391" s="272" t="s">
        <v>327</v>
      </c>
      <c r="I1391" s="272"/>
      <c r="J1391" s="272"/>
      <c r="K1391" s="272"/>
      <c r="L1391" s="272"/>
      <c r="M1391" s="271"/>
      <c r="N1391" s="271"/>
      <c r="O1391" s="271"/>
      <c r="P1391" s="271"/>
      <c r="Q1391" s="271"/>
      <c r="R1391" s="271"/>
      <c r="S1391" s="271"/>
      <c r="T1391" s="271"/>
    </row>
    <row r="1403" spans="1:22">
      <c r="J1403" s="215"/>
    </row>
    <row r="1408" spans="1:22">
      <c r="A1408" s="273" t="s">
        <v>346</v>
      </c>
      <c r="B1408" s="273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4"/>
      <c r="N1408" s="274"/>
      <c r="O1408" s="274"/>
      <c r="P1408" s="274"/>
      <c r="Q1408" s="274"/>
      <c r="R1408" s="274"/>
      <c r="S1408" s="274"/>
      <c r="T1408" s="274"/>
    </row>
    <row r="1410" spans="1:22" customHeight="1" ht="15.75">
      <c r="A1410" s="183" t="s">
        <v>347</v>
      </c>
      <c r="B1410" s="183"/>
      <c r="C1410" s="183"/>
      <c r="D1410" s="183"/>
      <c r="E1410" s="183"/>
      <c r="F1410" s="183"/>
      <c r="G1410" s="183"/>
      <c r="H1410" s="183"/>
      <c r="I1410" s="183"/>
      <c r="J1410" s="183"/>
      <c r="K1410" s="183"/>
      <c r="L1410" s="183"/>
      <c r="M1410" s="184"/>
      <c r="N1410" s="184"/>
      <c r="O1410" s="184"/>
      <c r="P1410" s="184"/>
      <c r="Q1410" s="184"/>
      <c r="R1410" s="184"/>
      <c r="S1410" s="184"/>
      <c r="T1410" s="184"/>
    </row>
    <row r="1411" spans="1:22">
      <c r="A1411" s="185" t="s">
        <v>348</v>
      </c>
      <c r="B1411" s="185"/>
      <c r="C1411" s="185"/>
      <c r="D1411" s="185"/>
      <c r="E1411" s="185"/>
      <c r="F1411" s="185"/>
      <c r="G1411" s="185"/>
      <c r="H1411" s="185"/>
      <c r="I1411" s="185"/>
      <c r="J1411" s="185"/>
      <c r="K1411" s="185"/>
      <c r="L1411" s="185"/>
      <c r="M1411" s="186"/>
      <c r="N1411" s="186"/>
      <c r="O1411" s="186"/>
      <c r="P1411" s="186"/>
      <c r="Q1411" s="186"/>
      <c r="R1411" s="186"/>
      <c r="S1411" s="186"/>
      <c r="T1411" s="186"/>
    </row>
    <row r="1413" spans="1:22">
      <c r="A1413" s="187" t="s">
        <v>519</v>
      </c>
    </row>
    <row r="1414" spans="1:22" customHeight="1" ht="15.75">
      <c r="A1414" s="187"/>
    </row>
    <row r="1415" spans="1:22">
      <c r="A1415" s="189"/>
      <c r="B1415" s="190"/>
      <c r="C1415" s="191" t="s">
        <v>350</v>
      </c>
      <c r="D1415" s="192"/>
      <c r="E1415" s="193" t="s">
        <v>351</v>
      </c>
      <c r="F1415" s="194"/>
      <c r="G1415" s="194"/>
      <c r="H1415" s="194"/>
      <c r="I1415" s="194"/>
      <c r="J1415" s="195"/>
      <c r="K1415" s="191" t="s">
        <v>352</v>
      </c>
      <c r="L1415" s="196"/>
      <c r="M1415" s="186"/>
      <c r="N1415" s="186"/>
      <c r="O1415" s="186"/>
      <c r="P1415" s="186"/>
      <c r="Q1415" s="186"/>
      <c r="R1415" s="186"/>
      <c r="S1415" s="186"/>
      <c r="T1415" s="186"/>
    </row>
    <row r="1416" spans="1:22">
      <c r="A1416" s="197" t="s">
        <v>353</v>
      </c>
      <c r="B1416" s="198" t="s">
        <v>354</v>
      </c>
      <c r="C1416" s="199">
        <v>2023</v>
      </c>
      <c r="D1416" s="200"/>
      <c r="E1416" s="201" t="s">
        <v>11</v>
      </c>
      <c r="F1416" s="202"/>
      <c r="G1416" s="201" t="s">
        <v>355</v>
      </c>
      <c r="H1416" s="202"/>
      <c r="I1416" s="203" t="s">
        <v>356</v>
      </c>
      <c r="J1416" s="204"/>
      <c r="K1416" s="199">
        <v>2025</v>
      </c>
      <c r="L1416" s="205"/>
      <c r="M1416" s="186"/>
      <c r="N1416" s="186"/>
      <c r="O1416" s="186"/>
      <c r="P1416" s="186"/>
      <c r="Q1416" s="186"/>
      <c r="R1416" s="186"/>
      <c r="S1416" s="186"/>
      <c r="T1416" s="186"/>
    </row>
    <row r="1417" spans="1:22" customHeight="1" ht="15.75">
      <c r="A1417" s="206"/>
      <c r="B1417" s="207"/>
      <c r="C1417" s="208" t="s">
        <v>17</v>
      </c>
      <c r="D1417" s="209"/>
      <c r="E1417" s="208" t="s">
        <v>17</v>
      </c>
      <c r="F1417" s="209"/>
      <c r="G1417" s="208" t="s">
        <v>18</v>
      </c>
      <c r="H1417" s="209"/>
      <c r="I1417" s="210"/>
      <c r="J1417" s="211"/>
      <c r="K1417" s="208" t="s">
        <v>357</v>
      </c>
      <c r="L1417" s="212"/>
      <c r="M1417" s="186"/>
      <c r="N1417" s="186"/>
      <c r="O1417" s="186"/>
      <c r="P1417" s="186"/>
      <c r="Q1417" s="186"/>
      <c r="R1417" s="186"/>
      <c r="S1417" s="186"/>
      <c r="T1417" s="186"/>
    </row>
    <row r="1418" spans="1:22">
      <c r="A1418" s="213" t="s">
        <v>80</v>
      </c>
      <c r="B1418" s="214"/>
      <c r="C1418" s="215"/>
      <c r="D1418" s="216"/>
      <c r="E1418" s="215"/>
      <c r="F1418" s="216"/>
      <c r="G1418" s="215"/>
      <c r="H1418" s="216"/>
      <c r="I1418" s="215"/>
      <c r="J1418" s="216"/>
      <c r="K1418" s="215"/>
      <c r="L1418" s="217"/>
      <c r="M1418" s="218"/>
      <c r="N1418" s="218"/>
      <c r="O1418" s="218"/>
      <c r="P1418" s="218"/>
      <c r="Q1418" s="218"/>
      <c r="R1418" s="218"/>
      <c r="S1418" s="218"/>
      <c r="T1418" s="218"/>
    </row>
    <row r="1419" spans="1:22">
      <c r="A1419" s="219" t="s">
        <v>82</v>
      </c>
      <c r="B1419" s="214" t="s">
        <v>83</v>
      </c>
      <c r="C1419" s="215" t="s">
        <v>23</v>
      </c>
      <c r="D1419" s="226">
        <v>533476.94</v>
      </c>
      <c r="E1419" s="215" t="s">
        <v>23</v>
      </c>
      <c r="F1419" s="226">
        <v>266970</v>
      </c>
      <c r="G1419" s="215" t="s">
        <v>23</v>
      </c>
      <c r="H1419" s="226">
        <f>J1419-F1419</f>
        <v>267057</v>
      </c>
      <c r="I1419" s="215" t="s">
        <v>23</v>
      </c>
      <c r="J1419" s="226">
        <v>534027</v>
      </c>
      <c r="K1419" s="215" t="s">
        <v>23</v>
      </c>
      <c r="L1419" s="228">
        <v>564052</v>
      </c>
      <c r="M1419" s="224"/>
      <c r="N1419" s="224"/>
      <c r="O1419" s="224"/>
      <c r="P1419" s="224"/>
      <c r="Q1419" s="224"/>
      <c r="R1419" s="224"/>
      <c r="S1419" s="224"/>
      <c r="T1419" s="224"/>
    </row>
    <row r="1420" spans="1:22">
      <c r="A1420" s="225" t="s">
        <v>338</v>
      </c>
      <c r="B1420" s="214"/>
      <c r="C1420" s="215"/>
      <c r="D1420" s="226"/>
      <c r="E1420" s="215"/>
      <c r="F1420" s="226"/>
      <c r="G1420" s="215"/>
      <c r="H1420" s="226"/>
      <c r="I1420" s="215"/>
      <c r="J1420" s="226"/>
      <c r="K1420" s="215"/>
      <c r="L1420" s="228"/>
      <c r="M1420" s="224"/>
      <c r="N1420" s="224"/>
      <c r="O1420" s="224"/>
      <c r="P1420" s="224"/>
      <c r="Q1420" s="224"/>
      <c r="R1420" s="224"/>
      <c r="S1420" s="224"/>
      <c r="T1420" s="224"/>
    </row>
    <row r="1421" spans="1:22">
      <c r="A1421" s="219" t="s">
        <v>84</v>
      </c>
      <c r="B1421" s="214" t="s">
        <v>85</v>
      </c>
      <c r="C1421" s="215"/>
      <c r="D1421" s="220">
        <v>96000</v>
      </c>
      <c r="E1421" s="215"/>
      <c r="F1421" s="220">
        <v>48000</v>
      </c>
      <c r="G1421" s="215"/>
      <c r="H1421" s="226">
        <f>J1421-F1421</f>
        <v>48000</v>
      </c>
      <c r="I1421" s="215"/>
      <c r="J1421" s="226">
        <v>96000</v>
      </c>
      <c r="K1421" s="215"/>
      <c r="L1421" s="228">
        <v>96000</v>
      </c>
      <c r="M1421" s="224"/>
      <c r="N1421" s="224"/>
      <c r="O1421" s="224"/>
      <c r="P1421" s="224"/>
      <c r="Q1421" s="224"/>
      <c r="R1421" s="224"/>
      <c r="S1421" s="224"/>
      <c r="T1421" s="224"/>
    </row>
    <row r="1422" spans="1:22">
      <c r="A1422" s="219" t="s">
        <v>90</v>
      </c>
      <c r="B1422" s="214" t="s">
        <v>91</v>
      </c>
      <c r="C1422" s="215"/>
      <c r="D1422" s="229">
        <v>24000</v>
      </c>
      <c r="E1422" s="215"/>
      <c r="F1422" s="229">
        <v>24000</v>
      </c>
      <c r="G1422" s="215"/>
      <c r="H1422" s="229">
        <f>J1422-F1422</f>
        <v>0</v>
      </c>
      <c r="I1422" s="215"/>
      <c r="J1422" s="229">
        <v>24000</v>
      </c>
      <c r="K1422" s="215"/>
      <c r="L1422" s="231">
        <v>28000</v>
      </c>
      <c r="M1422" s="224"/>
      <c r="N1422" s="224"/>
      <c r="O1422" s="224"/>
      <c r="P1422" s="224"/>
      <c r="Q1422" s="224"/>
      <c r="R1422" s="224"/>
      <c r="S1422" s="224"/>
      <c r="T1422" s="224"/>
    </row>
    <row r="1423" spans="1:22">
      <c r="A1423" s="219" t="s">
        <v>96</v>
      </c>
      <c r="B1423" s="214" t="s">
        <v>97</v>
      </c>
      <c r="C1423" s="215"/>
      <c r="D1423" s="229">
        <v>20000</v>
      </c>
      <c r="E1423" s="215"/>
      <c r="F1423" s="229">
        <v>0</v>
      </c>
      <c r="G1423" s="215"/>
      <c r="H1423" s="229">
        <f>J1423-F1423</f>
        <v>20000</v>
      </c>
      <c r="I1423" s="215"/>
      <c r="J1423" s="229">
        <v>20000</v>
      </c>
      <c r="K1423" s="215"/>
      <c r="L1423" s="231">
        <v>20000</v>
      </c>
      <c r="M1423" s="224"/>
      <c r="N1423" s="224"/>
      <c r="O1423" s="224"/>
      <c r="P1423" s="224"/>
      <c r="Q1423" s="224"/>
      <c r="R1423" s="224"/>
      <c r="S1423" s="224"/>
      <c r="T1423" s="224"/>
    </row>
    <row r="1424" spans="1:22">
      <c r="A1424" s="219" t="s">
        <v>358</v>
      </c>
      <c r="B1424" s="214" t="s">
        <v>99</v>
      </c>
      <c r="C1424" s="215"/>
      <c r="D1424" s="229">
        <v>60000</v>
      </c>
      <c r="E1424" s="215"/>
      <c r="F1424" s="229">
        <v>0</v>
      </c>
      <c r="G1424" s="215"/>
      <c r="H1424" s="229">
        <f>J1424-F1424</f>
        <v>40000</v>
      </c>
      <c r="I1424" s="215"/>
      <c r="J1424" s="229">
        <v>40000</v>
      </c>
      <c r="K1424" s="215"/>
      <c r="L1424" s="231">
        <v>80000</v>
      </c>
      <c r="M1424" s="224"/>
      <c r="N1424" s="224"/>
      <c r="O1424" s="224"/>
      <c r="P1424" s="224"/>
      <c r="Q1424" s="224"/>
      <c r="R1424" s="224"/>
      <c r="S1424" s="224"/>
      <c r="T1424" s="224"/>
    </row>
    <row r="1425" spans="1:22">
      <c r="A1425" s="219" t="s">
        <v>102</v>
      </c>
      <c r="B1425" s="214" t="s">
        <v>103</v>
      </c>
      <c r="C1425" s="215"/>
      <c r="D1425" s="229">
        <v>44495</v>
      </c>
      <c r="E1425" s="215"/>
      <c r="F1425" s="229">
        <v>0</v>
      </c>
      <c r="G1425" s="215"/>
      <c r="H1425" s="229">
        <f>J1425-F1425</f>
        <v>44495</v>
      </c>
      <c r="I1425" s="215"/>
      <c r="J1425" s="229">
        <v>44495</v>
      </c>
      <c r="K1425" s="215"/>
      <c r="L1425" s="231">
        <v>48215</v>
      </c>
      <c r="M1425" s="224"/>
      <c r="N1425" s="224"/>
      <c r="O1425" s="224"/>
      <c r="P1425" s="224"/>
      <c r="Q1425" s="224"/>
      <c r="R1425" s="224"/>
      <c r="S1425" s="224"/>
      <c r="T1425" s="224"/>
    </row>
    <row r="1426" spans="1:22">
      <c r="A1426" s="219" t="s">
        <v>104</v>
      </c>
      <c r="B1426" s="214" t="s">
        <v>105</v>
      </c>
      <c r="C1426" s="215"/>
      <c r="D1426" s="229">
        <v>20000</v>
      </c>
      <c r="E1426" s="215"/>
      <c r="F1426" s="229">
        <v>0</v>
      </c>
      <c r="G1426" s="215"/>
      <c r="H1426" s="229">
        <f>J1426-F1426</f>
        <v>20000</v>
      </c>
      <c r="I1426" s="215"/>
      <c r="J1426" s="229">
        <v>20000</v>
      </c>
      <c r="K1426" s="215"/>
      <c r="L1426" s="231">
        <v>20000</v>
      </c>
      <c r="M1426" s="224"/>
      <c r="N1426" s="224"/>
      <c r="O1426" s="224"/>
      <c r="P1426" s="224"/>
      <c r="Q1426" s="224"/>
      <c r="R1426" s="224"/>
      <c r="S1426" s="224"/>
      <c r="T1426" s="224"/>
    </row>
    <row r="1427" spans="1:22">
      <c r="A1427" s="219" t="s">
        <v>106</v>
      </c>
      <c r="B1427" s="214" t="s">
        <v>107</v>
      </c>
      <c r="C1427" s="215"/>
      <c r="D1427" s="229">
        <v>44403</v>
      </c>
      <c r="E1427" s="215"/>
      <c r="F1427" s="229">
        <v>44495</v>
      </c>
      <c r="G1427" s="215"/>
      <c r="H1427" s="229">
        <f>J1427-F1427</f>
        <v>0</v>
      </c>
      <c r="I1427" s="215"/>
      <c r="J1427" s="229">
        <v>44495</v>
      </c>
      <c r="K1427" s="215"/>
      <c r="L1427" s="231">
        <v>46366</v>
      </c>
      <c r="M1427" s="224"/>
      <c r="N1427" s="224"/>
      <c r="O1427" s="224"/>
      <c r="P1427" s="224"/>
      <c r="Q1427" s="224"/>
      <c r="R1427" s="224"/>
      <c r="S1427" s="224"/>
      <c r="T1427" s="224"/>
    </row>
    <row r="1428" spans="1:22">
      <c r="A1428" s="225" t="s">
        <v>340</v>
      </c>
      <c r="B1428" s="214"/>
      <c r="C1428" s="215"/>
      <c r="D1428" s="226"/>
      <c r="E1428" s="215"/>
      <c r="F1428" s="226"/>
      <c r="G1428" s="215"/>
      <c r="H1428" s="226"/>
      <c r="I1428" s="215"/>
      <c r="J1428" s="226"/>
      <c r="K1428" s="215"/>
      <c r="L1428" s="228"/>
      <c r="M1428" s="224"/>
      <c r="N1428" s="224"/>
      <c r="O1428" s="224"/>
      <c r="P1428" s="224"/>
      <c r="Q1428" s="224"/>
      <c r="R1428" s="224"/>
      <c r="S1428" s="224"/>
      <c r="T1428" s="224"/>
    </row>
    <row r="1429" spans="1:22">
      <c r="A1429" s="219" t="s">
        <v>108</v>
      </c>
      <c r="B1429" s="214" t="s">
        <v>109</v>
      </c>
      <c r="C1429" s="215"/>
      <c r="D1429" s="220">
        <v>64017.23</v>
      </c>
      <c r="E1429" s="215"/>
      <c r="F1429" s="220">
        <v>32036.4</v>
      </c>
      <c r="G1429" s="215"/>
      <c r="H1429" s="226">
        <f>J1429-F1429</f>
        <v>32046.84</v>
      </c>
      <c r="I1429" s="215"/>
      <c r="J1429" s="226">
        <v>64083.24</v>
      </c>
      <c r="K1429" s="215"/>
      <c r="L1429" s="228">
        <v>67687</v>
      </c>
      <c r="M1429" s="224"/>
      <c r="N1429" s="224"/>
      <c r="O1429" s="224"/>
      <c r="P1429" s="224"/>
      <c r="Q1429" s="224"/>
      <c r="R1429" s="224"/>
      <c r="S1429" s="224"/>
      <c r="T1429" s="224"/>
    </row>
    <row r="1430" spans="1:22">
      <c r="A1430" s="219" t="s">
        <v>110</v>
      </c>
      <c r="B1430" s="214" t="s">
        <v>111</v>
      </c>
      <c r="C1430" s="215"/>
      <c r="D1430" s="229">
        <v>4800</v>
      </c>
      <c r="E1430" s="215"/>
      <c r="F1430" s="229">
        <v>4400</v>
      </c>
      <c r="G1430" s="215"/>
      <c r="H1430" s="229">
        <f>J1430-F1430</f>
        <v>400</v>
      </c>
      <c r="I1430" s="215"/>
      <c r="J1430" s="229">
        <v>4800</v>
      </c>
      <c r="K1430" s="215"/>
      <c r="L1430" s="231">
        <v>9600</v>
      </c>
      <c r="M1430" s="224"/>
      <c r="N1430" s="224"/>
      <c r="O1430" s="224"/>
      <c r="P1430" s="224"/>
      <c r="Q1430" s="224"/>
      <c r="R1430" s="224"/>
      <c r="S1430" s="224"/>
      <c r="T1430" s="224"/>
    </row>
    <row r="1431" spans="1:22">
      <c r="A1431" s="219" t="s">
        <v>112</v>
      </c>
      <c r="B1431" s="214" t="s">
        <v>113</v>
      </c>
      <c r="C1431" s="215"/>
      <c r="D1431" s="229">
        <v>10669.54</v>
      </c>
      <c r="E1431" s="215"/>
      <c r="F1431" s="229">
        <v>6674.28</v>
      </c>
      <c r="G1431" s="215"/>
      <c r="H1431" s="229">
        <f>J1431-F1431</f>
        <v>6676.4</v>
      </c>
      <c r="I1431" s="215"/>
      <c r="J1431" s="229">
        <v>13350.68</v>
      </c>
      <c r="K1431" s="215"/>
      <c r="L1431" s="231">
        <v>14102</v>
      </c>
      <c r="M1431" s="224"/>
      <c r="N1431" s="224"/>
      <c r="O1431" s="224"/>
      <c r="P1431" s="224"/>
      <c r="Q1431" s="224"/>
      <c r="R1431" s="224"/>
      <c r="S1431" s="224"/>
      <c r="T1431" s="224"/>
    </row>
    <row r="1432" spans="1:22">
      <c r="A1432" s="219" t="s">
        <v>114</v>
      </c>
      <c r="B1432" s="214" t="s">
        <v>115</v>
      </c>
      <c r="C1432" s="215"/>
      <c r="D1432" s="229">
        <v>4800</v>
      </c>
      <c r="E1432" s="215"/>
      <c r="F1432" s="229">
        <v>2400</v>
      </c>
      <c r="G1432" s="215"/>
      <c r="H1432" s="229">
        <f>J1432-F1432</f>
        <v>2400</v>
      </c>
      <c r="I1432" s="215"/>
      <c r="J1432" s="229">
        <v>4800</v>
      </c>
      <c r="K1432" s="215"/>
      <c r="L1432" s="231">
        <v>4800</v>
      </c>
      <c r="M1432" s="224"/>
      <c r="N1432" s="224"/>
      <c r="O1432" s="224"/>
      <c r="P1432" s="224"/>
      <c r="Q1432" s="224"/>
      <c r="R1432" s="224"/>
      <c r="S1432" s="224"/>
      <c r="T1432" s="224"/>
    </row>
    <row r="1433" spans="1:22">
      <c r="A1433" s="225" t="s">
        <v>359</v>
      </c>
      <c r="B1433" s="214"/>
      <c r="C1433" s="221"/>
      <c r="D1433" s="226"/>
      <c r="E1433" s="215"/>
      <c r="F1433" s="226"/>
      <c r="G1433" s="215"/>
      <c r="H1433" s="226"/>
      <c r="I1433" s="215"/>
      <c r="J1433" s="226"/>
      <c r="K1433" s="215"/>
      <c r="L1433" s="228"/>
      <c r="M1433" s="224"/>
      <c r="N1433" s="224"/>
      <c r="O1433" s="224"/>
      <c r="P1433" s="224"/>
      <c r="Q1433" s="224"/>
      <c r="R1433" s="224"/>
      <c r="S1433" s="224"/>
      <c r="T1433" s="224"/>
    </row>
    <row r="1434" spans="1:22">
      <c r="A1434" s="219" t="s">
        <v>360</v>
      </c>
      <c r="B1434" s="214" t="s">
        <v>117</v>
      </c>
      <c r="C1434" s="215"/>
      <c r="D1434" s="220">
        <v>0</v>
      </c>
      <c r="E1434" s="215"/>
      <c r="F1434" s="220">
        <v>0</v>
      </c>
      <c r="G1434" s="215"/>
      <c r="H1434" s="226">
        <f>J1434-F1434</f>
        <v>0</v>
      </c>
      <c r="I1434" s="215"/>
      <c r="J1434" s="220">
        <v>0</v>
      </c>
      <c r="K1434" s="215"/>
      <c r="L1434" s="223"/>
      <c r="M1434" s="224"/>
      <c r="N1434" s="224"/>
      <c r="O1434" s="224"/>
      <c r="P1434" s="224"/>
      <c r="Q1434" s="224"/>
      <c r="R1434" s="224"/>
      <c r="S1434" s="224"/>
      <c r="T1434" s="224"/>
    </row>
    <row r="1435" spans="1:22">
      <c r="A1435" s="219" t="s">
        <v>361</v>
      </c>
      <c r="B1435" s="214" t="s">
        <v>119</v>
      </c>
      <c r="C1435" s="215"/>
      <c r="D1435" s="229">
        <v>0</v>
      </c>
      <c r="E1435" s="215"/>
      <c r="F1435" s="229">
        <v>0</v>
      </c>
      <c r="G1435" s="215"/>
      <c r="H1435" s="229">
        <f>J1435-F1435</f>
        <v>76000</v>
      </c>
      <c r="I1435" s="215"/>
      <c r="J1435" s="229">
        <v>76000</v>
      </c>
      <c r="K1435" s="215"/>
      <c r="L1435" s="231">
        <v>28000</v>
      </c>
      <c r="M1435" s="224"/>
      <c r="N1435" s="224"/>
      <c r="O1435" s="224"/>
      <c r="P1435" s="224"/>
      <c r="Q1435" s="224"/>
      <c r="R1435" s="224"/>
      <c r="S1435" s="224"/>
      <c r="T1435" s="224"/>
    </row>
    <row r="1436" spans="1:22" customHeight="1" ht="15.75">
      <c r="A1436" s="242" t="s">
        <v>120</v>
      </c>
      <c r="B1436" s="243"/>
      <c r="C1436" s="244" t="s">
        <v>23</v>
      </c>
      <c r="D1436" s="245">
        <f>SUM(D1419:D1435)</f>
        <v>926661.71</v>
      </c>
      <c r="E1436" s="246" t="s">
        <v>23</v>
      </c>
      <c r="F1436" s="245">
        <f>SUM(F1419:F1435)</f>
        <v>428975.68</v>
      </c>
      <c r="G1436" s="246" t="s">
        <v>23</v>
      </c>
      <c r="H1436" s="245">
        <f>SUM(H1419:H1435)</f>
        <v>557075.24</v>
      </c>
      <c r="I1436" s="246" t="s">
        <v>23</v>
      </c>
      <c r="J1436" s="245">
        <f>SUM(J1419:J1435)</f>
        <v>986050.92</v>
      </c>
      <c r="K1436" s="246" t="s">
        <v>23</v>
      </c>
      <c r="L1436" s="247">
        <f>SUM(L1419:L1435)</f>
        <v>1026822</v>
      </c>
      <c r="M1436" s="248"/>
      <c r="N1436" s="248"/>
      <c r="O1436" s="248"/>
      <c r="P1436" s="248"/>
      <c r="Q1436" s="248"/>
      <c r="R1436" s="248"/>
      <c r="S1436" s="248"/>
      <c r="T1436" s="248"/>
    </row>
    <row r="1445" spans="1:22">
      <c r="A1445" s="273" t="s">
        <v>346</v>
      </c>
      <c r="B1445" s="273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4"/>
      <c r="N1445" s="274"/>
      <c r="O1445" s="274"/>
      <c r="P1445" s="274"/>
      <c r="Q1445" s="274"/>
      <c r="R1445" s="274"/>
      <c r="S1445" s="274"/>
      <c r="T1445" s="274"/>
    </row>
    <row r="1447" spans="1:22" customHeight="1" ht="15.75">
      <c r="A1447" s="183" t="s">
        <v>347</v>
      </c>
      <c r="B1447" s="183"/>
      <c r="C1447" s="183"/>
      <c r="D1447" s="183"/>
      <c r="E1447" s="183"/>
      <c r="F1447" s="183"/>
      <c r="G1447" s="183"/>
      <c r="H1447" s="183"/>
      <c r="I1447" s="183"/>
      <c r="J1447" s="183"/>
      <c r="K1447" s="183"/>
      <c r="L1447" s="183"/>
      <c r="M1447" s="184"/>
      <c r="N1447" s="184"/>
      <c r="O1447" s="184"/>
      <c r="P1447" s="184"/>
      <c r="Q1447" s="184"/>
      <c r="R1447" s="184"/>
      <c r="S1447" s="184"/>
      <c r="T1447" s="184"/>
    </row>
    <row r="1448" spans="1:22">
      <c r="A1448" s="185" t="s">
        <v>348</v>
      </c>
      <c r="B1448" s="185"/>
      <c r="C1448" s="185"/>
      <c r="D1448" s="185"/>
      <c r="E1448" s="185"/>
      <c r="F1448" s="185"/>
      <c r="G1448" s="185"/>
      <c r="H1448" s="185"/>
      <c r="I1448" s="185"/>
      <c r="J1448" s="185"/>
      <c r="K1448" s="185"/>
      <c r="L1448" s="185"/>
      <c r="M1448" s="186"/>
      <c r="N1448" s="186"/>
      <c r="O1448" s="186"/>
      <c r="P1448" s="186"/>
      <c r="Q1448" s="186"/>
      <c r="R1448" s="186"/>
      <c r="S1448" s="186"/>
      <c r="T1448" s="186"/>
    </row>
    <row r="1450" spans="1:22">
      <c r="A1450" s="187" t="s">
        <v>520</v>
      </c>
    </row>
    <row r="1451" spans="1:22" customHeight="1" ht="15.75"/>
    <row r="1452" spans="1:22">
      <c r="A1452" s="189"/>
      <c r="B1452" s="190"/>
      <c r="C1452" s="191" t="s">
        <v>350</v>
      </c>
      <c r="D1452" s="192"/>
      <c r="E1452" s="193" t="s">
        <v>351</v>
      </c>
      <c r="F1452" s="194"/>
      <c r="G1452" s="194"/>
      <c r="H1452" s="194"/>
      <c r="I1452" s="194"/>
      <c r="J1452" s="195"/>
      <c r="K1452" s="191" t="s">
        <v>352</v>
      </c>
      <c r="L1452" s="196"/>
      <c r="M1452" s="186"/>
      <c r="N1452" s="186"/>
      <c r="O1452" s="186"/>
      <c r="P1452" s="186"/>
      <c r="Q1452" s="186"/>
      <c r="R1452" s="186"/>
      <c r="S1452" s="186"/>
      <c r="T1452" s="186"/>
    </row>
    <row r="1453" spans="1:22">
      <c r="A1453" s="197" t="s">
        <v>353</v>
      </c>
      <c r="B1453" s="198" t="s">
        <v>354</v>
      </c>
      <c r="C1453" s="199">
        <v>2023</v>
      </c>
      <c r="D1453" s="200"/>
      <c r="E1453" s="201" t="s">
        <v>11</v>
      </c>
      <c r="F1453" s="202"/>
      <c r="G1453" s="201" t="s">
        <v>355</v>
      </c>
      <c r="H1453" s="202"/>
      <c r="I1453" s="203" t="s">
        <v>356</v>
      </c>
      <c r="J1453" s="204"/>
      <c r="K1453" s="199">
        <v>2025</v>
      </c>
      <c r="L1453" s="205"/>
      <c r="M1453" s="186"/>
      <c r="N1453" s="186"/>
      <c r="O1453" s="186"/>
      <c r="P1453" s="186"/>
      <c r="Q1453" s="186"/>
      <c r="R1453" s="186"/>
      <c r="S1453" s="186"/>
      <c r="T1453" s="186"/>
    </row>
    <row r="1454" spans="1:22" customHeight="1" ht="15.75">
      <c r="A1454" s="206"/>
      <c r="B1454" s="207"/>
      <c r="C1454" s="208" t="s">
        <v>17</v>
      </c>
      <c r="D1454" s="209"/>
      <c r="E1454" s="208" t="s">
        <v>17</v>
      </c>
      <c r="F1454" s="209"/>
      <c r="G1454" s="208" t="s">
        <v>18</v>
      </c>
      <c r="H1454" s="209"/>
      <c r="I1454" s="210"/>
      <c r="J1454" s="211"/>
      <c r="K1454" s="208" t="s">
        <v>357</v>
      </c>
      <c r="L1454" s="212"/>
      <c r="M1454" s="186"/>
      <c r="N1454" s="186"/>
      <c r="O1454" s="186"/>
      <c r="P1454" s="186"/>
      <c r="Q1454" s="186"/>
      <c r="R1454" s="186"/>
      <c r="S1454" s="186"/>
      <c r="T1454" s="186"/>
    </row>
    <row r="1455" spans="1:22">
      <c r="A1455" s="225" t="s">
        <v>121</v>
      </c>
      <c r="B1455" s="254"/>
      <c r="C1455" s="215"/>
      <c r="D1455" s="346"/>
      <c r="E1455" s="350"/>
      <c r="F1455" s="346"/>
      <c r="G1455" s="350"/>
      <c r="H1455" s="346"/>
      <c r="I1455" s="350"/>
      <c r="J1455" s="346"/>
      <c r="K1455" s="215"/>
      <c r="L1455" s="278"/>
      <c r="M1455" s="218"/>
      <c r="N1455" s="218"/>
      <c r="O1455" s="218"/>
      <c r="P1455" s="218"/>
      <c r="Q1455" s="218"/>
      <c r="R1455" s="218"/>
      <c r="S1455" s="218"/>
      <c r="T1455" s="218"/>
    </row>
    <row r="1456" spans="1:22">
      <c r="A1456" s="219" t="s">
        <v>126</v>
      </c>
      <c r="B1456" s="214" t="s">
        <v>127</v>
      </c>
      <c r="C1456" s="215"/>
      <c r="D1456" s="229">
        <v>0</v>
      </c>
      <c r="E1456" s="215"/>
      <c r="F1456" s="229">
        <v>0</v>
      </c>
      <c r="G1456" s="215"/>
      <c r="H1456" s="229">
        <v>0</v>
      </c>
      <c r="I1456" s="215"/>
      <c r="J1456" s="229">
        <v>10000</v>
      </c>
      <c r="K1456" s="215"/>
      <c r="L1456" s="231">
        <v>50000</v>
      </c>
      <c r="M1456" s="224"/>
      <c r="N1456" s="224"/>
      <c r="O1456" s="224"/>
      <c r="P1456" s="224"/>
      <c r="Q1456" s="224"/>
      <c r="R1456" s="224"/>
      <c r="S1456" s="224"/>
      <c r="T1456" s="224"/>
    </row>
    <row r="1457" spans="1:22">
      <c r="A1457" s="219" t="s">
        <v>154</v>
      </c>
      <c r="B1457" s="214" t="s">
        <v>155</v>
      </c>
      <c r="C1457" s="215" t="s">
        <v>23</v>
      </c>
      <c r="D1457" s="220">
        <v>750000</v>
      </c>
      <c r="E1457" s="215" t="s">
        <v>23</v>
      </c>
      <c r="F1457" s="220">
        <v>503278.75</v>
      </c>
      <c r="G1457" s="215" t="s">
        <v>23</v>
      </c>
      <c r="H1457" s="220">
        <f>J1457-F1457</f>
        <v>496721.25</v>
      </c>
      <c r="I1457" s="215" t="s">
        <v>23</v>
      </c>
      <c r="J1457" s="220">
        <v>1000000</v>
      </c>
      <c r="K1457" s="215" t="s">
        <v>23</v>
      </c>
      <c r="L1457" s="223">
        <v>1600000</v>
      </c>
      <c r="M1457" s="224"/>
      <c r="N1457" s="224"/>
      <c r="O1457" s="224"/>
      <c r="P1457" s="224"/>
      <c r="Q1457" s="224"/>
      <c r="R1457" s="224"/>
      <c r="S1457" s="224"/>
      <c r="T1457" s="224"/>
    </row>
    <row r="1458" spans="1:22">
      <c r="A1458" s="219" t="s">
        <v>344</v>
      </c>
      <c r="B1458" s="214" t="s">
        <v>161</v>
      </c>
      <c r="C1458" s="215"/>
      <c r="D1458" s="229">
        <v>0</v>
      </c>
      <c r="E1458" s="215"/>
      <c r="F1458" s="229">
        <v>0</v>
      </c>
      <c r="G1458" s="215"/>
      <c r="H1458" s="220">
        <f>J1458-F1458</f>
        <v>100000</v>
      </c>
      <c r="I1458" s="215"/>
      <c r="J1458" s="229">
        <v>100000</v>
      </c>
      <c r="K1458" s="215"/>
      <c r="L1458" s="231">
        <v>200000</v>
      </c>
      <c r="M1458" s="224"/>
      <c r="N1458" s="224"/>
      <c r="O1458" s="224"/>
      <c r="P1458" s="224"/>
      <c r="Q1458" s="224"/>
      <c r="R1458" s="224"/>
      <c r="S1458" s="224"/>
      <c r="T1458" s="224"/>
    </row>
    <row r="1459" spans="1:22" customHeight="1" ht="15.75">
      <c r="A1459" s="219" t="s">
        <v>169</v>
      </c>
      <c r="B1459" s="214" t="s">
        <v>170</v>
      </c>
      <c r="C1459" s="215" t="s">
        <v>23</v>
      </c>
      <c r="D1459" s="239">
        <v>241409</v>
      </c>
      <c r="E1459" s="215" t="s">
        <v>23</v>
      </c>
      <c r="F1459" s="239">
        <v>12000</v>
      </c>
      <c r="G1459" s="215" t="s">
        <v>23</v>
      </c>
      <c r="H1459" s="239">
        <f>J1459-F1459</f>
        <v>391949.08</v>
      </c>
      <c r="I1459" s="215" t="s">
        <v>23</v>
      </c>
      <c r="J1459" s="239">
        <v>403949.08</v>
      </c>
      <c r="K1459" s="215" t="s">
        <v>23</v>
      </c>
      <c r="L1459" s="257">
        <v>523178</v>
      </c>
      <c r="M1459" s="224"/>
      <c r="N1459" s="224"/>
      <c r="O1459" s="224"/>
      <c r="P1459" s="224"/>
      <c r="Q1459" s="224"/>
      <c r="R1459" s="224"/>
      <c r="S1459" s="224"/>
      <c r="T1459" s="224"/>
    </row>
    <row r="1460" spans="1:22" customHeight="1" ht="15.75">
      <c r="A1460" s="225" t="s">
        <v>200</v>
      </c>
      <c r="B1460" s="254"/>
      <c r="C1460" s="258" t="s">
        <v>23</v>
      </c>
      <c r="D1460" s="245">
        <f>SUM(D1457:D1459)</f>
        <v>991409</v>
      </c>
      <c r="E1460" s="258" t="s">
        <v>23</v>
      </c>
      <c r="F1460" s="245">
        <f>SUM(F1457:F1459)</f>
        <v>515278.75</v>
      </c>
      <c r="G1460" s="258" t="s">
        <v>23</v>
      </c>
      <c r="H1460" s="245">
        <f>SUM(H1457:H1459)</f>
        <v>988670.33</v>
      </c>
      <c r="I1460" s="258" t="s">
        <v>23</v>
      </c>
      <c r="J1460" s="247">
        <f>SUM(J1456:J1459)</f>
        <v>1513949.08</v>
      </c>
      <c r="K1460" s="258" t="s">
        <v>23</v>
      </c>
      <c r="L1460" s="247">
        <f>SUM(L1456:L1459)</f>
        <v>2373178</v>
      </c>
      <c r="M1460" s="248"/>
      <c r="N1460" s="248"/>
      <c r="O1460" s="248"/>
      <c r="P1460" s="248"/>
      <c r="Q1460" s="248"/>
      <c r="R1460" s="248"/>
      <c r="S1460" s="248"/>
      <c r="T1460" s="248"/>
    </row>
    <row r="1461" spans="1:22" customHeight="1" ht="15.75">
      <c r="A1461" s="284" t="s">
        <v>370</v>
      </c>
      <c r="B1461" s="285"/>
      <c r="C1461" s="286" t="s">
        <v>23</v>
      </c>
      <c r="D1461" s="287">
        <f>D1436+D1460</f>
        <v>1918070.71</v>
      </c>
      <c r="E1461" s="288" t="s">
        <v>23</v>
      </c>
      <c r="F1461" s="287">
        <f>F1436+F1460</f>
        <v>944254.43</v>
      </c>
      <c r="G1461" s="288" t="s">
        <v>23</v>
      </c>
      <c r="H1461" s="287">
        <f>H1436+H1460</f>
        <v>1545745.57</v>
      </c>
      <c r="I1461" s="288" t="s">
        <v>23</v>
      </c>
      <c r="J1461" s="287">
        <f>J1436+J1460</f>
        <v>2500000</v>
      </c>
      <c r="K1461" s="288" t="s">
        <v>23</v>
      </c>
      <c r="L1461" s="289">
        <f>L1436+L1460</f>
        <v>3400000</v>
      </c>
      <c r="M1461" s="248"/>
      <c r="N1461" s="248"/>
      <c r="O1461" s="248"/>
      <c r="P1461" s="248"/>
      <c r="Q1461" s="248"/>
      <c r="R1461" s="248"/>
      <c r="S1461" s="248"/>
      <c r="T1461" s="248"/>
    </row>
    <row r="1462" spans="1:22" customHeight="1" ht="15.75">
      <c r="A1462" s="348"/>
      <c r="B1462" s="348"/>
      <c r="C1462" s="348"/>
      <c r="D1462" s="348"/>
      <c r="E1462" s="348"/>
      <c r="F1462" s="348"/>
      <c r="G1462" s="348"/>
      <c r="H1462" s="348"/>
      <c r="I1462" s="348"/>
      <c r="J1462" s="348"/>
      <c r="K1462" s="348"/>
      <c r="L1462" s="349"/>
    </row>
    <row r="1463" spans="1:22">
      <c r="A1463" s="215" t="s">
        <v>371</v>
      </c>
      <c r="B1463" s="215" t="s">
        <v>372</v>
      </c>
      <c r="C1463" s="215"/>
      <c r="D1463" s="215"/>
      <c r="E1463" s="215"/>
      <c r="F1463" s="215"/>
      <c r="G1463" s="215" t="s">
        <v>373</v>
      </c>
      <c r="H1463" s="215"/>
      <c r="J1463" s="249"/>
    </row>
    <row r="1464" spans="1:22">
      <c r="J1464" s="249"/>
    </row>
    <row r="1467" spans="1:22">
      <c r="A1467" s="268" t="s">
        <v>326</v>
      </c>
      <c r="B1467" s="269" t="s">
        <v>374</v>
      </c>
      <c r="C1467" s="269"/>
      <c r="D1467" s="269"/>
      <c r="E1467" s="269"/>
      <c r="F1467" s="269"/>
      <c r="G1467" s="270"/>
      <c r="H1467" s="269" t="s">
        <v>326</v>
      </c>
      <c r="I1467" s="269"/>
      <c r="J1467" s="269"/>
      <c r="K1467" s="269"/>
      <c r="L1467" s="269"/>
      <c r="M1467" s="268"/>
      <c r="N1467" s="268"/>
      <c r="O1467" s="268"/>
      <c r="P1467" s="268"/>
      <c r="Q1467" s="268"/>
      <c r="R1467" s="268"/>
      <c r="S1467" s="268"/>
      <c r="T1467" s="268"/>
    </row>
    <row r="1468" spans="1:22">
      <c r="A1468" s="271" t="s">
        <v>327</v>
      </c>
      <c r="B1468" s="272" t="s">
        <v>375</v>
      </c>
      <c r="C1468" s="272"/>
      <c r="D1468" s="272"/>
      <c r="E1468" s="272"/>
      <c r="F1468" s="272"/>
      <c r="G1468" s="215"/>
      <c r="H1468" s="272" t="s">
        <v>327</v>
      </c>
      <c r="I1468" s="272"/>
      <c r="J1468" s="272"/>
      <c r="K1468" s="272"/>
      <c r="L1468" s="272"/>
      <c r="M1468" s="271"/>
      <c r="N1468" s="271"/>
      <c r="O1468" s="271"/>
      <c r="P1468" s="271"/>
      <c r="Q1468" s="271"/>
      <c r="R1468" s="271"/>
      <c r="S1468" s="271"/>
      <c r="T1468" s="271"/>
    </row>
    <row r="1480" spans="1:22">
      <c r="J1480" s="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454:H1454"/>
    <mergeCell ref="K1454:L1454"/>
    <mergeCell ref="B1467:F1467"/>
    <mergeCell ref="H1467:L1467"/>
    <mergeCell ref="B1468:F1468"/>
    <mergeCell ref="H1468:L1468"/>
    <mergeCell ref="C1452:D1452"/>
    <mergeCell ref="E1452:J1452"/>
    <mergeCell ref="K1452:L1452"/>
    <mergeCell ref="C1453:D1453"/>
    <mergeCell ref="E1453:F1453"/>
    <mergeCell ref="G1453:H1453"/>
    <mergeCell ref="I1453:J1454"/>
    <mergeCell ref="K1453:L1453"/>
    <mergeCell ref="C1454:D1454"/>
    <mergeCell ref="E1454:F1454"/>
    <mergeCell ref="E1417:F1417"/>
    <mergeCell ref="G1417:H1417"/>
    <mergeCell ref="K1417:L1417"/>
    <mergeCell ref="A1445:L1445"/>
    <mergeCell ref="A1447:L1447"/>
    <mergeCell ref="A1448:L1448"/>
    <mergeCell ref="A1411:L1411"/>
    <mergeCell ref="C1415:D1415"/>
    <mergeCell ref="E1415:J1415"/>
    <mergeCell ref="K1415:L1415"/>
    <mergeCell ref="C1416:D1416"/>
    <mergeCell ref="E1416:F1416"/>
    <mergeCell ref="G1416:H1416"/>
    <mergeCell ref="I1416:J1417"/>
    <mergeCell ref="K1416:L1416"/>
    <mergeCell ref="C1417:D1417"/>
    <mergeCell ref="B1390:F1390"/>
    <mergeCell ref="H1390:L1390"/>
    <mergeCell ref="B1391:F1391"/>
    <mergeCell ref="H1391:L1391"/>
    <mergeCell ref="A1408:L1408"/>
    <mergeCell ref="A1410:L1410"/>
    <mergeCell ref="C1377:D1377"/>
    <mergeCell ref="E1377:F1377"/>
    <mergeCell ref="G1377:H1377"/>
    <mergeCell ref="I1377:J1378"/>
    <mergeCell ref="K1377:L1377"/>
    <mergeCell ref="C1378:D1378"/>
    <mergeCell ref="E1378:F1378"/>
    <mergeCell ref="G1378:H1378"/>
    <mergeCell ref="K1378:L1378"/>
    <mergeCell ref="A1369:L1369"/>
    <mergeCell ref="A1371:L1371"/>
    <mergeCell ref="A1372:L1372"/>
    <mergeCell ref="C1376:D1376"/>
    <mergeCell ref="E1376:J1376"/>
    <mergeCell ref="K1376:L1376"/>
    <mergeCell ref="C1340:D1340"/>
    <mergeCell ref="E1340:F1340"/>
    <mergeCell ref="G1340:H1340"/>
    <mergeCell ref="I1340:J1341"/>
    <mergeCell ref="K1340:L1340"/>
    <mergeCell ref="C1341:D1341"/>
    <mergeCell ref="E1341:F1341"/>
    <mergeCell ref="G1341:H1341"/>
    <mergeCell ref="K1341:L1341"/>
    <mergeCell ref="A1332:L1332"/>
    <mergeCell ref="A1334:L1334"/>
    <mergeCell ref="A1335:L1335"/>
    <mergeCell ref="C1339:D1339"/>
    <mergeCell ref="E1339:J1339"/>
    <mergeCell ref="K1339:L1339"/>
    <mergeCell ref="E1304:F1304"/>
    <mergeCell ref="G1304:H1304"/>
    <mergeCell ref="K1304:L1304"/>
    <mergeCell ref="B1317:F1317"/>
    <mergeCell ref="H1317:L1317"/>
    <mergeCell ref="B1318:F1318"/>
    <mergeCell ref="H1318:L1318"/>
    <mergeCell ref="A1298:L1298"/>
    <mergeCell ref="C1302:D1302"/>
    <mergeCell ref="E1302:J1302"/>
    <mergeCell ref="K1302:L1302"/>
    <mergeCell ref="C1303:D1303"/>
    <mergeCell ref="E1303:F1303"/>
    <mergeCell ref="G1303:H1303"/>
    <mergeCell ref="I1303:J1304"/>
    <mergeCell ref="K1303:L1303"/>
    <mergeCell ref="C1304:D1304"/>
    <mergeCell ref="B1290:F1290"/>
    <mergeCell ref="H1290:L1290"/>
    <mergeCell ref="B1291:F1291"/>
    <mergeCell ref="H1291:L1291"/>
    <mergeCell ref="A1295:L1295"/>
    <mergeCell ref="A1297:L1297"/>
    <mergeCell ref="C1266:D1266"/>
    <mergeCell ref="E1266:F1266"/>
    <mergeCell ref="G1266:H1266"/>
    <mergeCell ref="I1266:J1267"/>
    <mergeCell ref="K1266:L1266"/>
    <mergeCell ref="C1267:D1267"/>
    <mergeCell ref="E1267:F1267"/>
    <mergeCell ref="G1267:H1267"/>
    <mergeCell ref="K1267:L1267"/>
    <mergeCell ref="A1258:L1258"/>
    <mergeCell ref="A1260:L1260"/>
    <mergeCell ref="A1261:L1261"/>
    <mergeCell ref="C1265:D1265"/>
    <mergeCell ref="E1265:J1265"/>
    <mergeCell ref="K1265:L1265"/>
    <mergeCell ref="E1231:F1231"/>
    <mergeCell ref="G1231:H1231"/>
    <mergeCell ref="K1231:L1231"/>
    <mergeCell ref="B1253:F1253"/>
    <mergeCell ref="H1253:L1253"/>
    <mergeCell ref="B1254:F1254"/>
    <mergeCell ref="H1254:L1254"/>
    <mergeCell ref="A1226:L1226"/>
    <mergeCell ref="C1229:D1229"/>
    <mergeCell ref="E1229:J1229"/>
    <mergeCell ref="K1229:L1229"/>
    <mergeCell ref="C1230:D1230"/>
    <mergeCell ref="E1230:F1230"/>
    <mergeCell ref="G1230:H1230"/>
    <mergeCell ref="I1230:J1231"/>
    <mergeCell ref="K1230:L1230"/>
    <mergeCell ref="C1231:D1231"/>
    <mergeCell ref="B1215:F1215"/>
    <mergeCell ref="H1215:L1215"/>
    <mergeCell ref="B1216:F1216"/>
    <mergeCell ref="H1216:L1216"/>
    <mergeCell ref="A1224:L1224"/>
    <mergeCell ref="A1225:L1225"/>
    <mergeCell ref="C1195:D1195"/>
    <mergeCell ref="E1195:F1195"/>
    <mergeCell ref="G1195:H1195"/>
    <mergeCell ref="I1195:J1196"/>
    <mergeCell ref="K1195:L1195"/>
    <mergeCell ref="C1196:D1196"/>
    <mergeCell ref="E1196:F1196"/>
    <mergeCell ref="G1196:H1196"/>
    <mergeCell ref="K1196:L1196"/>
    <mergeCell ref="A1187:L1187"/>
    <mergeCell ref="A1189:L1189"/>
    <mergeCell ref="A1190:L1190"/>
    <mergeCell ref="C1194:D1194"/>
    <mergeCell ref="E1194:J1194"/>
    <mergeCell ref="K1194:L1194"/>
    <mergeCell ref="G1152:H1152"/>
    <mergeCell ref="K1152:L1152"/>
    <mergeCell ref="B1184:F1184"/>
    <mergeCell ref="H1184:L1184"/>
    <mergeCell ref="B1185:F1185"/>
    <mergeCell ref="H1185:L1185"/>
    <mergeCell ref="C1150:D1150"/>
    <mergeCell ref="E1150:J1150"/>
    <mergeCell ref="K1150:L1150"/>
    <mergeCell ref="C1151:D1151"/>
    <mergeCell ref="E1151:F1151"/>
    <mergeCell ref="G1151:H1151"/>
    <mergeCell ref="I1151:J1152"/>
    <mergeCell ref="K1151:L1151"/>
    <mergeCell ref="C1152:D1152"/>
    <mergeCell ref="E1152:F1152"/>
    <mergeCell ref="C1119:D1119"/>
    <mergeCell ref="E1119:F1119"/>
    <mergeCell ref="G1119:H1119"/>
    <mergeCell ref="I1119:J1120"/>
    <mergeCell ref="K1119:L1119"/>
    <mergeCell ref="C1120:D1120"/>
    <mergeCell ref="E1120:F1120"/>
    <mergeCell ref="G1120:H1120"/>
    <mergeCell ref="K1120:L1120"/>
    <mergeCell ref="A1113:L1113"/>
    <mergeCell ref="A1114:L1114"/>
    <mergeCell ref="A1115:L1115"/>
    <mergeCell ref="C1118:D1118"/>
    <mergeCell ref="E1118:J1118"/>
    <mergeCell ref="K1118:L1118"/>
    <mergeCell ref="G1085:H1085"/>
    <mergeCell ref="K1085:L1085"/>
    <mergeCell ref="B1102:F1102"/>
    <mergeCell ref="H1102:L1102"/>
    <mergeCell ref="B1103:F1103"/>
    <mergeCell ref="H1103:L1103"/>
    <mergeCell ref="C1083:D1083"/>
    <mergeCell ref="E1083:J1083"/>
    <mergeCell ref="K1083:L1083"/>
    <mergeCell ref="C1084:D1084"/>
    <mergeCell ref="E1084:F1084"/>
    <mergeCell ref="G1084:H1084"/>
    <mergeCell ref="I1084:J1085"/>
    <mergeCell ref="K1084:L1084"/>
    <mergeCell ref="C1085:D1085"/>
    <mergeCell ref="E1085:F1085"/>
    <mergeCell ref="E1048:F1048"/>
    <mergeCell ref="G1048:H1048"/>
    <mergeCell ref="K1048:L1048"/>
    <mergeCell ref="A1076:L1076"/>
    <mergeCell ref="A1078:L1078"/>
    <mergeCell ref="A1079:L1079"/>
    <mergeCell ref="A1042:L1042"/>
    <mergeCell ref="C1046:D1046"/>
    <mergeCell ref="E1046:J1046"/>
    <mergeCell ref="K1046:L1046"/>
    <mergeCell ref="C1047:D1047"/>
    <mergeCell ref="E1047:F1047"/>
    <mergeCell ref="G1047:H1047"/>
    <mergeCell ref="I1047:J1048"/>
    <mergeCell ref="K1047:L1047"/>
    <mergeCell ref="C1048:D1048"/>
    <mergeCell ref="B1034:F1034"/>
    <mergeCell ref="H1034:L1034"/>
    <mergeCell ref="B1035:F1035"/>
    <mergeCell ref="H1035:L1035"/>
    <mergeCell ref="A1039:L1039"/>
    <mergeCell ref="A1041:L1041"/>
    <mergeCell ref="C1010:D1010"/>
    <mergeCell ref="E1010:F1010"/>
    <mergeCell ref="G1010:H1010"/>
    <mergeCell ref="I1010:J1011"/>
    <mergeCell ref="K1010:L1010"/>
    <mergeCell ref="C1011:D1011"/>
    <mergeCell ref="E1011:F1011"/>
    <mergeCell ref="G1011:H1011"/>
    <mergeCell ref="K1011:L1011"/>
    <mergeCell ref="A1002:L1002"/>
    <mergeCell ref="A1004:L1004"/>
    <mergeCell ref="A1005:L1005"/>
    <mergeCell ref="C1009:D1009"/>
    <mergeCell ref="E1009:J1009"/>
    <mergeCell ref="K1009:L1009"/>
    <mergeCell ref="C973:D973"/>
    <mergeCell ref="E973:F973"/>
    <mergeCell ref="G973:H973"/>
    <mergeCell ref="I973:J974"/>
    <mergeCell ref="K973:L973"/>
    <mergeCell ref="C974:D974"/>
    <mergeCell ref="E974:F974"/>
    <mergeCell ref="G974:H974"/>
    <mergeCell ref="K974:L974"/>
    <mergeCell ref="A965:L965"/>
    <mergeCell ref="A967:L967"/>
    <mergeCell ref="A968:L968"/>
    <mergeCell ref="C972:D972"/>
    <mergeCell ref="E972:J972"/>
    <mergeCell ref="K972:L972"/>
    <mergeCell ref="G938:H938"/>
    <mergeCell ref="K938:L938"/>
    <mergeCell ref="B962:F962"/>
    <mergeCell ref="H962:L962"/>
    <mergeCell ref="B963:F963"/>
    <mergeCell ref="H963:L963"/>
    <mergeCell ref="C936:D936"/>
    <mergeCell ref="E936:J936"/>
    <mergeCell ref="K936:L936"/>
    <mergeCell ref="C937:D937"/>
    <mergeCell ref="E937:F937"/>
    <mergeCell ref="G937:H937"/>
    <mergeCell ref="I937:J938"/>
    <mergeCell ref="K937:L937"/>
    <mergeCell ref="C938:D938"/>
    <mergeCell ref="E938:F938"/>
    <mergeCell ref="E901:F901"/>
    <mergeCell ref="G901:H901"/>
    <mergeCell ref="K901:L901"/>
    <mergeCell ref="A929:L929"/>
    <mergeCell ref="A931:L931"/>
    <mergeCell ref="A932:L932"/>
    <mergeCell ref="A895:L895"/>
    <mergeCell ref="C899:D899"/>
    <mergeCell ref="E899:J899"/>
    <mergeCell ref="K899:L899"/>
    <mergeCell ref="C900:D900"/>
    <mergeCell ref="E900:F900"/>
    <mergeCell ref="G900:H900"/>
    <mergeCell ref="I900:J901"/>
    <mergeCell ref="K900:L900"/>
    <mergeCell ref="C901:D901"/>
    <mergeCell ref="B887:F887"/>
    <mergeCell ref="H887:L887"/>
    <mergeCell ref="B888:F888"/>
    <mergeCell ref="H888:L888"/>
    <mergeCell ref="A892:L892"/>
    <mergeCell ref="A894:L894"/>
    <mergeCell ref="C860:D860"/>
    <mergeCell ref="E860:F860"/>
    <mergeCell ref="G860:H860"/>
    <mergeCell ref="I860:J861"/>
    <mergeCell ref="K860:L860"/>
    <mergeCell ref="C861:D861"/>
    <mergeCell ref="E861:F861"/>
    <mergeCell ref="G861:H861"/>
    <mergeCell ref="K861:L861"/>
    <mergeCell ref="A852:L852"/>
    <mergeCell ref="A854:L854"/>
    <mergeCell ref="A855:L855"/>
    <mergeCell ref="C859:D859"/>
    <mergeCell ref="E859:J859"/>
    <mergeCell ref="K859:L859"/>
    <mergeCell ref="C823:D823"/>
    <mergeCell ref="E823:F823"/>
    <mergeCell ref="G823:H823"/>
    <mergeCell ref="I823:J824"/>
    <mergeCell ref="K823:L823"/>
    <mergeCell ref="C824:D824"/>
    <mergeCell ref="E824:F824"/>
    <mergeCell ref="G824:H824"/>
    <mergeCell ref="K824:L824"/>
    <mergeCell ref="A815:L815"/>
    <mergeCell ref="A817:L817"/>
    <mergeCell ref="A818:L818"/>
    <mergeCell ref="C822:D822"/>
    <mergeCell ref="E822:J822"/>
    <mergeCell ref="K822:L822"/>
    <mergeCell ref="G787:H787"/>
    <mergeCell ref="K787:L787"/>
    <mergeCell ref="B805:F805"/>
    <mergeCell ref="H805:L805"/>
    <mergeCell ref="B806:F806"/>
    <mergeCell ref="H806:L806"/>
    <mergeCell ref="C785:D785"/>
    <mergeCell ref="E785:J785"/>
    <mergeCell ref="K785:L785"/>
    <mergeCell ref="C786:D786"/>
    <mergeCell ref="E786:F786"/>
    <mergeCell ref="G786:H786"/>
    <mergeCell ref="I786:J787"/>
    <mergeCell ref="K786:L786"/>
    <mergeCell ref="C787:D787"/>
    <mergeCell ref="E787:F787"/>
    <mergeCell ref="E750:F750"/>
    <mergeCell ref="G750:H750"/>
    <mergeCell ref="K750:L750"/>
    <mergeCell ref="A778:L778"/>
    <mergeCell ref="A780:L780"/>
    <mergeCell ref="A781:L781"/>
    <mergeCell ref="A744:L744"/>
    <mergeCell ref="C748:D748"/>
    <mergeCell ref="E748:J748"/>
    <mergeCell ref="K748:L748"/>
    <mergeCell ref="C749:D749"/>
    <mergeCell ref="E749:F749"/>
    <mergeCell ref="G749:H749"/>
    <mergeCell ref="I749:J750"/>
    <mergeCell ref="K749:L749"/>
    <mergeCell ref="C750:D750"/>
    <mergeCell ref="B733:F733"/>
    <mergeCell ref="H733:L733"/>
    <mergeCell ref="B734:F734"/>
    <mergeCell ref="H734:L734"/>
    <mergeCell ref="A741:L741"/>
    <mergeCell ref="A743:L743"/>
    <mergeCell ref="C712:D712"/>
    <mergeCell ref="E712:F712"/>
    <mergeCell ref="G712:H712"/>
    <mergeCell ref="I712:J713"/>
    <mergeCell ref="K712:L712"/>
    <mergeCell ref="C713:D713"/>
    <mergeCell ref="E713:F713"/>
    <mergeCell ref="G713:H713"/>
    <mergeCell ref="K713:L713"/>
    <mergeCell ref="A704:L704"/>
    <mergeCell ref="A706:L706"/>
    <mergeCell ref="A707:L707"/>
    <mergeCell ref="C711:D711"/>
    <mergeCell ref="E711:J711"/>
    <mergeCell ref="K711:L711"/>
    <mergeCell ref="C675:D675"/>
    <mergeCell ref="E675:F675"/>
    <mergeCell ref="G675:H675"/>
    <mergeCell ref="I675:J676"/>
    <mergeCell ref="K675:L675"/>
    <mergeCell ref="C676:D676"/>
    <mergeCell ref="E676:F676"/>
    <mergeCell ref="G676:H676"/>
    <mergeCell ref="K676:L676"/>
    <mergeCell ref="A667:L667"/>
    <mergeCell ref="A669:L669"/>
    <mergeCell ref="A670:L670"/>
    <mergeCell ref="C674:D674"/>
    <mergeCell ref="E674:J674"/>
    <mergeCell ref="K674:L674"/>
    <mergeCell ref="G639:H639"/>
    <mergeCell ref="K639:L639"/>
    <mergeCell ref="B657:F657"/>
    <mergeCell ref="H657:L657"/>
    <mergeCell ref="B658:F658"/>
    <mergeCell ref="H658:L658"/>
    <mergeCell ref="C637:D637"/>
    <mergeCell ref="E637:J637"/>
    <mergeCell ref="K637:L637"/>
    <mergeCell ref="C638:D638"/>
    <mergeCell ref="E638:F638"/>
    <mergeCell ref="G638:H638"/>
    <mergeCell ref="I638:J639"/>
    <mergeCell ref="K638:L638"/>
    <mergeCell ref="C639:D639"/>
    <mergeCell ref="E639:F639"/>
    <mergeCell ref="E602:F602"/>
    <mergeCell ref="G602:H602"/>
    <mergeCell ref="K602:L602"/>
    <mergeCell ref="A630:L630"/>
    <mergeCell ref="A632:L632"/>
    <mergeCell ref="A633:L633"/>
    <mergeCell ref="A596:L596"/>
    <mergeCell ref="C600:D600"/>
    <mergeCell ref="E600:J600"/>
    <mergeCell ref="K600:L600"/>
    <mergeCell ref="C601:D601"/>
    <mergeCell ref="E601:F601"/>
    <mergeCell ref="G601:H601"/>
    <mergeCell ref="I601:J602"/>
    <mergeCell ref="K601:L601"/>
    <mergeCell ref="C602:D602"/>
    <mergeCell ref="B583:F583"/>
    <mergeCell ref="H583:L583"/>
    <mergeCell ref="B584:F584"/>
    <mergeCell ref="H584:L584"/>
    <mergeCell ref="A593:L593"/>
    <mergeCell ref="A595:L595"/>
    <mergeCell ref="C564:D564"/>
    <mergeCell ref="E564:F564"/>
    <mergeCell ref="G564:H564"/>
    <mergeCell ref="I564:J565"/>
    <mergeCell ref="K564:L564"/>
    <mergeCell ref="C565:D565"/>
    <mergeCell ref="E565:F565"/>
    <mergeCell ref="G565:H565"/>
    <mergeCell ref="K565:L565"/>
    <mergeCell ref="A556:L556"/>
    <mergeCell ref="A558:L558"/>
    <mergeCell ref="A559:L559"/>
    <mergeCell ref="C563:D563"/>
    <mergeCell ref="E563:J563"/>
    <mergeCell ref="K563:L563"/>
    <mergeCell ref="C527:D527"/>
    <mergeCell ref="E527:F527"/>
    <mergeCell ref="G527:H527"/>
    <mergeCell ref="I527:J528"/>
    <mergeCell ref="K527:L527"/>
    <mergeCell ref="C528:D528"/>
    <mergeCell ref="E528:F528"/>
    <mergeCell ref="G528:H528"/>
    <mergeCell ref="K528:L528"/>
    <mergeCell ref="A519:L519"/>
    <mergeCell ref="A521:L521"/>
    <mergeCell ref="A522:L522"/>
    <mergeCell ref="C526:D526"/>
    <mergeCell ref="E526:J526"/>
    <mergeCell ref="K526:L526"/>
    <mergeCell ref="G491:H491"/>
    <mergeCell ref="K491:L491"/>
    <mergeCell ref="B508:F508"/>
    <mergeCell ref="H508:L508"/>
    <mergeCell ref="B509:F509"/>
    <mergeCell ref="H509:L509"/>
    <mergeCell ref="C489:D489"/>
    <mergeCell ref="E489:J489"/>
    <mergeCell ref="K489:L489"/>
    <mergeCell ref="C490:D490"/>
    <mergeCell ref="E490:F490"/>
    <mergeCell ref="G490:H490"/>
    <mergeCell ref="I490:J491"/>
    <mergeCell ref="K490:L490"/>
    <mergeCell ref="C491:D491"/>
    <mergeCell ref="E491:F491"/>
    <mergeCell ref="E454:F454"/>
    <mergeCell ref="G454:H454"/>
    <mergeCell ref="K454:L454"/>
    <mergeCell ref="A482:L482"/>
    <mergeCell ref="A484:L484"/>
    <mergeCell ref="A485:L485"/>
    <mergeCell ref="A448:L448"/>
    <mergeCell ref="C452:D452"/>
    <mergeCell ref="E452:J452"/>
    <mergeCell ref="K452:L452"/>
    <mergeCell ref="C453:D453"/>
    <mergeCell ref="E453:F453"/>
    <mergeCell ref="G453:H453"/>
    <mergeCell ref="I453:J454"/>
    <mergeCell ref="K453:L453"/>
    <mergeCell ref="C454:D454"/>
    <mergeCell ref="B434:F434"/>
    <mergeCell ref="H434:L434"/>
    <mergeCell ref="B435:F435"/>
    <mergeCell ref="H435:L435"/>
    <mergeCell ref="A445:L445"/>
    <mergeCell ref="A447:L447"/>
    <mergeCell ref="C416:D416"/>
    <mergeCell ref="E416:F416"/>
    <mergeCell ref="G416:H416"/>
    <mergeCell ref="I416:J417"/>
    <mergeCell ref="K416:L416"/>
    <mergeCell ref="C417:D417"/>
    <mergeCell ref="E417:F417"/>
    <mergeCell ref="G417:H417"/>
    <mergeCell ref="K417:L417"/>
    <mergeCell ref="A408:L408"/>
    <mergeCell ref="A410:L410"/>
    <mergeCell ref="A411:L411"/>
    <mergeCell ref="C415:D415"/>
    <mergeCell ref="E415:J415"/>
    <mergeCell ref="K415:L415"/>
    <mergeCell ref="C379:D379"/>
    <mergeCell ref="E379:F379"/>
    <mergeCell ref="G379:H379"/>
    <mergeCell ref="I379:J380"/>
    <mergeCell ref="K379:L379"/>
    <mergeCell ref="C380:D380"/>
    <mergeCell ref="E380:F380"/>
    <mergeCell ref="G380:H380"/>
    <mergeCell ref="K380:L380"/>
    <mergeCell ref="A371:L371"/>
    <mergeCell ref="A373:L373"/>
    <mergeCell ref="A374:L374"/>
    <mergeCell ref="C378:D378"/>
    <mergeCell ref="E378:J378"/>
    <mergeCell ref="K378:L378"/>
    <mergeCell ref="G343:H343"/>
    <mergeCell ref="K343:L343"/>
    <mergeCell ref="B361:F361"/>
    <mergeCell ref="H361:L361"/>
    <mergeCell ref="B362:F362"/>
    <mergeCell ref="H362:L362"/>
    <mergeCell ref="C341:D341"/>
    <mergeCell ref="E341:J341"/>
    <mergeCell ref="K341:L341"/>
    <mergeCell ref="C342:D342"/>
    <mergeCell ref="E342:F342"/>
    <mergeCell ref="G342:H342"/>
    <mergeCell ref="I342:J343"/>
    <mergeCell ref="K342:L342"/>
    <mergeCell ref="C343:D343"/>
    <mergeCell ref="E343:F343"/>
    <mergeCell ref="E306:F306"/>
    <mergeCell ref="G306:H306"/>
    <mergeCell ref="K306:L306"/>
    <mergeCell ref="A334:L334"/>
    <mergeCell ref="A336:L336"/>
    <mergeCell ref="A337:L337"/>
    <mergeCell ref="A300:L300"/>
    <mergeCell ref="C304:D304"/>
    <mergeCell ref="E304:J304"/>
    <mergeCell ref="K304:L304"/>
    <mergeCell ref="C305:D305"/>
    <mergeCell ref="E305:F305"/>
    <mergeCell ref="G305:H305"/>
    <mergeCell ref="I305:J306"/>
    <mergeCell ref="K305:L305"/>
    <mergeCell ref="C306:D306"/>
    <mergeCell ref="B285:F285"/>
    <mergeCell ref="H285:L285"/>
    <mergeCell ref="B286:F286"/>
    <mergeCell ref="H286:L286"/>
    <mergeCell ref="A297:L297"/>
    <mergeCell ref="A299:L299"/>
    <mergeCell ref="C268:D268"/>
    <mergeCell ref="E268:F268"/>
    <mergeCell ref="G268:H268"/>
    <mergeCell ref="I268:J269"/>
    <mergeCell ref="K268:L268"/>
    <mergeCell ref="C269:D269"/>
    <mergeCell ref="E269:F269"/>
    <mergeCell ref="G269:H269"/>
    <mergeCell ref="K269:L269"/>
    <mergeCell ref="A260:L260"/>
    <mergeCell ref="A262:L262"/>
    <mergeCell ref="A263:L263"/>
    <mergeCell ref="C267:D267"/>
    <mergeCell ref="E267:J267"/>
    <mergeCell ref="K267:L267"/>
    <mergeCell ref="C231:D231"/>
    <mergeCell ref="E231:F231"/>
    <mergeCell ref="G231:H231"/>
    <mergeCell ref="I231:J232"/>
    <mergeCell ref="K231:L231"/>
    <mergeCell ref="C232:D232"/>
    <mergeCell ref="E232:F232"/>
    <mergeCell ref="G232:H232"/>
    <mergeCell ref="K232:L232"/>
    <mergeCell ref="A223:L223"/>
    <mergeCell ref="A225:L225"/>
    <mergeCell ref="A226:L226"/>
    <mergeCell ref="C230:D230"/>
    <mergeCell ref="E230:J230"/>
    <mergeCell ref="K230:L230"/>
    <mergeCell ref="G194:H194"/>
    <mergeCell ref="K194:L194"/>
    <mergeCell ref="B220:F220"/>
    <mergeCell ref="H220:L220"/>
    <mergeCell ref="B221:F221"/>
    <mergeCell ref="H221:L221"/>
    <mergeCell ref="C192:D192"/>
    <mergeCell ref="E192:J192"/>
    <mergeCell ref="K192:L192"/>
    <mergeCell ref="C193:D193"/>
    <mergeCell ref="E193:F193"/>
    <mergeCell ref="G193:H193"/>
    <mergeCell ref="I193:J194"/>
    <mergeCell ref="K193:L193"/>
    <mergeCell ref="C194:D194"/>
    <mergeCell ref="E194:F194"/>
    <mergeCell ref="E158:F158"/>
    <mergeCell ref="G158:H158"/>
    <mergeCell ref="K158:L158"/>
    <mergeCell ref="A186:L186"/>
    <mergeCell ref="A188:L188"/>
    <mergeCell ref="A189:L189"/>
    <mergeCell ref="A152:L152"/>
    <mergeCell ref="C156:D156"/>
    <mergeCell ref="E156:J156"/>
    <mergeCell ref="K156:L156"/>
    <mergeCell ref="C157:D157"/>
    <mergeCell ref="E157:F157"/>
    <mergeCell ref="G157:H157"/>
    <mergeCell ref="I157:J158"/>
    <mergeCell ref="K157:L157"/>
    <mergeCell ref="C158:D158"/>
    <mergeCell ref="B138:F138"/>
    <mergeCell ref="H138:L138"/>
    <mergeCell ref="B139:F139"/>
    <mergeCell ref="H139:L139"/>
    <mergeCell ref="A149:L149"/>
    <mergeCell ref="A151:L151"/>
    <mergeCell ref="C120:D120"/>
    <mergeCell ref="E120:F120"/>
    <mergeCell ref="G120:H120"/>
    <mergeCell ref="I120:J121"/>
    <mergeCell ref="K120:L120"/>
    <mergeCell ref="C121:D121"/>
    <mergeCell ref="E121:F121"/>
    <mergeCell ref="G121:H121"/>
    <mergeCell ref="K121:L121"/>
    <mergeCell ref="A112:L112"/>
    <mergeCell ref="A114:L114"/>
    <mergeCell ref="A115:L115"/>
    <mergeCell ref="C119:D119"/>
    <mergeCell ref="E119:J119"/>
    <mergeCell ref="K119:L119"/>
    <mergeCell ref="C83:D83"/>
    <mergeCell ref="E83:F83"/>
    <mergeCell ref="G83:H83"/>
    <mergeCell ref="I83:J84"/>
    <mergeCell ref="K83:L83"/>
    <mergeCell ref="C84:D84"/>
    <mergeCell ref="E84:F84"/>
    <mergeCell ref="G84:H84"/>
    <mergeCell ref="K84:L84"/>
    <mergeCell ref="A75:L75"/>
    <mergeCell ref="A77:L77"/>
    <mergeCell ref="A78:L78"/>
    <mergeCell ref="C82:D82"/>
    <mergeCell ref="E82:J82"/>
    <mergeCell ref="K82:L82"/>
    <mergeCell ref="G44:H44"/>
    <mergeCell ref="K44:L44"/>
    <mergeCell ref="B73:F73"/>
    <mergeCell ref="H73:L73"/>
    <mergeCell ref="B74:F74"/>
    <mergeCell ref="H74:L74"/>
    <mergeCell ref="C42:D42"/>
    <mergeCell ref="E42:J42"/>
    <mergeCell ref="K42:L42"/>
    <mergeCell ref="C43:D43"/>
    <mergeCell ref="E43:F43"/>
    <mergeCell ref="G43:H43"/>
    <mergeCell ref="I43:J44"/>
    <mergeCell ref="K43:L43"/>
    <mergeCell ref="C44:D44"/>
    <mergeCell ref="E44:F44"/>
    <mergeCell ref="C10:D10"/>
    <mergeCell ref="E10:F10"/>
    <mergeCell ref="G10:H10"/>
    <mergeCell ref="K10:L10"/>
    <mergeCell ref="A39:L39"/>
    <mergeCell ref="A40:L40"/>
    <mergeCell ref="A3:L3"/>
    <mergeCell ref="A4:L4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"/>
  <sheetViews>
    <sheetView tabSelected="0" workbookViewId="0" showGridLines="true" showRowColHeaders="1">
      <selection activeCell="AA27" sqref="AA27"/>
    </sheetView>
  </sheetViews>
  <sheetFormatPr defaultRowHeight="14.4" outlineLevelRow="0" outlineLevelCol="0"/>
  <cols>
    <col min="1" max="1" width="12.42578125" customWidth="true" style="0"/>
    <col min="2" max="2" width="9.85546875" customWidth="true" style="0"/>
    <col min="3" max="3" width="9.85546875" customWidth="true" style="0"/>
    <col min="4" max="4" width="1.5703125" customWidth="true" style="0"/>
    <col min="5" max="5" width="13.28515625" customWidth="true" style="0"/>
    <col min="6" max="6" width="22.28515625" customWidth="true" style="0"/>
    <col min="7" max="7" width="1.5703125" customWidth="true" style="0"/>
    <col min="8" max="8" width="10.5703125" customWidth="true" style="0"/>
    <col min="9" max="9" width="1.5703125" customWidth="true" style="0"/>
    <col min="10" max="10" width="9.85546875" customWidth="true" style="0"/>
    <col min="11" max="11" width="1.5703125" customWidth="true" style="0"/>
    <col min="12" max="12" width="11.28515625" customWidth="true" style="0"/>
    <col min="13" max="13" width="1.5703125" customWidth="true" style="0"/>
    <col min="14" max="14" width="11.42578125" customWidth="true" style="0"/>
    <col min="15" max="15" width="1.5703125" customWidth="true" style="0"/>
    <col min="16" max="16" width="10.85546875" customWidth="true" style="0"/>
    <col min="17" max="17" width="1.5703125" customWidth="true" style="0"/>
    <col min="18" max="18" width="11.42578125" customWidth="true" style="0"/>
    <col min="19" max="19" width="1.5703125" customWidth="true" style="0"/>
    <col min="20" max="20" width="11.140625" customWidth="true" style="0"/>
    <col min="21" max="21" width="9" customWidth="true" style="0"/>
  </cols>
  <sheetData>
    <row r="1" spans="1:21">
      <c r="A1" t="s">
        <v>521</v>
      </c>
    </row>
    <row r="3" spans="1:21">
      <c r="A3" s="185" t="s">
        <v>522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</row>
    <row r="4" spans="1:21">
      <c r="A4" s="185" t="s">
        <v>523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</row>
    <row r="5" spans="1:21">
      <c r="A5" s="185" t="s">
        <v>2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</row>
    <row r="8" spans="1:21" customHeight="1" ht="11.25" s="441" customFormat="1">
      <c r="A8" s="433" t="s">
        <v>524</v>
      </c>
      <c r="B8" s="434" t="s">
        <v>525</v>
      </c>
      <c r="C8" s="433" t="s">
        <v>526</v>
      </c>
      <c r="D8" s="435" t="s">
        <v>527</v>
      </c>
      <c r="E8" s="436"/>
      <c r="F8" s="433" t="s">
        <v>528</v>
      </c>
      <c r="G8" s="435" t="s">
        <v>529</v>
      </c>
      <c r="H8" s="437"/>
      <c r="I8" s="437"/>
      <c r="J8" s="437"/>
      <c r="K8" s="437"/>
      <c r="L8" s="436"/>
      <c r="M8" s="438" t="s">
        <v>530</v>
      </c>
      <c r="N8" s="438"/>
      <c r="O8" s="438"/>
      <c r="P8" s="438"/>
      <c r="Q8" s="438"/>
      <c r="R8" s="438"/>
      <c r="S8" s="439" t="s">
        <v>531</v>
      </c>
      <c r="T8" s="440"/>
    </row>
    <row r="9" spans="1:21" customHeight="1" ht="11.25" s="451" customFormat="1">
      <c r="A9" s="442"/>
      <c r="B9" s="443"/>
      <c r="C9" s="442"/>
      <c r="D9" s="444"/>
      <c r="E9" s="445"/>
      <c r="F9" s="442"/>
      <c r="G9" s="446"/>
      <c r="H9" s="447"/>
      <c r="I9" s="447"/>
      <c r="J9" s="447"/>
      <c r="K9" s="447"/>
      <c r="L9" s="448"/>
      <c r="M9" s="438" t="s">
        <v>523</v>
      </c>
      <c r="N9" s="438"/>
      <c r="O9" s="438"/>
      <c r="P9" s="438"/>
      <c r="Q9" s="438"/>
      <c r="R9" s="438"/>
      <c r="S9" s="449"/>
      <c r="T9" s="450"/>
    </row>
    <row r="10" spans="1:21" customHeight="1" ht="11.25" s="451" customFormat="1">
      <c r="A10" s="452"/>
      <c r="B10" s="453"/>
      <c r="C10" s="452"/>
      <c r="D10" s="446"/>
      <c r="E10" s="448"/>
      <c r="F10" s="452"/>
      <c r="G10" s="454" t="s">
        <v>532</v>
      </c>
      <c r="H10" s="455"/>
      <c r="I10" s="454" t="s">
        <v>533</v>
      </c>
      <c r="J10" s="455"/>
      <c r="K10" s="454" t="s">
        <v>356</v>
      </c>
      <c r="L10" s="455"/>
      <c r="M10" s="454" t="s">
        <v>532</v>
      </c>
      <c r="N10" s="455"/>
      <c r="O10" s="454" t="s">
        <v>533</v>
      </c>
      <c r="P10" s="455"/>
      <c r="Q10" s="454" t="s">
        <v>356</v>
      </c>
      <c r="R10" s="455"/>
      <c r="S10" s="456"/>
      <c r="T10" s="457"/>
    </row>
    <row r="11" spans="1:21" customHeight="1" ht="11.25" s="451" customFormat="1">
      <c r="A11" s="458">
        <v>1</v>
      </c>
      <c r="B11" s="458">
        <v>2</v>
      </c>
      <c r="C11" s="458">
        <v>3</v>
      </c>
      <c r="D11" s="459"/>
      <c r="E11" s="460">
        <v>4</v>
      </c>
      <c r="F11" s="458">
        <v>5</v>
      </c>
      <c r="G11" s="454">
        <v>6</v>
      </c>
      <c r="H11" s="455"/>
      <c r="I11" s="454">
        <v>7</v>
      </c>
      <c r="J11" s="455"/>
      <c r="K11" s="454">
        <v>8</v>
      </c>
      <c r="L11" s="455"/>
      <c r="M11" s="454">
        <v>9</v>
      </c>
      <c r="N11" s="455"/>
      <c r="O11" s="454">
        <v>10</v>
      </c>
      <c r="P11" s="455"/>
      <c r="Q11" s="454">
        <v>11</v>
      </c>
      <c r="R11" s="455"/>
      <c r="S11" s="454">
        <v>12</v>
      </c>
      <c r="T11" s="455"/>
      <c r="U11" s="426"/>
    </row>
    <row r="12" spans="1:21" customHeight="1" ht="22.5" s="399" customFormat="1">
      <c r="A12" s="428" t="s">
        <v>534</v>
      </c>
      <c r="B12" s="461" t="s">
        <v>535</v>
      </c>
      <c r="C12" s="461" t="s">
        <v>536</v>
      </c>
      <c r="D12" s="462"/>
      <c r="E12" s="463">
        <v>13500000</v>
      </c>
      <c r="F12" s="427" t="s">
        <v>537</v>
      </c>
      <c r="G12" s="462"/>
      <c r="H12" s="463">
        <v>1928571.44</v>
      </c>
      <c r="I12" s="462" t="s">
        <v>23</v>
      </c>
      <c r="J12" s="463">
        <v>225556.99</v>
      </c>
      <c r="K12" s="462"/>
      <c r="L12" s="463">
        <v>2154128.43</v>
      </c>
      <c r="M12" s="462"/>
      <c r="N12" s="463">
        <v>1928571.36</v>
      </c>
      <c r="O12" s="462" t="s">
        <v>23</v>
      </c>
      <c r="P12" s="463">
        <v>90481.81</v>
      </c>
      <c r="Q12" s="462"/>
      <c r="R12" s="463">
        <f>N12+P12</f>
        <v>2019053.17</v>
      </c>
      <c r="S12" s="462"/>
      <c r="T12" s="463">
        <v>0</v>
      </c>
    </row>
    <row r="13" spans="1:21" customHeight="1" ht="22.5" s="399" customFormat="1">
      <c r="A13" s="428" t="s">
        <v>534</v>
      </c>
      <c r="B13" s="464">
        <v>44167</v>
      </c>
      <c r="C13" s="464">
        <v>47844</v>
      </c>
      <c r="D13" s="462"/>
      <c r="E13" s="463">
        <v>15594785.61</v>
      </c>
      <c r="F13" s="427" t="s">
        <v>538</v>
      </c>
      <c r="G13" s="462"/>
      <c r="H13" s="463">
        <v>1732753.96</v>
      </c>
      <c r="I13" s="462" t="s">
        <v>23</v>
      </c>
      <c r="J13" s="463">
        <v>871094.6</v>
      </c>
      <c r="K13" s="462"/>
      <c r="L13" s="463">
        <v>2603848.56</v>
      </c>
      <c r="M13" s="462"/>
      <c r="N13" s="463">
        <v>1732753.92</v>
      </c>
      <c r="O13" s="462" t="s">
        <v>23</v>
      </c>
      <c r="P13" s="463">
        <v>744271.83</v>
      </c>
      <c r="Q13" s="462"/>
      <c r="R13" s="463">
        <f>N13+P13</f>
        <v>2477025.75</v>
      </c>
      <c r="S13" s="462"/>
      <c r="T13" s="463">
        <v>8663769.89</v>
      </c>
    </row>
    <row r="14" spans="1:21" customHeight="1" ht="22.5" s="399" customFormat="1">
      <c r="A14" s="428" t="s">
        <v>534</v>
      </c>
      <c r="B14" s="464">
        <v>44167</v>
      </c>
      <c r="C14" s="464">
        <v>47844</v>
      </c>
      <c r="D14" s="462"/>
      <c r="E14" s="463">
        <v>12892407.78</v>
      </c>
      <c r="F14" s="427" t="s">
        <v>539</v>
      </c>
      <c r="G14" s="462"/>
      <c r="H14" s="463">
        <v>1448104.6</v>
      </c>
      <c r="I14" s="462" t="s">
        <v>23</v>
      </c>
      <c r="J14" s="463">
        <v>706017.45</v>
      </c>
      <c r="K14" s="462"/>
      <c r="L14" s="463">
        <v>2154122.05</v>
      </c>
      <c r="M14" s="462"/>
      <c r="N14" s="463">
        <v>1448104.6</v>
      </c>
      <c r="O14" s="462" t="s">
        <v>23</v>
      </c>
      <c r="P14" s="463">
        <v>605419.23</v>
      </c>
      <c r="Q14" s="462"/>
      <c r="R14" s="463">
        <f>N14+P14</f>
        <v>2053523.83</v>
      </c>
      <c r="S14" s="462"/>
      <c r="T14" s="463">
        <v>7240523.1</v>
      </c>
    </row>
    <row r="15" spans="1:21" customHeight="1" ht="22.5" s="399" customFormat="1">
      <c r="A15" s="428" t="s">
        <v>534</v>
      </c>
      <c r="B15" s="464">
        <v>44917</v>
      </c>
      <c r="C15" s="464">
        <v>48233</v>
      </c>
      <c r="D15" s="462"/>
      <c r="E15" s="463">
        <v>77967555.44</v>
      </c>
      <c r="F15" s="427" t="s">
        <v>540</v>
      </c>
      <c r="G15" s="462"/>
      <c r="H15" s="463">
        <v>8663061.72</v>
      </c>
      <c r="I15" s="462" t="s">
        <v>23</v>
      </c>
      <c r="J15" s="463">
        <v>4965536.43</v>
      </c>
      <c r="K15" s="462"/>
      <c r="L15" s="463">
        <v>13628598.15</v>
      </c>
      <c r="M15" s="462"/>
      <c r="N15" s="463">
        <v>8663061.72</v>
      </c>
      <c r="O15" s="462" t="s">
        <v>23</v>
      </c>
      <c r="P15" s="463">
        <v>4588292.73</v>
      </c>
      <c r="Q15" s="462"/>
      <c r="R15" s="463">
        <f>N15+P15</f>
        <v>13251354.45</v>
      </c>
      <c r="S15" s="462"/>
      <c r="T15" s="463">
        <v>54144135.71</v>
      </c>
    </row>
    <row r="16" spans="1:21" customHeight="1" ht="33.75" s="399" customFormat="1">
      <c r="A16" s="428" t="s">
        <v>534</v>
      </c>
      <c r="B16" s="465" t="s">
        <v>541</v>
      </c>
      <c r="C16" s="465" t="s">
        <v>541</v>
      </c>
      <c r="D16" s="462"/>
      <c r="E16" s="463">
        <v>28800000</v>
      </c>
      <c r="F16" s="427" t="s">
        <v>542</v>
      </c>
      <c r="G16" s="462"/>
      <c r="H16" s="463">
        <v>0</v>
      </c>
      <c r="I16" s="462"/>
      <c r="J16" s="463">
        <v>0</v>
      </c>
      <c r="K16" s="462"/>
      <c r="L16" s="463">
        <v>0</v>
      </c>
      <c r="M16" s="462"/>
      <c r="N16" s="463">
        <v>4114284</v>
      </c>
      <c r="O16" s="462"/>
      <c r="P16" s="463">
        <v>2043546.04</v>
      </c>
      <c r="Q16" s="462"/>
      <c r="R16" s="463">
        <v>6157830.04</v>
      </c>
      <c r="S16" s="462"/>
      <c r="T16" s="466">
        <v>24685716</v>
      </c>
      <c r="U16" s="467"/>
    </row>
    <row r="17" spans="1:21" customHeight="1" ht="12" s="258" customFormat="1">
      <c r="A17" s="468" t="s">
        <v>13</v>
      </c>
      <c r="B17" s="468"/>
      <c r="C17" s="468"/>
      <c r="D17" s="469" t="s">
        <v>23</v>
      </c>
      <c r="E17" s="470">
        <f>SUM(E12:E16)</f>
        <v>148754748.83</v>
      </c>
      <c r="F17" s="468"/>
      <c r="G17" s="471" t="s">
        <v>23</v>
      </c>
      <c r="H17" s="470">
        <f>SUM(H12:H16)</f>
        <v>13772491.72</v>
      </c>
      <c r="I17" s="471" t="s">
        <v>543</v>
      </c>
      <c r="J17" s="470">
        <f>SUM(J12:J16)</f>
        <v>6768205.47</v>
      </c>
      <c r="K17" s="471" t="s">
        <v>543</v>
      </c>
      <c r="L17" s="470">
        <f>SUM(L12:L16)</f>
        <v>20540697.19</v>
      </c>
      <c r="M17" s="471" t="s">
        <v>543</v>
      </c>
      <c r="N17" s="470">
        <f>SUM(N12:N16)</f>
        <v>17886775.6</v>
      </c>
      <c r="O17" s="471" t="s">
        <v>543</v>
      </c>
      <c r="P17" s="470">
        <f>SUM(P12:P16)</f>
        <v>8072011.64</v>
      </c>
      <c r="Q17" s="471" t="s">
        <v>543</v>
      </c>
      <c r="R17" s="470">
        <f>SUM(R12:R16)</f>
        <v>25958787.24</v>
      </c>
      <c r="S17" s="471" t="s">
        <v>543</v>
      </c>
      <c r="T17" s="470">
        <f>SUM(T12:T16)</f>
        <v>94734144.7</v>
      </c>
    </row>
    <row r="18" spans="1:21" customHeight="1" ht="11.25" s="399" customFormat="1">
      <c r="C18" s="429"/>
    </row>
    <row r="19" spans="1:21" customHeight="1" ht="11.25" s="399" customFormat="1">
      <c r="C19" s="429"/>
    </row>
    <row r="20" spans="1:21" customHeight="1" ht="11.25" s="399" customFormat="1">
      <c r="C20" s="429"/>
    </row>
    <row r="21" spans="1:21">
      <c r="A21" t="s">
        <v>544</v>
      </c>
      <c r="J21" t="s">
        <v>545</v>
      </c>
    </row>
    <row r="24" spans="1:21">
      <c r="B24" s="185" t="s">
        <v>546</v>
      </c>
      <c r="C24" s="185"/>
      <c r="L24" s="185" t="s">
        <v>326</v>
      </c>
      <c r="M24" s="185"/>
      <c r="N24" s="185"/>
      <c r="O24" s="185"/>
      <c r="P24" s="185"/>
    </row>
    <row r="25" spans="1:21">
      <c r="B25" s="472" t="s">
        <v>396</v>
      </c>
      <c r="C25" s="472"/>
      <c r="L25" s="472" t="s">
        <v>327</v>
      </c>
      <c r="M25" s="472"/>
      <c r="N25" s="472"/>
      <c r="O25" s="472"/>
      <c r="P25" s="4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S11:T11"/>
    <mergeCell ref="B24:C24"/>
    <mergeCell ref="L24:P24"/>
    <mergeCell ref="B25:C25"/>
    <mergeCell ref="L25:P25"/>
    <mergeCell ref="G11:H11"/>
    <mergeCell ref="I11:J11"/>
    <mergeCell ref="K11:L11"/>
    <mergeCell ref="M11:N11"/>
    <mergeCell ref="O11:P11"/>
    <mergeCell ref="Q11:R11"/>
    <mergeCell ref="S8:T10"/>
    <mergeCell ref="M9:R9"/>
    <mergeCell ref="G10:H10"/>
    <mergeCell ref="I10:J10"/>
    <mergeCell ref="K10:L10"/>
    <mergeCell ref="M10:N10"/>
    <mergeCell ref="O10:P10"/>
    <mergeCell ref="Q10:R10"/>
    <mergeCell ref="A3:T3"/>
    <mergeCell ref="A4:T4"/>
    <mergeCell ref="A5:T5"/>
    <mergeCell ref="A8:A10"/>
    <mergeCell ref="B8:B10"/>
    <mergeCell ref="C8:C10"/>
    <mergeCell ref="D8:E10"/>
    <mergeCell ref="F8:F10"/>
    <mergeCell ref="G8:L9"/>
    <mergeCell ref="M8:R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9"/>
  <sheetViews>
    <sheetView tabSelected="0" workbookViewId="0" showGridLines="true" showRowColHeaders="1">
      <selection activeCell="G21" sqref="G21"/>
    </sheetView>
  </sheetViews>
  <sheetFormatPr defaultRowHeight="14.4" outlineLevelRow="0" outlineLevelCol="0"/>
  <cols>
    <col min="1" max="1" width="29.7109375" customWidth="true" style="0"/>
    <col min="2" max="2" width="29.42578125" customWidth="true" style="0"/>
    <col min="3" max="3" width="2.42578125" customWidth="true" style="0"/>
    <col min="4" max="4" width="28.42578125" customWidth="true" style="0"/>
    <col min="7" max="7" width="18.28515625" customWidth="true" style="0"/>
  </cols>
  <sheetData>
    <row r="1" spans="1:7">
      <c r="A1" s="473" t="s">
        <v>547</v>
      </c>
      <c r="B1" s="330"/>
      <c r="C1" s="330"/>
      <c r="D1" s="474"/>
    </row>
    <row r="2" spans="1:7">
      <c r="A2" s="475"/>
      <c r="D2" s="476"/>
    </row>
    <row r="3" spans="1:7">
      <c r="A3" s="475"/>
      <c r="D3" s="476"/>
    </row>
    <row r="4" spans="1:7" customHeight="1" ht="15.75">
      <c r="A4" s="395" t="s">
        <v>548</v>
      </c>
      <c r="B4" s="183"/>
      <c r="C4" s="183"/>
      <c r="D4" s="396"/>
    </row>
    <row r="5" spans="1:7" customHeight="1" ht="15.75">
      <c r="A5" s="395" t="s">
        <v>549</v>
      </c>
      <c r="B5" s="183"/>
      <c r="C5" s="183"/>
      <c r="D5" s="396"/>
    </row>
    <row r="6" spans="1:7">
      <c r="A6" s="352" t="s">
        <v>2</v>
      </c>
      <c r="B6" s="185"/>
      <c r="C6" s="185"/>
      <c r="D6" s="205"/>
    </row>
    <row r="7" spans="1:7">
      <c r="A7" s="352" t="s">
        <v>550</v>
      </c>
      <c r="B7" s="185"/>
      <c r="C7" s="185"/>
      <c r="D7" s="205"/>
    </row>
    <row r="8" spans="1:7" customHeight="1" ht="15.75">
      <c r="A8" s="477"/>
      <c r="B8" s="478"/>
      <c r="C8" s="478"/>
      <c r="D8" s="479"/>
    </row>
    <row r="9" spans="1:7">
      <c r="A9" s="480" t="s">
        <v>551</v>
      </c>
      <c r="B9" s="481"/>
      <c r="C9" s="481" t="s">
        <v>552</v>
      </c>
      <c r="D9" s="482"/>
    </row>
    <row r="10" spans="1:7" customHeight="1" ht="15.75">
      <c r="A10" s="483" t="s">
        <v>553</v>
      </c>
      <c r="B10" s="484"/>
      <c r="C10" s="484" t="s">
        <v>554</v>
      </c>
      <c r="D10" s="485"/>
    </row>
    <row r="11" spans="1:7">
      <c r="A11" s="473"/>
      <c r="B11" s="329"/>
      <c r="C11" s="330"/>
      <c r="D11" s="474"/>
    </row>
    <row r="12" spans="1:7">
      <c r="A12" s="486" t="s">
        <v>555</v>
      </c>
      <c r="B12" s="487"/>
      <c r="D12" s="476"/>
    </row>
    <row r="13" spans="1:7">
      <c r="A13" s="486"/>
      <c r="B13" s="487"/>
      <c r="D13" s="476"/>
    </row>
    <row r="14" spans="1:7">
      <c r="A14" s="475" t="s">
        <v>556</v>
      </c>
      <c r="B14" s="323"/>
      <c r="C14" t="s">
        <v>23</v>
      </c>
      <c r="D14" s="488">
        <v>5294805</v>
      </c>
    </row>
    <row r="15" spans="1:7">
      <c r="A15" s="475" t="s">
        <v>557</v>
      </c>
      <c r="B15" s="323"/>
      <c r="D15" s="488"/>
    </row>
    <row r="16" spans="1:7">
      <c r="A16" s="475" t="s">
        <v>558</v>
      </c>
      <c r="B16" s="323"/>
      <c r="D16" s="488">
        <v>25958787.24</v>
      </c>
    </row>
    <row r="17" spans="1:7">
      <c r="A17" s="475"/>
      <c r="B17" s="323"/>
      <c r="D17" s="488"/>
    </row>
    <row r="18" spans="1:7">
      <c r="A18" s="475" t="s">
        <v>559</v>
      </c>
      <c r="B18" s="323"/>
      <c r="D18" s="488">
        <v>213600</v>
      </c>
    </row>
    <row r="19" spans="1:7">
      <c r="A19" s="475"/>
      <c r="B19" s="323"/>
      <c r="D19" s="488"/>
    </row>
    <row r="20" spans="1:7">
      <c r="A20" s="475" t="s">
        <v>560</v>
      </c>
      <c r="B20" s="323"/>
      <c r="D20" s="488">
        <v>1009418</v>
      </c>
      <c r="G20" s="249"/>
    </row>
    <row r="21" spans="1:7">
      <c r="A21" s="475"/>
      <c r="B21" s="323"/>
      <c r="D21" s="488"/>
    </row>
    <row r="22" spans="1:7">
      <c r="A22" s="475" t="s">
        <v>561</v>
      </c>
      <c r="B22" s="323"/>
      <c r="D22" s="488">
        <v>106800</v>
      </c>
    </row>
    <row r="23" spans="1:7">
      <c r="A23" s="475"/>
      <c r="B23" s="323"/>
      <c r="D23" s="488"/>
    </row>
    <row r="24" spans="1:7">
      <c r="A24" s="475" t="s">
        <v>562</v>
      </c>
      <c r="B24" s="323"/>
      <c r="D24" s="488">
        <v>4845132</v>
      </c>
    </row>
    <row r="25" spans="1:7">
      <c r="A25" s="475"/>
      <c r="B25" s="323"/>
      <c r="D25" s="488"/>
    </row>
    <row r="26" spans="1:7">
      <c r="A26" s="486" t="s">
        <v>563</v>
      </c>
      <c r="B26" s="323"/>
      <c r="D26" s="488"/>
    </row>
    <row r="27" spans="1:7">
      <c r="A27" s="486"/>
      <c r="B27" s="323"/>
      <c r="D27" s="488"/>
    </row>
    <row r="28" spans="1:7">
      <c r="A28" s="475" t="s">
        <v>564</v>
      </c>
      <c r="B28" s="323"/>
      <c r="D28" s="488">
        <f>171997074*0.2</f>
        <v>34399414.8</v>
      </c>
      <c r="G28" s="489"/>
    </row>
    <row r="29" spans="1:7">
      <c r="A29" s="475"/>
      <c r="B29" s="323"/>
      <c r="D29" s="488"/>
    </row>
    <row r="30" spans="1:7">
      <c r="A30" s="475" t="s">
        <v>565</v>
      </c>
      <c r="B30" s="323"/>
      <c r="D30" s="488">
        <v>9274403.7</v>
      </c>
    </row>
    <row r="31" spans="1:7">
      <c r="A31" s="475"/>
      <c r="B31" s="323"/>
      <c r="D31" s="488"/>
    </row>
    <row r="32" spans="1:7">
      <c r="A32" s="475" t="s">
        <v>566</v>
      </c>
      <c r="B32" s="323"/>
      <c r="D32" s="488">
        <v>450000</v>
      </c>
    </row>
    <row r="33" spans="1:7">
      <c r="A33" s="475"/>
      <c r="B33" s="323"/>
      <c r="D33" s="488"/>
    </row>
    <row r="34" spans="1:7" customHeight="1" ht="15.75">
      <c r="A34" s="475" t="s">
        <v>567</v>
      </c>
      <c r="B34" s="323"/>
      <c r="D34" s="488">
        <v>1719970.74</v>
      </c>
    </row>
    <row r="35" spans="1:7">
      <c r="A35" s="490" t="s">
        <v>13</v>
      </c>
      <c r="B35" s="491"/>
      <c r="C35" s="431" t="s">
        <v>23</v>
      </c>
      <c r="D35" s="492">
        <f>D14+D16+D18+D20+D22+D24+D28+D30+D32+D34</f>
        <v>83272331.48</v>
      </c>
    </row>
    <row r="36" spans="1:7" customHeight="1" ht="15.75">
      <c r="A36" s="493"/>
      <c r="B36" s="494"/>
      <c r="C36" s="495"/>
      <c r="D36" s="496"/>
    </row>
    <row r="37" spans="1:7" customHeight="1" ht="15.75">
      <c r="A37" s="497"/>
      <c r="B37" s="348"/>
      <c r="C37" s="348"/>
      <c r="D37" s="498"/>
    </row>
    <row r="38" spans="1:7">
      <c r="A38" s="384" t="s">
        <v>568</v>
      </c>
      <c r="B38" s="270"/>
      <c r="C38" s="270"/>
      <c r="D38" s="398"/>
    </row>
    <row r="39" spans="1:7">
      <c r="A39" s="475"/>
      <c r="D39" s="476"/>
    </row>
    <row r="40" spans="1:7">
      <c r="A40" s="475"/>
      <c r="D40" s="476"/>
    </row>
    <row r="41" spans="1:7">
      <c r="A41" s="475"/>
      <c r="D41" s="476"/>
    </row>
    <row r="42" spans="1:7">
      <c r="A42" s="397" t="s">
        <v>374</v>
      </c>
      <c r="B42" s="186" t="s">
        <v>400</v>
      </c>
      <c r="C42" s="185" t="s">
        <v>388</v>
      </c>
      <c r="D42" s="205"/>
    </row>
    <row r="43" spans="1:7">
      <c r="A43" s="376" t="s">
        <v>375</v>
      </c>
      <c r="B43" s="377" t="s">
        <v>401</v>
      </c>
      <c r="C43" s="412" t="s">
        <v>569</v>
      </c>
      <c r="D43" s="413"/>
    </row>
    <row r="44" spans="1:7">
      <c r="A44" s="475"/>
      <c r="D44" s="476"/>
    </row>
    <row r="45" spans="1:7">
      <c r="A45" s="475"/>
      <c r="D45" s="476"/>
    </row>
    <row r="46" spans="1:7">
      <c r="A46" s="499" t="s">
        <v>325</v>
      </c>
      <c r="D46" s="476"/>
    </row>
    <row r="47" spans="1:7">
      <c r="A47" s="475"/>
      <c r="D47" s="476"/>
    </row>
    <row r="48" spans="1:7">
      <c r="A48" s="475"/>
      <c r="D48" s="476"/>
    </row>
    <row r="49" spans="1:7">
      <c r="A49" s="352" t="s">
        <v>326</v>
      </c>
      <c r="B49" s="185"/>
      <c r="C49" s="185"/>
      <c r="D49" s="205"/>
    </row>
    <row r="50" spans="1:7">
      <c r="A50" s="411" t="s">
        <v>327</v>
      </c>
      <c r="B50" s="412"/>
      <c r="C50" s="412"/>
      <c r="D50" s="413"/>
    </row>
    <row r="51" spans="1:7">
      <c r="A51" s="475"/>
      <c r="D51" s="476"/>
    </row>
    <row r="52" spans="1:7">
      <c r="A52" s="475"/>
      <c r="D52" s="476"/>
    </row>
    <row r="53" spans="1:7">
      <c r="A53" s="475"/>
      <c r="D53" s="476"/>
    </row>
    <row r="54" spans="1:7">
      <c r="A54" s="475"/>
      <c r="D54" s="476"/>
    </row>
    <row r="55" spans="1:7">
      <c r="A55" s="475"/>
      <c r="D55" s="476"/>
    </row>
    <row r="56" spans="1:7">
      <c r="A56" s="475"/>
      <c r="D56" s="476"/>
    </row>
    <row r="57" spans="1:7" customHeight="1" ht="15.75">
      <c r="A57" s="477"/>
      <c r="B57" s="478"/>
      <c r="C57" s="478"/>
      <c r="D57" s="479"/>
    </row>
    <row r="63" spans="1:7" customHeight="1" ht="15.75"/>
    <row r="64" spans="1:7">
      <c r="A64" s="473" t="s">
        <v>547</v>
      </c>
      <c r="B64" s="330"/>
      <c r="C64" s="330"/>
      <c r="D64" s="474"/>
    </row>
    <row r="65" spans="1:7">
      <c r="A65" s="475"/>
      <c r="D65" s="476"/>
    </row>
    <row r="66" spans="1:7">
      <c r="A66" s="475"/>
      <c r="D66" s="476"/>
    </row>
    <row r="67" spans="1:7" customHeight="1" ht="15.75">
      <c r="A67" s="395" t="s">
        <v>548</v>
      </c>
      <c r="B67" s="183"/>
      <c r="C67" s="183"/>
      <c r="D67" s="396"/>
    </row>
    <row r="68" spans="1:7" customHeight="1" ht="15.75">
      <c r="A68" s="395" t="s">
        <v>549</v>
      </c>
      <c r="B68" s="183"/>
      <c r="C68" s="183"/>
      <c r="D68" s="396"/>
    </row>
    <row r="69" spans="1:7">
      <c r="A69" s="352" t="s">
        <v>2</v>
      </c>
      <c r="B69" s="185"/>
      <c r="C69" s="185"/>
      <c r="D69" s="205"/>
    </row>
    <row r="70" spans="1:7">
      <c r="A70" s="352" t="s">
        <v>570</v>
      </c>
      <c r="B70" s="185"/>
      <c r="C70" s="185"/>
      <c r="D70" s="205"/>
    </row>
    <row r="71" spans="1:7" customHeight="1" ht="15.75">
      <c r="A71" s="477"/>
      <c r="B71" s="478"/>
      <c r="C71" s="478"/>
      <c r="D71" s="479"/>
    </row>
    <row r="72" spans="1:7">
      <c r="A72" s="480" t="s">
        <v>551</v>
      </c>
      <c r="B72" s="481"/>
      <c r="C72" s="481" t="s">
        <v>552</v>
      </c>
      <c r="D72" s="482"/>
    </row>
    <row r="73" spans="1:7" customHeight="1" ht="15.75">
      <c r="A73" s="483" t="s">
        <v>553</v>
      </c>
      <c r="B73" s="484"/>
      <c r="C73" s="484" t="s">
        <v>554</v>
      </c>
      <c r="D73" s="485"/>
    </row>
    <row r="74" spans="1:7">
      <c r="A74" s="473"/>
      <c r="B74" s="329"/>
      <c r="C74" s="330"/>
      <c r="D74" s="474"/>
    </row>
    <row r="75" spans="1:7">
      <c r="A75" s="486" t="s">
        <v>555</v>
      </c>
      <c r="B75" s="487"/>
      <c r="D75" s="476"/>
    </row>
    <row r="76" spans="1:7">
      <c r="A76" s="486"/>
      <c r="B76" s="487"/>
      <c r="D76" s="476"/>
    </row>
    <row r="77" spans="1:7">
      <c r="A77" s="475" t="s">
        <v>556</v>
      </c>
      <c r="B77" s="323"/>
      <c r="C77" t="s">
        <v>23</v>
      </c>
      <c r="D77" s="488">
        <v>0</v>
      </c>
    </row>
    <row r="78" spans="1:7">
      <c r="A78" s="475" t="s">
        <v>557</v>
      </c>
      <c r="B78" s="323"/>
      <c r="D78" s="488"/>
    </row>
    <row r="79" spans="1:7">
      <c r="A79" s="475" t="s">
        <v>558</v>
      </c>
      <c r="B79" s="323"/>
      <c r="D79" s="488">
        <v>0</v>
      </c>
    </row>
    <row r="80" spans="1:7">
      <c r="A80" s="475"/>
      <c r="B80" s="323"/>
      <c r="D80" s="488"/>
    </row>
    <row r="81" spans="1:7">
      <c r="A81" s="475" t="s">
        <v>559</v>
      </c>
      <c r="B81" s="323"/>
      <c r="D81" s="488">
        <v>38400</v>
      </c>
    </row>
    <row r="82" spans="1:7">
      <c r="A82" s="475"/>
      <c r="B82" s="323"/>
      <c r="D82" s="488"/>
    </row>
    <row r="83" spans="1:7">
      <c r="A83" s="475" t="s">
        <v>560</v>
      </c>
      <c r="B83" s="323"/>
      <c r="D83" s="488">
        <v>57138</v>
      </c>
    </row>
    <row r="84" spans="1:7">
      <c r="A84" s="475"/>
      <c r="B84" s="323"/>
      <c r="D84" s="488"/>
    </row>
    <row r="85" spans="1:7">
      <c r="A85" s="475" t="s">
        <v>561</v>
      </c>
      <c r="B85" s="323"/>
      <c r="D85" s="488">
        <f>'[2]2024 FINAL'!$N$237</f>
        <v>19200</v>
      </c>
    </row>
    <row r="86" spans="1:7">
      <c r="A86" s="475"/>
      <c r="B86" s="323"/>
      <c r="D86" s="488"/>
    </row>
    <row r="87" spans="1:7">
      <c r="A87" s="475" t="s">
        <v>562</v>
      </c>
      <c r="B87" s="323"/>
      <c r="D87" s="488">
        <v>274257</v>
      </c>
    </row>
    <row r="88" spans="1:7">
      <c r="A88" s="475"/>
      <c r="B88" s="323"/>
      <c r="D88" s="488"/>
    </row>
    <row r="89" spans="1:7">
      <c r="A89" s="486" t="s">
        <v>563</v>
      </c>
      <c r="B89" s="323"/>
      <c r="D89" s="488"/>
    </row>
    <row r="90" spans="1:7">
      <c r="A90" s="486"/>
      <c r="B90" s="323"/>
      <c r="D90" s="488"/>
    </row>
    <row r="91" spans="1:7">
      <c r="A91" s="475" t="s">
        <v>571</v>
      </c>
      <c r="B91" s="323"/>
      <c r="D91" s="488">
        <v>0</v>
      </c>
    </row>
    <row r="92" spans="1:7">
      <c r="A92" s="475"/>
      <c r="B92" s="323"/>
      <c r="D92" s="488"/>
    </row>
    <row r="93" spans="1:7">
      <c r="A93" s="475" t="s">
        <v>572</v>
      </c>
      <c r="B93" s="323"/>
      <c r="D93" s="488">
        <v>0</v>
      </c>
    </row>
    <row r="94" spans="1:7">
      <c r="A94" s="475"/>
      <c r="B94" s="323"/>
      <c r="D94" s="488"/>
    </row>
    <row r="95" spans="1:7" customHeight="1" ht="15.75">
      <c r="A95" s="477" t="s">
        <v>573</v>
      </c>
      <c r="B95" s="500"/>
      <c r="C95" s="478"/>
      <c r="D95" s="501">
        <v>0</v>
      </c>
    </row>
    <row r="96" spans="1:7">
      <c r="A96" s="490" t="s">
        <v>13</v>
      </c>
      <c r="B96" s="491"/>
      <c r="C96" s="431" t="s">
        <v>23</v>
      </c>
      <c r="D96" s="492">
        <f>D77+D79+D81+D83+D85+D87+D91+D93+D95</f>
        <v>388995</v>
      </c>
    </row>
    <row r="97" spans="1:7" customHeight="1" ht="15.75">
      <c r="A97" s="493"/>
      <c r="B97" s="494"/>
      <c r="C97" s="495"/>
      <c r="D97" s="496"/>
    </row>
    <row r="98" spans="1:7" customHeight="1" ht="15.75">
      <c r="A98" s="497"/>
      <c r="B98" s="348"/>
      <c r="C98" s="348"/>
      <c r="D98" s="498"/>
    </row>
    <row r="99" spans="1:7">
      <c r="A99" s="384" t="s">
        <v>568</v>
      </c>
      <c r="B99" s="270"/>
      <c r="C99" s="270"/>
      <c r="D99" s="398"/>
    </row>
    <row r="100" spans="1:7">
      <c r="A100" s="475"/>
      <c r="D100" s="476"/>
    </row>
    <row r="101" spans="1:7">
      <c r="A101" s="475"/>
      <c r="D101" s="476"/>
    </row>
    <row r="102" spans="1:7">
      <c r="A102" s="475"/>
      <c r="D102" s="476"/>
    </row>
    <row r="103" spans="1:7">
      <c r="A103" s="397" t="s">
        <v>374</v>
      </c>
      <c r="B103" s="186" t="s">
        <v>400</v>
      </c>
      <c r="C103" s="185" t="s">
        <v>388</v>
      </c>
      <c r="D103" s="205"/>
    </row>
    <row r="104" spans="1:7">
      <c r="A104" s="376" t="s">
        <v>375</v>
      </c>
      <c r="B104" s="377" t="s">
        <v>401</v>
      </c>
      <c r="C104" s="412" t="s">
        <v>569</v>
      </c>
      <c r="D104" s="413"/>
    </row>
    <row r="105" spans="1:7">
      <c r="A105" s="475"/>
      <c r="D105" s="476"/>
    </row>
    <row r="106" spans="1:7">
      <c r="A106" s="475"/>
      <c r="D106" s="476"/>
    </row>
    <row r="107" spans="1:7">
      <c r="A107" s="499" t="s">
        <v>325</v>
      </c>
      <c r="D107" s="476"/>
    </row>
    <row r="108" spans="1:7">
      <c r="A108" s="475"/>
      <c r="D108" s="476"/>
    </row>
    <row r="109" spans="1:7">
      <c r="A109" s="475"/>
      <c r="D109" s="476"/>
    </row>
    <row r="110" spans="1:7">
      <c r="A110" s="352" t="s">
        <v>326</v>
      </c>
      <c r="B110" s="185"/>
      <c r="C110" s="185"/>
      <c r="D110" s="205"/>
    </row>
    <row r="111" spans="1:7">
      <c r="A111" s="411" t="s">
        <v>327</v>
      </c>
      <c r="B111" s="412"/>
      <c r="C111" s="412"/>
      <c r="D111" s="413"/>
    </row>
    <row r="112" spans="1:7">
      <c r="A112" s="475"/>
      <c r="D112" s="476"/>
    </row>
    <row r="113" spans="1:7">
      <c r="A113" s="475"/>
      <c r="D113" s="476"/>
    </row>
    <row r="114" spans="1:7">
      <c r="A114" s="475"/>
      <c r="D114" s="476"/>
    </row>
    <row r="115" spans="1:7">
      <c r="A115" s="475"/>
      <c r="D115" s="476"/>
    </row>
    <row r="116" spans="1:7">
      <c r="A116" s="475"/>
      <c r="D116" s="476"/>
    </row>
    <row r="117" spans="1:7">
      <c r="A117" s="475"/>
      <c r="D117" s="476"/>
    </row>
    <row r="118" spans="1:7">
      <c r="A118" s="475"/>
      <c r="D118" s="476"/>
    </row>
    <row r="119" spans="1:7" customHeight="1" ht="15.75">
      <c r="A119" s="477"/>
      <c r="B119" s="478"/>
      <c r="C119" s="478"/>
      <c r="D119" s="4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03:D103"/>
    <mergeCell ref="C104:D104"/>
    <mergeCell ref="A110:D110"/>
    <mergeCell ref="A111:D111"/>
    <mergeCell ref="A70:D70"/>
    <mergeCell ref="A72:B72"/>
    <mergeCell ref="C72:D72"/>
    <mergeCell ref="A73:B73"/>
    <mergeCell ref="C73:D73"/>
    <mergeCell ref="A96:B97"/>
    <mergeCell ref="C96:C97"/>
    <mergeCell ref="D96:D97"/>
    <mergeCell ref="C43:D43"/>
    <mergeCell ref="A49:D49"/>
    <mergeCell ref="A50:D50"/>
    <mergeCell ref="A67:D67"/>
    <mergeCell ref="A68:D68"/>
    <mergeCell ref="A69:D69"/>
    <mergeCell ref="A10:B10"/>
    <mergeCell ref="C10:D10"/>
    <mergeCell ref="A35:B36"/>
    <mergeCell ref="C35:C36"/>
    <mergeCell ref="D35:D36"/>
    <mergeCell ref="C42:D42"/>
    <mergeCell ref="A4:D4"/>
    <mergeCell ref="A5:D5"/>
    <mergeCell ref="A6:D6"/>
    <mergeCell ref="A7:D7"/>
    <mergeCell ref="A9:B9"/>
    <mergeCell ref="C9:D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1"/>
  <sheetViews>
    <sheetView tabSelected="0" workbookViewId="0" showGridLines="true" showRowColHeaders="1">
      <selection activeCell="B134" sqref="B134"/>
    </sheetView>
  </sheetViews>
  <sheetFormatPr defaultRowHeight="14.4" outlineLevelRow="0" outlineLevelCol="0"/>
  <cols>
    <col min="1" max="1" width="39.42578125" customWidth="true" style="0"/>
    <col min="2" max="2" width="20.85546875" customWidth="true" style="0"/>
    <col min="3" max="3" width="14.85546875" customWidth="true" style="0"/>
    <col min="4" max="4" width="14.85546875" customWidth="true" style="0"/>
    <col min="5" max="5" width="14.85546875" customWidth="true" style="0"/>
    <col min="6" max="6" width="14.85546875" customWidth="true" style="0"/>
    <col min="7" max="7" width="14.85546875" customWidth="true" style="0"/>
  </cols>
  <sheetData>
    <row r="1" spans="1:7">
      <c r="A1" s="393" t="s">
        <v>574</v>
      </c>
      <c r="B1" s="380"/>
      <c r="C1" s="372"/>
      <c r="D1" s="372"/>
      <c r="E1" s="372"/>
      <c r="F1" s="372"/>
      <c r="G1" s="394"/>
    </row>
    <row r="2" spans="1:7">
      <c r="A2" s="384"/>
      <c r="B2" s="377"/>
      <c r="C2" s="270"/>
      <c r="D2" s="270"/>
      <c r="E2" s="270"/>
      <c r="F2" s="270"/>
      <c r="G2" s="398"/>
    </row>
    <row r="3" spans="1:7" customHeight="1" ht="18.75">
      <c r="A3" s="502" t="s">
        <v>575</v>
      </c>
      <c r="B3" s="503"/>
      <c r="C3" s="503"/>
      <c r="D3" s="503"/>
      <c r="E3" s="503"/>
      <c r="F3" s="503"/>
      <c r="G3" s="504"/>
    </row>
    <row r="4" spans="1:7">
      <c r="A4" s="352" t="s">
        <v>2</v>
      </c>
      <c r="B4" s="185"/>
      <c r="C4" s="185"/>
      <c r="D4" s="185"/>
      <c r="E4" s="185"/>
      <c r="F4" s="185"/>
      <c r="G4" s="205"/>
    </row>
    <row r="5" spans="1:7">
      <c r="A5" s="352" t="s">
        <v>550</v>
      </c>
      <c r="B5" s="185"/>
      <c r="C5" s="185"/>
      <c r="D5" s="185"/>
      <c r="E5" s="185"/>
      <c r="F5" s="185"/>
      <c r="G5" s="205"/>
    </row>
    <row r="6" spans="1:7" customHeight="1" ht="15.75">
      <c r="A6" s="417"/>
      <c r="B6" s="381"/>
      <c r="C6" s="374"/>
      <c r="D6" s="374"/>
      <c r="E6" s="374"/>
      <c r="F6" s="374"/>
      <c r="G6" s="400"/>
    </row>
    <row r="7" spans="1:7">
      <c r="A7" s="353" t="s">
        <v>4</v>
      </c>
      <c r="B7" s="354" t="s">
        <v>9</v>
      </c>
      <c r="C7" s="354" t="s">
        <v>576</v>
      </c>
      <c r="D7" s="505" t="s">
        <v>577</v>
      </c>
      <c r="E7" s="354" t="s">
        <v>578</v>
      </c>
      <c r="F7" s="354" t="s">
        <v>579</v>
      </c>
      <c r="G7" s="355" t="s">
        <v>13</v>
      </c>
    </row>
    <row r="8" spans="1:7" customHeight="1" ht="15.75">
      <c r="A8" s="506"/>
      <c r="B8" s="357" t="s">
        <v>14</v>
      </c>
      <c r="C8" s="357" t="s">
        <v>580</v>
      </c>
      <c r="D8" s="507" t="s">
        <v>580</v>
      </c>
      <c r="E8" s="357" t="s">
        <v>580</v>
      </c>
      <c r="F8" s="357" t="s">
        <v>580</v>
      </c>
      <c r="G8" s="358"/>
    </row>
    <row r="9" spans="1:7">
      <c r="A9" s="508" t="s">
        <v>581</v>
      </c>
      <c r="B9" s="509"/>
      <c r="C9" s="385"/>
      <c r="D9" s="385"/>
      <c r="E9" s="385"/>
      <c r="F9" s="385"/>
      <c r="G9" s="510"/>
    </row>
    <row r="10" spans="1:7">
      <c r="A10" s="511" t="s">
        <v>582</v>
      </c>
      <c r="B10" s="425"/>
      <c r="C10" s="389"/>
      <c r="D10" s="389"/>
      <c r="E10" s="389"/>
      <c r="F10" s="389"/>
      <c r="G10" s="424"/>
    </row>
    <row r="11" spans="1:7">
      <c r="A11" s="512" t="s">
        <v>583</v>
      </c>
      <c r="B11" s="425"/>
      <c r="C11" s="389"/>
      <c r="D11" s="389"/>
      <c r="E11" s="389"/>
      <c r="F11" s="389"/>
      <c r="G11" s="424"/>
    </row>
    <row r="12" spans="1:7">
      <c r="A12" s="238" t="s">
        <v>584</v>
      </c>
      <c r="B12" s="383" t="s">
        <v>83</v>
      </c>
      <c r="C12" s="367">
        <f>'[3]2025'!$C$38+'[3]2025'!$C$71+'[3]2025'!$C$111+'[3]2025'!$C$143+'[3]2025'!$C$181+'[3]2025'!$C$222+0</f>
        <v>29444777</v>
      </c>
      <c r="D12" s="367">
        <f>'[3]2025'!$C$264+'[3]2025'!$C$274+'[3]2025'!$C$286</f>
        <v>7891138</v>
      </c>
      <c r="E12" s="367">
        <f>'[3]2025'!$C$300+'[3]2025'!$C$313</f>
        <v>3040113</v>
      </c>
      <c r="F12" s="367">
        <v>0</v>
      </c>
      <c r="G12" s="369">
        <f>SUM(C12:F12)</f>
        <v>40376028</v>
      </c>
    </row>
    <row r="13" spans="1:7">
      <c r="A13" s="238" t="s">
        <v>585</v>
      </c>
      <c r="B13" s="383" t="s">
        <v>85</v>
      </c>
      <c r="C13" s="367">
        <f>'[3]2025'!$D$38+'[3]2025'!$D$71+'[3]2025'!$D$111+'[3]2025'!$D$143+'[3]2025'!$D$181+'[3]2025'!$D$222</f>
        <v>1464000</v>
      </c>
      <c r="D13" s="367">
        <f>'[3]2025'!$D$263+'[3]2025'!$D$274+'[3]2025'!$D$286</f>
        <v>504000</v>
      </c>
      <c r="E13" s="367">
        <f>'[3]2025'!$D$300+'[3]2025'!$D$313</f>
        <v>168000</v>
      </c>
      <c r="F13" s="367">
        <v>0</v>
      </c>
      <c r="G13" s="369">
        <f>SUM(C13:F13)</f>
        <v>2136000</v>
      </c>
    </row>
    <row r="14" spans="1:7">
      <c r="A14" s="238" t="s">
        <v>586</v>
      </c>
      <c r="B14" s="383" t="s">
        <v>87</v>
      </c>
      <c r="C14" s="367">
        <f>'[3]2025'!$F$38+'[3]2025'!$F$71+'[3]2025'!$F$111+'[3]2025'!$F$143+'[3]2025'!$F$181+'[3]2025'!$F$222</f>
        <v>1656000</v>
      </c>
      <c r="D14" s="367">
        <f>'[3]2025'!$F$264+'[3]2025'!$F$286</f>
        <v>163200</v>
      </c>
      <c r="E14" s="367">
        <f>'[3]2025'!$F$300+'[3]2025'!$F$313</f>
        <v>163200</v>
      </c>
      <c r="F14" s="367">
        <v>0</v>
      </c>
      <c r="G14" s="369">
        <f>SUM(C14:F14)</f>
        <v>1982400</v>
      </c>
    </row>
    <row r="15" spans="1:7">
      <c r="A15" s="238" t="s">
        <v>587</v>
      </c>
      <c r="B15" s="383" t="s">
        <v>89</v>
      </c>
      <c r="C15" s="367">
        <f>'[3]2025'!$F$38+'[3]2025'!$F$71+'[3]2025'!$F$111+'[3]2025'!$F$143+'[3]2025'!$F$181+'[3]2025'!$F$222</f>
        <v>1656000</v>
      </c>
      <c r="D15" s="367">
        <f>'[3]2025'!$F$264+'[3]2025'!$F$286</f>
        <v>163200</v>
      </c>
      <c r="E15" s="367">
        <f>'[3]2025'!$F$300+'[3]2025'!$F$313</f>
        <v>163200</v>
      </c>
      <c r="F15" s="367">
        <v>0</v>
      </c>
      <c r="G15" s="369">
        <f>SUM(C15:F15)</f>
        <v>1982400</v>
      </c>
    </row>
    <row r="16" spans="1:7">
      <c r="A16" s="238" t="s">
        <v>588</v>
      </c>
      <c r="B16" s="383" t="s">
        <v>91</v>
      </c>
      <c r="C16" s="367">
        <f>'[3]2025'!$E$38+'[3]2025'!$E$71+'[3]2025'!$E$111+'[3]2025'!$E$143+'[3]2025'!$E$181+'[3]2025'!$E$222</f>
        <v>427000</v>
      </c>
      <c r="D16" s="367">
        <f>'[3]2025'!$E$264+'[3]2025'!$E$274+'[3]2025'!$E$286</f>
        <v>147000</v>
      </c>
      <c r="E16" s="367">
        <f>'[3]2025'!$E$300+'[3]2025'!$E$314</f>
        <v>49000</v>
      </c>
      <c r="F16" s="367">
        <v>0</v>
      </c>
      <c r="G16" s="369">
        <f>SUM(C16:F16)</f>
        <v>623000</v>
      </c>
    </row>
    <row r="17" spans="1:7">
      <c r="A17" s="238" t="s">
        <v>589</v>
      </c>
      <c r="B17" s="383" t="s">
        <v>93</v>
      </c>
      <c r="C17" s="367">
        <v>0</v>
      </c>
      <c r="D17" s="367">
        <f>16*12000</f>
        <v>192000</v>
      </c>
      <c r="E17" s="367">
        <v>0</v>
      </c>
      <c r="F17" s="367">
        <v>0</v>
      </c>
      <c r="G17" s="369">
        <f>SUM(C17:F17)</f>
        <v>192000</v>
      </c>
    </row>
    <row r="18" spans="1:7">
      <c r="A18" s="238" t="s">
        <v>590</v>
      </c>
      <c r="B18" s="383" t="s">
        <v>95</v>
      </c>
      <c r="C18" s="367">
        <v>0</v>
      </c>
      <c r="D18" s="367">
        <f>650*14*12</f>
        <v>109200</v>
      </c>
      <c r="E18" s="367">
        <v>0</v>
      </c>
      <c r="F18" s="367">
        <v>0</v>
      </c>
      <c r="G18" s="369">
        <f>SUM(C18:F18)</f>
        <v>109200</v>
      </c>
    </row>
    <row r="19" spans="1:7">
      <c r="A19" s="238" t="s">
        <v>591</v>
      </c>
      <c r="B19" s="383" t="s">
        <v>97</v>
      </c>
      <c r="C19" s="367">
        <f>61*5000</f>
        <v>305000</v>
      </c>
      <c r="D19" s="367">
        <f>21*5000</f>
        <v>105000</v>
      </c>
      <c r="E19" s="367">
        <f>7*5000</f>
        <v>35000</v>
      </c>
      <c r="F19" s="367">
        <v>0</v>
      </c>
      <c r="G19" s="369">
        <f>SUM(C19:F19)</f>
        <v>445000</v>
      </c>
    </row>
    <row r="20" spans="1:7">
      <c r="A20" s="238" t="s">
        <v>592</v>
      </c>
      <c r="B20" s="383" t="s">
        <v>593</v>
      </c>
      <c r="C20" s="367">
        <f>61*20000</f>
        <v>1220000</v>
      </c>
      <c r="D20" s="367">
        <f>21*20000</f>
        <v>420000</v>
      </c>
      <c r="E20" s="367">
        <f>7*20000</f>
        <v>140000</v>
      </c>
      <c r="F20" s="367">
        <v>0</v>
      </c>
      <c r="G20" s="369">
        <f>SUM(C20:F20)</f>
        <v>1780000</v>
      </c>
    </row>
    <row r="21" spans="1:7">
      <c r="A21" s="238" t="s">
        <v>594</v>
      </c>
      <c r="B21" s="383" t="s">
        <v>101</v>
      </c>
      <c r="C21" s="367">
        <v>0</v>
      </c>
      <c r="D21" s="367">
        <f>'[3]2025'!$L$315</f>
        <v>971938</v>
      </c>
      <c r="E21" s="367">
        <v>0</v>
      </c>
      <c r="F21" s="367">
        <v>0</v>
      </c>
      <c r="G21" s="369">
        <f>SUM(C21:F21)</f>
        <v>971938</v>
      </c>
    </row>
    <row r="22" spans="1:7">
      <c r="A22" s="238" t="s">
        <v>595</v>
      </c>
      <c r="B22" s="383" t="s">
        <v>103</v>
      </c>
      <c r="C22" s="367">
        <f>'[3]2025'!$H$38+'[3]2025'!$H$71+'[3]2025'!$H$111+'[3]2025'!$H$143+'[3]2025'!$H$181+'[3]2025'!$H$222</f>
        <v>3140326</v>
      </c>
      <c r="D22" s="367">
        <f>'[3]2025'!$H$264+'[3]2025'!$H$274+'[3]2025'!$H$286</f>
        <v>677898</v>
      </c>
      <c r="E22" s="367">
        <f>'[3]2025'!$H$300+'[3]2025'!$H$313</f>
        <v>261822</v>
      </c>
      <c r="F22" s="367">
        <v>0</v>
      </c>
      <c r="G22" s="369">
        <f>SUM(C22:F22)</f>
        <v>4080046</v>
      </c>
    </row>
    <row r="23" spans="1:7">
      <c r="A23" s="238" t="s">
        <v>596</v>
      </c>
      <c r="B23" s="383" t="s">
        <v>105</v>
      </c>
      <c r="C23" s="367">
        <f>61*5000</f>
        <v>305000</v>
      </c>
      <c r="D23" s="367">
        <f>21*5000</f>
        <v>105000</v>
      </c>
      <c r="E23" s="367">
        <f>7*5000</f>
        <v>35000</v>
      </c>
      <c r="F23" s="367">
        <v>0</v>
      </c>
      <c r="G23" s="369">
        <f>SUM(C23:F23)</f>
        <v>445000</v>
      </c>
    </row>
    <row r="24" spans="1:7">
      <c r="A24" s="238" t="s">
        <v>597</v>
      </c>
      <c r="B24" s="383" t="s">
        <v>107</v>
      </c>
      <c r="C24" s="367">
        <f>'[3]2025'!$J$38+'[3]2025'!$J$71+'[3]2025'!$J$111+'[3]2025'!$J$143+'[3]2025'!$J$181+'[3]2025'!$J$222</f>
        <v>2410896</v>
      </c>
      <c r="D24" s="367">
        <f>'[3]2025'!$J$264+'[3]2025'!$J$274+'[3]2025'!$J$286</f>
        <v>647342</v>
      </c>
      <c r="E24" s="367">
        <f>'[3]2025'!$J$300+'[3]2025'!$J$313</f>
        <v>249192</v>
      </c>
      <c r="F24" s="367">
        <v>0</v>
      </c>
      <c r="G24" s="369">
        <f>SUM(C24:F24)</f>
        <v>3307430</v>
      </c>
    </row>
    <row r="25" spans="1:7">
      <c r="A25" s="238" t="s">
        <v>598</v>
      </c>
      <c r="B25" s="383" t="s">
        <v>109</v>
      </c>
      <c r="C25" s="367">
        <f>'[3]2025'!$M$38+'[3]2025'!$M$71+'[3]2025'!$M$111+'[3]2025'!$M$143+'[3]2025'!$M$181+'[3]2025'!$M$222</f>
        <v>3533377</v>
      </c>
      <c r="D25" s="367">
        <f>'[3]2025'!$M$264+'[3]2025'!$M$274+'[3]2025'!$M$286</f>
        <v>946940</v>
      </c>
      <c r="E25" s="367">
        <f>'[3]2025'!$M$300+'[3]2025'!$M$314</f>
        <v>364815</v>
      </c>
      <c r="F25" s="367">
        <v>0</v>
      </c>
      <c r="G25" s="369">
        <f>SUM(C25:F25)</f>
        <v>4845132</v>
      </c>
    </row>
    <row r="26" spans="1:7">
      <c r="A26" s="238" t="s">
        <v>599</v>
      </c>
      <c r="B26" s="383" t="s">
        <v>111</v>
      </c>
      <c r="C26" s="367">
        <f>61*2400</f>
        <v>146400</v>
      </c>
      <c r="D26" s="367">
        <f>21*2400</f>
        <v>50400</v>
      </c>
      <c r="E26" s="367">
        <f>7*2400</f>
        <v>16800</v>
      </c>
      <c r="F26" s="367">
        <v>0</v>
      </c>
      <c r="G26" s="369">
        <f>SUM(C26:F26)</f>
        <v>213600</v>
      </c>
    </row>
    <row r="27" spans="1:7">
      <c r="A27" s="238" t="s">
        <v>600</v>
      </c>
      <c r="B27" s="383" t="s">
        <v>113</v>
      </c>
      <c r="C27" s="367">
        <f>'[3]2025'!$O$38+'[3]2025'!$O$71+'[3]2025'!$O$111+'[3]2025'!$O$143+'[3]2025'!$O$181+'[3]2025'!$O$222</f>
        <v>736132</v>
      </c>
      <c r="D27" s="367">
        <f>'[3]2025'!$O$264+'[3]2025'!$O$274+'[3]2025'!$O$286</f>
        <v>197283</v>
      </c>
      <c r="E27" s="367">
        <f>'[3]2025'!$O$300+'[3]2025'!$O$313</f>
        <v>76003</v>
      </c>
      <c r="F27" s="367">
        <v>0</v>
      </c>
      <c r="G27" s="369">
        <f>SUM(C27:F27)</f>
        <v>1009418</v>
      </c>
    </row>
    <row r="28" spans="1:7">
      <c r="A28" s="238" t="s">
        <v>601</v>
      </c>
      <c r="B28" s="383" t="s">
        <v>115</v>
      </c>
      <c r="C28" s="367">
        <f>61*1200</f>
        <v>73200</v>
      </c>
      <c r="D28" s="367">
        <f>21*1200</f>
        <v>25200</v>
      </c>
      <c r="E28" s="367">
        <f>7*1200</f>
        <v>8400</v>
      </c>
      <c r="F28" s="367">
        <v>0</v>
      </c>
      <c r="G28" s="369">
        <f>SUM(C28:F28)</f>
        <v>106800</v>
      </c>
    </row>
    <row r="29" spans="1:7">
      <c r="A29" s="238" t="s">
        <v>602</v>
      </c>
      <c r="B29" s="383" t="s">
        <v>117</v>
      </c>
      <c r="C29" s="367">
        <f>'[3]2025'!$R$38+'[3]2025'!$R$71+'[3]2025'!$R$111+'[3]2025'!$R$143+'[3]2025'!$R$181+'[3]2025'!$R$222</f>
        <v>5003092</v>
      </c>
      <c r="D29" s="367">
        <f>'[3]2025'!$R$264</f>
        <v>291713</v>
      </c>
      <c r="E29" s="367">
        <v>0</v>
      </c>
      <c r="F29" s="367">
        <v>0</v>
      </c>
      <c r="G29" s="369">
        <f>SUM(C29:F29)</f>
        <v>5294805</v>
      </c>
    </row>
    <row r="30" spans="1:7" customHeight="1" ht="15.75">
      <c r="A30" s="513" t="s">
        <v>603</v>
      </c>
      <c r="B30" s="514" t="s">
        <v>119</v>
      </c>
      <c r="C30" s="367">
        <f>'[3]2025'!$Q$38+'[3]2025'!$Q$71+'[3]2025'!$Q$111+'[3]2025'!$Q$143+'[3]2025'!$Q$181+'[3]2025'!$Q$222</f>
        <v>452000</v>
      </c>
      <c r="D30" s="367">
        <f>'[3]2025'!$Q$264+'[3]2025'!$Q$274+'[3]2025'!$Q$286</f>
        <v>157000</v>
      </c>
      <c r="E30" s="367">
        <f>'[3]2025'!$Q$300+'[3]2025'!$Q$313</f>
        <v>49000</v>
      </c>
      <c r="F30" s="367">
        <v>0</v>
      </c>
      <c r="G30" s="369">
        <f>SUM(C30:F30)</f>
        <v>658000</v>
      </c>
    </row>
    <row r="31" spans="1:7" customHeight="1" ht="15.75">
      <c r="A31" s="515" t="s">
        <v>604</v>
      </c>
      <c r="B31" s="516"/>
      <c r="C31" s="370">
        <f>SUM(C12:C30)</f>
        <v>51973200</v>
      </c>
      <c r="D31" s="517">
        <f>SUM(D12:D30)</f>
        <v>13765452</v>
      </c>
      <c r="E31" s="517">
        <f>SUM(E12:E30)</f>
        <v>4819545</v>
      </c>
      <c r="F31" s="517">
        <f>SUM(F12:F29)</f>
        <v>0</v>
      </c>
      <c r="G31" s="518">
        <f>SUM(G12:G30)</f>
        <v>70558197</v>
      </c>
    </row>
    <row r="32" spans="1:7">
      <c r="A32" s="519"/>
      <c r="B32" s="388"/>
      <c r="C32" s="520"/>
      <c r="D32" s="520"/>
      <c r="E32" s="520"/>
      <c r="F32" s="520"/>
      <c r="G32" s="520"/>
    </row>
    <row r="33" spans="1:7" customHeight="1" ht="15.75">
      <c r="A33" s="521"/>
      <c r="B33" s="271"/>
      <c r="C33" s="261"/>
      <c r="D33" s="261"/>
      <c r="E33" s="261"/>
      <c r="F33" s="261"/>
      <c r="G33" s="261"/>
    </row>
    <row r="34" spans="1:7">
      <c r="A34" s="353" t="s">
        <v>4</v>
      </c>
      <c r="B34" s="354" t="s">
        <v>9</v>
      </c>
      <c r="C34" s="354" t="s">
        <v>576</v>
      </c>
      <c r="D34" s="522" t="s">
        <v>577</v>
      </c>
      <c r="E34" s="354" t="s">
        <v>578</v>
      </c>
      <c r="F34" s="354" t="s">
        <v>579</v>
      </c>
      <c r="G34" s="355" t="s">
        <v>13</v>
      </c>
    </row>
    <row r="35" spans="1:7" customHeight="1" ht="15.75">
      <c r="A35" s="506"/>
      <c r="B35" s="357" t="s">
        <v>14</v>
      </c>
      <c r="C35" s="357" t="s">
        <v>580</v>
      </c>
      <c r="D35" s="523" t="s">
        <v>580</v>
      </c>
      <c r="E35" s="357" t="s">
        <v>580</v>
      </c>
      <c r="F35" s="357" t="s">
        <v>580</v>
      </c>
      <c r="G35" s="358"/>
    </row>
    <row r="36" spans="1:7">
      <c r="A36" s="524" t="s">
        <v>605</v>
      </c>
      <c r="B36" s="361"/>
      <c r="C36" s="367"/>
      <c r="D36" s="367"/>
      <c r="E36" s="367"/>
      <c r="F36" s="367"/>
      <c r="G36" s="369"/>
    </row>
    <row r="37" spans="1:7">
      <c r="A37" s="238" t="s">
        <v>122</v>
      </c>
      <c r="B37" s="383" t="s">
        <v>123</v>
      </c>
      <c r="C37" s="367">
        <f>SUM('[4]2025 proposed'!$C$43:$M$43)</f>
        <v>3275040</v>
      </c>
      <c r="D37" s="367">
        <f>SUM('[4]2025 proposed'!$N$43:$O$43)</f>
        <v>350000</v>
      </c>
      <c r="E37" s="367">
        <f>SUM('[4]2025 proposed'!$P$43:$Q$43)</f>
        <v>180000</v>
      </c>
      <c r="F37" s="367">
        <v>0</v>
      </c>
      <c r="G37" s="369">
        <f>SUM(C37:F37)</f>
        <v>3805040</v>
      </c>
    </row>
    <row r="38" spans="1:7">
      <c r="A38" s="238" t="s">
        <v>124</v>
      </c>
      <c r="B38" s="383" t="s">
        <v>125</v>
      </c>
      <c r="C38" s="367">
        <f>SUM('[4]2025 proposed'!$C$44:$M$44)</f>
        <v>350000</v>
      </c>
      <c r="D38" s="367">
        <f>SUM('[4]2025 proposed'!$N$44:$O$44)</f>
        <v>0</v>
      </c>
      <c r="E38" s="367">
        <f>SUM('[4]2025 proposed'!$P$44:$Q$44)</f>
        <v>80000</v>
      </c>
      <c r="F38" s="367">
        <v>0</v>
      </c>
      <c r="G38" s="369">
        <f>SUM(C38:F38)</f>
        <v>430000</v>
      </c>
    </row>
    <row r="39" spans="1:7">
      <c r="A39" s="238" t="s">
        <v>126</v>
      </c>
      <c r="B39" s="383" t="s">
        <v>127</v>
      </c>
      <c r="C39" s="367">
        <f>SUM('[4]2025 proposed'!$C$45:$M$45)</f>
        <v>2284672.5</v>
      </c>
      <c r="D39" s="367">
        <f>SUM('[4]2025 proposed'!$N$45:$O$45)</f>
        <v>620000</v>
      </c>
      <c r="E39" s="367">
        <f>SUM('[4]2025 proposed'!$P$45:$Q$45)</f>
        <v>182000</v>
      </c>
      <c r="F39" s="367">
        <v>0</v>
      </c>
      <c r="G39" s="369">
        <f>SUM(C39:F39)</f>
        <v>3086672.5</v>
      </c>
    </row>
    <row r="40" spans="1:7">
      <c r="A40" s="238" t="s">
        <v>128</v>
      </c>
      <c r="B40" s="383" t="s">
        <v>129</v>
      </c>
      <c r="C40" s="367">
        <f>'[4]2025 proposed'!$L$58</f>
        <v>110000</v>
      </c>
      <c r="D40" s="367">
        <v>0</v>
      </c>
      <c r="E40" s="367">
        <v>0</v>
      </c>
      <c r="F40" s="367">
        <v>0</v>
      </c>
      <c r="G40" s="369">
        <f>SUM(C40:F40)</f>
        <v>110000</v>
      </c>
    </row>
    <row r="41" spans="1:7">
      <c r="A41" s="238" t="s">
        <v>407</v>
      </c>
      <c r="B41" s="383" t="s">
        <v>131</v>
      </c>
      <c r="C41" s="367">
        <v>0</v>
      </c>
      <c r="D41" s="367">
        <f>'[4]2025 proposed'!$N$46</f>
        <v>2500000</v>
      </c>
      <c r="E41" s="367">
        <v>0</v>
      </c>
      <c r="F41" s="367">
        <v>0</v>
      </c>
      <c r="G41" s="369">
        <f>SUM(C41:F41)</f>
        <v>2500000</v>
      </c>
    </row>
    <row r="42" spans="1:7">
      <c r="A42" s="238" t="s">
        <v>408</v>
      </c>
      <c r="B42" s="383" t="s">
        <v>133</v>
      </c>
      <c r="C42" s="367">
        <v>0</v>
      </c>
      <c r="D42" s="367">
        <f>'[4]2025 proposed'!$N$47</f>
        <v>150000</v>
      </c>
      <c r="E42" s="367">
        <v>0</v>
      </c>
      <c r="F42" s="367">
        <v>0</v>
      </c>
      <c r="G42" s="369">
        <f>SUM(C42:F42)</f>
        <v>150000</v>
      </c>
    </row>
    <row r="43" spans="1:7">
      <c r="A43" s="238" t="s">
        <v>134</v>
      </c>
      <c r="B43" s="383" t="s">
        <v>135</v>
      </c>
      <c r="C43" s="367">
        <f>'[4]2025 proposed'!$C$49+'[4]2025 proposed'!$E$49</f>
        <v>3300000</v>
      </c>
      <c r="D43" s="367">
        <f>'[4]2025 proposed'!$N$49</f>
        <v>150000</v>
      </c>
      <c r="E43" s="367">
        <v>0</v>
      </c>
      <c r="F43" s="367">
        <v>0</v>
      </c>
      <c r="G43" s="369">
        <f>SUM(C43:F43)</f>
        <v>3450000</v>
      </c>
    </row>
    <row r="44" spans="1:7">
      <c r="A44" s="525" t="s">
        <v>606</v>
      </c>
      <c r="B44" s="383" t="s">
        <v>137</v>
      </c>
      <c r="C44" s="367">
        <v>0</v>
      </c>
      <c r="D44" s="367">
        <f>'[4]2025 proposed'!$N$48</f>
        <v>300000</v>
      </c>
      <c r="E44" s="367">
        <v>0</v>
      </c>
      <c r="F44" s="367">
        <v>0</v>
      </c>
      <c r="G44" s="369">
        <f>SUM(C44:F44)</f>
        <v>300000</v>
      </c>
    </row>
    <row r="45" spans="1:7">
      <c r="A45" s="238" t="s">
        <v>138</v>
      </c>
      <c r="B45" s="383" t="s">
        <v>139</v>
      </c>
      <c r="C45" s="367">
        <f>'[4]2025 proposed'!$C$50</f>
        <v>1400000</v>
      </c>
      <c r="D45" s="367">
        <v>0</v>
      </c>
      <c r="E45" s="367">
        <v>0</v>
      </c>
      <c r="F45" s="367">
        <v>0</v>
      </c>
      <c r="G45" s="369">
        <f>SUM(C45:F45)</f>
        <v>1400000</v>
      </c>
    </row>
    <row r="46" spans="1:7">
      <c r="A46" s="238" t="s">
        <v>140</v>
      </c>
      <c r="B46" s="383" t="s">
        <v>141</v>
      </c>
      <c r="C46" s="367">
        <f>'[4]2025 proposed'!$C$51</f>
        <v>5500000</v>
      </c>
      <c r="D46" s="367">
        <v>0</v>
      </c>
      <c r="E46" s="367">
        <v>0</v>
      </c>
      <c r="F46" s="367">
        <v>0</v>
      </c>
      <c r="G46" s="369">
        <f>SUM(C46:F46)</f>
        <v>5500000</v>
      </c>
    </row>
    <row r="47" spans="1:7">
      <c r="A47" s="238" t="s">
        <v>142</v>
      </c>
      <c r="B47" s="383" t="s">
        <v>143</v>
      </c>
      <c r="C47" s="367">
        <f>SUM('[4]2025 proposed'!$C$52:$M$52)</f>
        <v>20500</v>
      </c>
      <c r="D47" s="367">
        <v>0</v>
      </c>
      <c r="E47" s="367">
        <v>0</v>
      </c>
      <c r="F47" s="367">
        <v>0</v>
      </c>
      <c r="G47" s="369">
        <f>SUM(C47:F47)</f>
        <v>20500</v>
      </c>
    </row>
    <row r="48" spans="1:7">
      <c r="A48" s="238" t="s">
        <v>607</v>
      </c>
      <c r="B48" s="383" t="s">
        <v>145</v>
      </c>
      <c r="C48" s="367">
        <f>SUM('[4]2025 proposed'!$C$53:$M$53)</f>
        <v>594000</v>
      </c>
      <c r="D48" s="367">
        <f>SUM('[4]2025 proposed'!$N$53:$O$53)</f>
        <v>48000</v>
      </c>
      <c r="E48" s="367">
        <f>SUM('[4]2025 proposed'!$N$53:$O$53)</f>
        <v>48000</v>
      </c>
      <c r="F48" s="367">
        <v>0</v>
      </c>
      <c r="G48" s="369">
        <f>SUM(C48:F48)</f>
        <v>690000</v>
      </c>
    </row>
    <row r="49" spans="1:7">
      <c r="A49" s="238" t="s">
        <v>146</v>
      </c>
      <c r="B49" s="383" t="s">
        <v>147</v>
      </c>
      <c r="C49" s="367">
        <f>SUM('[4]2025 proposed'!$C$54:$M$54)</f>
        <v>362000</v>
      </c>
      <c r="D49" s="367">
        <f>SUM('[4]2025 proposed'!$N$54:$O$54)</f>
        <v>50000</v>
      </c>
      <c r="E49" s="367">
        <f>SUM('[4]2025 proposed'!$P$54:$Q$54)</f>
        <v>60000</v>
      </c>
      <c r="F49" s="367">
        <v>0</v>
      </c>
      <c r="G49" s="369">
        <f>SUM(C49:F49)</f>
        <v>472000</v>
      </c>
    </row>
    <row r="50" spans="1:7">
      <c r="A50" s="238" t="s">
        <v>608</v>
      </c>
      <c r="B50" s="383" t="s">
        <v>149</v>
      </c>
      <c r="C50" s="367">
        <f>'[4]2025 proposed'!$C$55</f>
        <v>51874.56</v>
      </c>
      <c r="D50" s="367">
        <v>0</v>
      </c>
      <c r="E50" s="367">
        <v>0</v>
      </c>
      <c r="F50" s="367">
        <v>0</v>
      </c>
      <c r="G50" s="369">
        <f>SUM(C50:F50)</f>
        <v>51874.56</v>
      </c>
    </row>
    <row r="51" spans="1:7">
      <c r="A51" s="238" t="s">
        <v>150</v>
      </c>
      <c r="B51" s="383" t="s">
        <v>151</v>
      </c>
      <c r="C51" s="367">
        <f>'[4]2025 proposed'!$K$59</f>
        <v>80000</v>
      </c>
      <c r="D51" s="367">
        <v>0</v>
      </c>
      <c r="E51" s="367">
        <v>0</v>
      </c>
      <c r="F51" s="367">
        <v>0</v>
      </c>
      <c r="G51" s="369">
        <f>SUM(C51:F51)</f>
        <v>80000</v>
      </c>
    </row>
    <row r="52" spans="1:7">
      <c r="A52" s="238" t="s">
        <v>152</v>
      </c>
      <c r="B52" s="383" t="s">
        <v>153</v>
      </c>
      <c r="C52" s="367">
        <f>SUM('[4]2025 proposed'!$C$56:$E$56)</f>
        <v>450000</v>
      </c>
      <c r="D52" s="367">
        <v>0</v>
      </c>
      <c r="E52" s="367">
        <v>0</v>
      </c>
      <c r="F52" s="367">
        <v>0</v>
      </c>
      <c r="G52" s="369">
        <f>SUM(C52:F52)</f>
        <v>450000</v>
      </c>
    </row>
    <row r="53" spans="1:7">
      <c r="A53" s="238" t="s">
        <v>154</v>
      </c>
      <c r="B53" s="383" t="s">
        <v>155</v>
      </c>
      <c r="C53" s="367">
        <f>SUM('[4]2025 proposed'!$C$57:$M$57)</f>
        <v>8200000</v>
      </c>
      <c r="D53" s="367">
        <v>0</v>
      </c>
      <c r="E53" s="367">
        <v>0</v>
      </c>
      <c r="F53" s="367">
        <v>0</v>
      </c>
      <c r="G53" s="369">
        <f>SUM(C53:F53)</f>
        <v>8200000</v>
      </c>
    </row>
    <row r="54" spans="1:7">
      <c r="A54" s="238" t="s">
        <v>609</v>
      </c>
      <c r="B54" s="383" t="s">
        <v>157</v>
      </c>
      <c r="C54" s="367">
        <f>SUM('[4]2025 proposed'!$C$60:$M$60)</f>
        <v>359500</v>
      </c>
      <c r="D54" s="367">
        <f>SUM('[4]2025 proposed'!$N$60:$O$60)</f>
        <v>50000</v>
      </c>
      <c r="E54" s="367">
        <f>SUM('[4]2025 proposed'!$P$60:$Q$60)</f>
        <v>40000</v>
      </c>
      <c r="F54" s="367">
        <v>0</v>
      </c>
      <c r="G54" s="369">
        <f>SUM(C54:F54)</f>
        <v>449500</v>
      </c>
    </row>
    <row r="55" spans="1:7">
      <c r="A55" s="238" t="s">
        <v>610</v>
      </c>
      <c r="B55" s="383" t="s">
        <v>159</v>
      </c>
      <c r="C55" s="367">
        <f>SUM('[4]2025 proposed'!$C$61:$M$61)</f>
        <v>850000</v>
      </c>
      <c r="D55" s="367">
        <v>50000</v>
      </c>
      <c r="E55" s="367">
        <v>0</v>
      </c>
      <c r="F55" s="367">
        <v>0</v>
      </c>
      <c r="G55" s="369">
        <f>SUM(C55:F55)</f>
        <v>900000</v>
      </c>
    </row>
    <row r="56" spans="1:7">
      <c r="A56" s="238" t="s">
        <v>611</v>
      </c>
      <c r="B56" s="383" t="s">
        <v>161</v>
      </c>
      <c r="C56" s="367">
        <v>0</v>
      </c>
      <c r="D56" s="367">
        <f>'[4]2025 proposed'!$N$81</f>
        <v>250000</v>
      </c>
      <c r="E56" s="367">
        <f>'[4]2025 proposed'!$P$81</f>
        <v>152600</v>
      </c>
      <c r="F56" s="367">
        <v>0</v>
      </c>
      <c r="G56" s="369">
        <f>SUM(C56:F56)</f>
        <v>402600</v>
      </c>
    </row>
    <row r="57" spans="1:7">
      <c r="A57" s="238" t="s">
        <v>612</v>
      </c>
      <c r="B57" s="383" t="s">
        <v>163</v>
      </c>
      <c r="C57" s="367">
        <f>SUM('[4]2025 proposed'!$C$62:$M$62)</f>
        <v>180920</v>
      </c>
      <c r="D57" s="367">
        <v>0</v>
      </c>
      <c r="E57" s="367">
        <v>0</v>
      </c>
      <c r="F57" s="367">
        <v>0</v>
      </c>
      <c r="G57" s="369">
        <f>SUM(C57:F57)</f>
        <v>180920</v>
      </c>
    </row>
    <row r="58" spans="1:7">
      <c r="A58" s="238" t="s">
        <v>164</v>
      </c>
      <c r="B58" s="383" t="s">
        <v>165</v>
      </c>
      <c r="C58" s="367">
        <f>SUM('[4]2025 proposed'!$C$63:$M$63)</f>
        <v>530000</v>
      </c>
      <c r="D58" s="367">
        <v>0</v>
      </c>
      <c r="E58" s="367">
        <v>0</v>
      </c>
      <c r="F58" s="367">
        <v>0</v>
      </c>
      <c r="G58" s="369">
        <f>SUM(C58:F58)</f>
        <v>530000</v>
      </c>
    </row>
    <row r="59" spans="1:7">
      <c r="A59" s="238" t="s">
        <v>166</v>
      </c>
      <c r="B59" s="383" t="s">
        <v>167</v>
      </c>
      <c r="C59" s="367">
        <f>'[4]2025 proposed'!$R$64</f>
        <v>100000</v>
      </c>
      <c r="D59" s="367">
        <v>0</v>
      </c>
      <c r="E59" s="367">
        <v>0</v>
      </c>
      <c r="F59" s="367">
        <v>0</v>
      </c>
      <c r="G59" s="369">
        <f>SUM(C59:F59)</f>
        <v>100000</v>
      </c>
    </row>
    <row r="60" spans="1:7">
      <c r="A60" s="238" t="s">
        <v>365</v>
      </c>
      <c r="B60" s="383"/>
      <c r="C60" s="367">
        <v>200000</v>
      </c>
      <c r="D60" s="367">
        <v>0</v>
      </c>
      <c r="E60" s="367">
        <v>0</v>
      </c>
      <c r="F60" s="367">
        <v>0</v>
      </c>
      <c r="G60" s="369">
        <f>SUM(C60:F60)</f>
        <v>200000</v>
      </c>
    </row>
    <row r="61" spans="1:7">
      <c r="A61" s="238" t="s">
        <v>613</v>
      </c>
      <c r="B61" s="383" t="s">
        <v>170</v>
      </c>
      <c r="C61" s="367">
        <f>SUM('[4]2025 proposed'!$C$66:$M$66)</f>
        <v>5273518.26</v>
      </c>
      <c r="D61" s="367">
        <f>SUM('[4]2025 proposed'!$N$66:$O$66)</f>
        <v>769040</v>
      </c>
      <c r="E61" s="367">
        <f>SUM('[4]2025 proposed'!$P$66:$Q$66)</f>
        <v>102000</v>
      </c>
      <c r="F61" s="367">
        <v>0</v>
      </c>
      <c r="G61" s="369">
        <f>SUM(C61:F61)</f>
        <v>6144558.26</v>
      </c>
    </row>
    <row r="62" spans="1:7">
      <c r="A62" s="238" t="s">
        <v>421</v>
      </c>
      <c r="B62" s="383" t="s">
        <v>422</v>
      </c>
      <c r="C62" s="367">
        <v>0</v>
      </c>
      <c r="D62" s="367">
        <f>'[4]2025 proposed'!$O$67</f>
        <v>940000</v>
      </c>
      <c r="E62" s="367">
        <v>0</v>
      </c>
      <c r="F62" s="367">
        <v>0</v>
      </c>
      <c r="G62" s="369">
        <f>SUM(C62:F62)</f>
        <v>940000</v>
      </c>
    </row>
    <row r="63" spans="1:7">
      <c r="A63" s="238" t="s">
        <v>614</v>
      </c>
      <c r="B63" s="383" t="s">
        <v>424</v>
      </c>
      <c r="C63" s="367">
        <v>0</v>
      </c>
      <c r="D63" s="367">
        <v>1000000</v>
      </c>
      <c r="E63" s="367">
        <v>0</v>
      </c>
      <c r="F63" s="367">
        <v>0</v>
      </c>
      <c r="G63" s="369">
        <f>SUM(C63:F63)</f>
        <v>1000000</v>
      </c>
    </row>
    <row r="64" spans="1:7" customHeight="1" ht="15.75">
      <c r="A64" s="238" t="s">
        <v>615</v>
      </c>
      <c r="B64" s="383" t="s">
        <v>178</v>
      </c>
      <c r="C64" s="367">
        <v>0</v>
      </c>
      <c r="D64" s="367">
        <f>'[4]2025 proposed'!$O$70</f>
        <v>300000</v>
      </c>
      <c r="E64" s="367">
        <v>0</v>
      </c>
      <c r="F64" s="367">
        <v>0</v>
      </c>
      <c r="G64" s="369">
        <f>SUM(C64:F64)</f>
        <v>300000</v>
      </c>
    </row>
    <row r="65" spans="1:7" customHeight="1" ht="15.75">
      <c r="A65" s="526" t="s">
        <v>616</v>
      </c>
      <c r="B65" s="527"/>
      <c r="C65" s="370">
        <f>SUM(C37:C64)</f>
        <v>33472025.32</v>
      </c>
      <c r="D65" s="517">
        <f>SUM(D37:D64)</f>
        <v>7527040</v>
      </c>
      <c r="E65" s="370">
        <f>SUM(E37:E64)</f>
        <v>844600</v>
      </c>
      <c r="F65" s="370">
        <f>SUM(F37:F64)</f>
        <v>0</v>
      </c>
      <c r="G65" s="371">
        <f>SUM(G37:G64)</f>
        <v>41843665.32</v>
      </c>
    </row>
    <row r="66" spans="1:7">
      <c r="A66" s="528"/>
      <c r="B66" s="529"/>
      <c r="C66" s="530"/>
      <c r="D66" s="530"/>
      <c r="E66" s="530"/>
      <c r="F66" s="530"/>
      <c r="G66" s="530"/>
    </row>
    <row r="67" spans="1:7" customHeight="1" ht="15.75">
      <c r="A67" s="528"/>
      <c r="B67" s="529"/>
      <c r="C67" s="530"/>
      <c r="D67" s="530"/>
      <c r="E67" s="530"/>
      <c r="F67" s="530"/>
      <c r="G67" s="530"/>
    </row>
    <row r="68" spans="1:7">
      <c r="A68" s="353" t="s">
        <v>4</v>
      </c>
      <c r="B68" s="354" t="s">
        <v>9</v>
      </c>
      <c r="C68" s="354" t="s">
        <v>576</v>
      </c>
      <c r="D68" s="522" t="s">
        <v>577</v>
      </c>
      <c r="E68" s="354" t="s">
        <v>578</v>
      </c>
      <c r="F68" s="354" t="s">
        <v>579</v>
      </c>
      <c r="G68" s="355" t="s">
        <v>13</v>
      </c>
    </row>
    <row r="69" spans="1:7" customHeight="1" ht="15.75">
      <c r="A69" s="506"/>
      <c r="B69" s="357" t="s">
        <v>14</v>
      </c>
      <c r="C69" s="357" t="s">
        <v>580</v>
      </c>
      <c r="D69" s="523" t="s">
        <v>580</v>
      </c>
      <c r="E69" s="357" t="s">
        <v>580</v>
      </c>
      <c r="F69" s="357" t="s">
        <v>580</v>
      </c>
      <c r="G69" s="358"/>
    </row>
    <row r="70" spans="1:7">
      <c r="A70" s="238" t="s">
        <v>185</v>
      </c>
      <c r="B70" s="383" t="s">
        <v>186</v>
      </c>
      <c r="C70" s="367">
        <v>0</v>
      </c>
      <c r="D70" s="367">
        <v>100000</v>
      </c>
      <c r="E70" s="367">
        <v>0</v>
      </c>
      <c r="F70" s="367">
        <v>0</v>
      </c>
      <c r="G70" s="369">
        <f>SUM(C70:F70)</f>
        <v>100000</v>
      </c>
    </row>
    <row r="71" spans="1:7">
      <c r="A71" s="238" t="s">
        <v>617</v>
      </c>
      <c r="B71" s="383" t="s">
        <v>189</v>
      </c>
      <c r="C71" s="367">
        <v>0</v>
      </c>
      <c r="D71" s="367">
        <v>0</v>
      </c>
      <c r="E71" s="367">
        <v>30000</v>
      </c>
      <c r="F71" s="367">
        <v>0</v>
      </c>
      <c r="G71" s="369">
        <f>SUM(C71:F71)</f>
        <v>30000</v>
      </c>
    </row>
    <row r="72" spans="1:7">
      <c r="A72" s="238" t="s">
        <v>618</v>
      </c>
      <c r="B72" s="383" t="s">
        <v>191</v>
      </c>
      <c r="C72" s="367">
        <v>0</v>
      </c>
      <c r="D72" s="367">
        <v>0</v>
      </c>
      <c r="E72" s="367">
        <v>120000</v>
      </c>
      <c r="F72" s="367">
        <v>0</v>
      </c>
      <c r="G72" s="369">
        <f>SUM(C72:F72)</f>
        <v>120000</v>
      </c>
    </row>
    <row r="73" spans="1:7">
      <c r="A73" s="238" t="s">
        <v>619</v>
      </c>
      <c r="B73" s="383" t="s">
        <v>193</v>
      </c>
      <c r="C73" s="367">
        <v>0</v>
      </c>
      <c r="D73" s="367">
        <v>0</v>
      </c>
      <c r="E73" s="367">
        <v>900000</v>
      </c>
      <c r="F73" s="367">
        <v>0</v>
      </c>
      <c r="G73" s="369">
        <f>SUM(C73:F73)</f>
        <v>900000</v>
      </c>
    </row>
    <row r="74" spans="1:7">
      <c r="A74" s="238" t="s">
        <v>194</v>
      </c>
      <c r="B74" s="383" t="s">
        <v>195</v>
      </c>
      <c r="C74" s="367">
        <v>0</v>
      </c>
      <c r="D74" s="367">
        <v>0</v>
      </c>
      <c r="E74" s="367">
        <v>500000</v>
      </c>
      <c r="F74" s="367">
        <v>0</v>
      </c>
      <c r="G74" s="369">
        <f>SUM(C74:F74)</f>
        <v>500000</v>
      </c>
    </row>
    <row r="75" spans="1:7" customHeight="1" ht="15.75">
      <c r="A75" s="238" t="s">
        <v>620</v>
      </c>
      <c r="B75" s="383" t="s">
        <v>197</v>
      </c>
      <c r="C75" s="367">
        <v>0</v>
      </c>
      <c r="D75" s="367">
        <v>0</v>
      </c>
      <c r="E75" s="367">
        <v>1200000</v>
      </c>
      <c r="F75" s="367">
        <v>0</v>
      </c>
      <c r="G75" s="369">
        <f>SUM(C75:F75)</f>
        <v>1200000</v>
      </c>
    </row>
    <row r="76" spans="1:7" customHeight="1" ht="15.75">
      <c r="A76" s="531" t="s">
        <v>621</v>
      </c>
      <c r="B76" s="532"/>
      <c r="C76" s="370">
        <f>SUM(C70:C75)</f>
        <v>0</v>
      </c>
      <c r="D76" s="370">
        <f>SUM(D70:D75)</f>
        <v>100000</v>
      </c>
      <c r="E76" s="370">
        <f>SUM(E70:E75)</f>
        <v>2750000</v>
      </c>
      <c r="F76" s="370">
        <f>SUM(F65:F75)</f>
        <v>0</v>
      </c>
      <c r="G76" s="371">
        <f>SUM(G70:G75)</f>
        <v>2850000</v>
      </c>
    </row>
    <row r="77" spans="1:7" customHeight="1" ht="15.75">
      <c r="A77" s="512" t="s">
        <v>622</v>
      </c>
      <c r="B77" s="383" t="s">
        <v>184</v>
      </c>
      <c r="C77" s="370">
        <f>C65+C76</f>
        <v>33472025.32</v>
      </c>
      <c r="D77" s="370">
        <f>D65+D76</f>
        <v>7627040</v>
      </c>
      <c r="E77" s="370">
        <f>E65+E76</f>
        <v>3594600</v>
      </c>
      <c r="F77" s="370">
        <f>F65+F76</f>
        <v>0</v>
      </c>
      <c r="G77" s="371">
        <f>G65+G76</f>
        <v>44693665.32</v>
      </c>
    </row>
    <row r="78" spans="1:7">
      <c r="A78" s="512"/>
      <c r="B78" s="361"/>
      <c r="C78" s="378"/>
      <c r="D78" s="378"/>
      <c r="E78" s="378"/>
      <c r="F78" s="378"/>
      <c r="G78" s="379"/>
    </row>
    <row r="79" spans="1:7">
      <c r="A79" s="524" t="s">
        <v>623</v>
      </c>
      <c r="B79" s="361"/>
      <c r="C79" s="367"/>
      <c r="D79" s="367"/>
      <c r="E79" s="367"/>
      <c r="F79" s="367"/>
      <c r="G79" s="369"/>
    </row>
    <row r="80" spans="1:7">
      <c r="A80" s="238" t="s">
        <v>624</v>
      </c>
      <c r="B80" s="383" t="s">
        <v>209</v>
      </c>
      <c r="C80" s="367">
        <f>SUM('[4]2025 proposed'!$C$84:$M$84)</f>
        <v>1280000</v>
      </c>
      <c r="D80" s="367">
        <f>SUM('[4]2025 proposed'!$N$84:$O$84)</f>
        <v>950000</v>
      </c>
      <c r="E80" s="367">
        <f>SUM('[4]2025 proposed'!$P$84:$Q$84)</f>
        <v>321250</v>
      </c>
      <c r="F80" s="367">
        <v>0</v>
      </c>
      <c r="G80" s="369">
        <f>SUM(C80:F80)</f>
        <v>2551250</v>
      </c>
    </row>
    <row r="81" spans="1:7">
      <c r="A81" s="238" t="s">
        <v>625</v>
      </c>
      <c r="B81" s="383" t="s">
        <v>203</v>
      </c>
      <c r="C81" s="367">
        <v>0</v>
      </c>
      <c r="D81" s="367">
        <v>400000</v>
      </c>
      <c r="E81" s="367">
        <v>0</v>
      </c>
      <c r="F81" s="367">
        <v>0</v>
      </c>
      <c r="G81" s="369">
        <f>SUM(C81:F81)</f>
        <v>400000</v>
      </c>
    </row>
    <row r="82" spans="1:7" customHeight="1" ht="15.75">
      <c r="A82" s="219" t="s">
        <v>626</v>
      </c>
      <c r="B82" s="383" t="s">
        <v>429</v>
      </c>
      <c r="C82" s="367">
        <v>0</v>
      </c>
      <c r="D82" s="367">
        <v>1800000</v>
      </c>
      <c r="E82" s="367">
        <v>0</v>
      </c>
      <c r="F82" s="367">
        <v>0</v>
      </c>
      <c r="G82" s="369">
        <f>SUM(C82:F82)</f>
        <v>1800000</v>
      </c>
    </row>
    <row r="83" spans="1:7" customHeight="1" ht="15.75">
      <c r="A83" s="511" t="s">
        <v>214</v>
      </c>
      <c r="B83" s="361"/>
      <c r="C83" s="370">
        <f>SUM(C80:C82)</f>
        <v>1280000</v>
      </c>
      <c r="D83" s="370">
        <f>SUM(D80:D82)</f>
        <v>3150000</v>
      </c>
      <c r="E83" s="370">
        <f>SUM(E80:E82)</f>
        <v>321250</v>
      </c>
      <c r="F83" s="370">
        <f>SUM(F80:F82)</f>
        <v>0</v>
      </c>
      <c r="G83" s="371">
        <f>SUM(G80:G82)</f>
        <v>4751250</v>
      </c>
    </row>
    <row r="84" spans="1:7">
      <c r="A84" s="511"/>
      <c r="B84" s="361"/>
      <c r="C84" s="378"/>
      <c r="D84" s="378"/>
      <c r="E84" s="378"/>
      <c r="F84" s="378"/>
      <c r="G84" s="379"/>
    </row>
    <row r="85" spans="1:7">
      <c r="A85" s="511" t="s">
        <v>627</v>
      </c>
      <c r="B85" s="361"/>
      <c r="C85" s="356"/>
      <c r="D85" s="533"/>
      <c r="E85" s="356"/>
      <c r="F85" s="356"/>
      <c r="G85" s="365"/>
    </row>
    <row r="86" spans="1:7">
      <c r="A86" s="511" t="s">
        <v>628</v>
      </c>
      <c r="B86" s="361"/>
      <c r="C86" s="356"/>
      <c r="D86" s="533"/>
      <c r="E86" s="356"/>
      <c r="F86" s="356"/>
      <c r="G86" s="365"/>
    </row>
    <row r="87" spans="1:7">
      <c r="A87" s="404" t="s">
        <v>629</v>
      </c>
      <c r="B87" s="361">
        <v>8919</v>
      </c>
      <c r="C87" s="363">
        <v>0</v>
      </c>
      <c r="D87" s="534">
        <v>0</v>
      </c>
      <c r="E87" s="363">
        <v>34458787.24</v>
      </c>
      <c r="F87" s="363">
        <v>0</v>
      </c>
      <c r="G87" s="535">
        <f>SUM(C87:F87)</f>
        <v>34458787.24</v>
      </c>
    </row>
    <row r="88" spans="1:7">
      <c r="A88" s="404" t="s">
        <v>630</v>
      </c>
      <c r="B88" s="361">
        <v>9998</v>
      </c>
      <c r="C88" s="363">
        <v>0</v>
      </c>
      <c r="D88" s="534">
        <v>9274403.7</v>
      </c>
      <c r="E88" s="363">
        <v>0</v>
      </c>
      <c r="F88" s="363">
        <v>0</v>
      </c>
      <c r="G88" s="535">
        <f>SUM(C88:F88)</f>
        <v>9274403.7</v>
      </c>
    </row>
    <row r="89" spans="1:7">
      <c r="A89" s="404" t="s">
        <v>631</v>
      </c>
      <c r="B89" s="361">
        <v>9999</v>
      </c>
      <c r="C89" s="363">
        <v>0</v>
      </c>
      <c r="D89" s="534">
        <v>1719970.74</v>
      </c>
      <c r="E89" s="363">
        <v>0</v>
      </c>
      <c r="F89" s="363">
        <v>0</v>
      </c>
      <c r="G89" s="535">
        <f>SUM(C89:F89)</f>
        <v>1719970.74</v>
      </c>
    </row>
    <row r="90" spans="1:7" customHeight="1" ht="15.75">
      <c r="A90" s="404" t="s">
        <v>632</v>
      </c>
      <c r="B90" s="361">
        <v>9995</v>
      </c>
      <c r="C90" s="363">
        <v>0</v>
      </c>
      <c r="D90" s="534">
        <v>0</v>
      </c>
      <c r="E90" s="363">
        <v>0</v>
      </c>
      <c r="F90" s="363">
        <v>450000</v>
      </c>
      <c r="G90" s="535">
        <v>450000</v>
      </c>
    </row>
    <row r="91" spans="1:7" customHeight="1" ht="15.75">
      <c r="A91" s="536" t="s">
        <v>633</v>
      </c>
      <c r="B91" s="361"/>
      <c r="C91" s="366">
        <f>SUM(C87:C90)</f>
        <v>0</v>
      </c>
      <c r="D91" s="537">
        <f>SUM(D87:D90)</f>
        <v>10994374.44</v>
      </c>
      <c r="E91" s="366">
        <f>SUM(E87:E90)</f>
        <v>34458787.24</v>
      </c>
      <c r="F91" s="366">
        <f>SUM(F87:F90)</f>
        <v>450000</v>
      </c>
      <c r="G91" s="538">
        <f>SUM(G87:G90)</f>
        <v>45903161.68</v>
      </c>
    </row>
    <row r="92" spans="1:7">
      <c r="A92" s="511" t="s">
        <v>634</v>
      </c>
      <c r="B92" s="361"/>
      <c r="C92" s="367"/>
      <c r="D92" s="367"/>
      <c r="E92" s="367"/>
      <c r="F92" s="367"/>
      <c r="G92" s="369"/>
    </row>
    <row r="93" spans="1:7">
      <c r="A93" s="238" t="s">
        <v>635</v>
      </c>
      <c r="B93" s="383" t="s">
        <v>636</v>
      </c>
      <c r="C93" s="539">
        <v>1000000</v>
      </c>
      <c r="D93" s="367">
        <v>0</v>
      </c>
      <c r="E93" s="367">
        <v>0</v>
      </c>
      <c r="F93" s="367">
        <v>0</v>
      </c>
      <c r="G93" s="540">
        <f>SUM(C93:F93)</f>
        <v>1000000</v>
      </c>
    </row>
    <row r="94" spans="1:7">
      <c r="A94" s="541" t="s">
        <v>637</v>
      </c>
      <c r="B94" s="542" t="s">
        <v>638</v>
      </c>
      <c r="C94" s="543">
        <v>100000</v>
      </c>
      <c r="D94" s="367">
        <v>0</v>
      </c>
      <c r="E94" s="367">
        <v>0</v>
      </c>
      <c r="F94" s="367">
        <v>0</v>
      </c>
      <c r="G94" s="540">
        <f>SUM(C94:F94)</f>
        <v>100000</v>
      </c>
    </row>
    <row r="95" spans="1:7">
      <c r="A95" s="541" t="s">
        <v>639</v>
      </c>
      <c r="B95" s="542" t="s">
        <v>640</v>
      </c>
      <c r="C95" s="543">
        <v>200000</v>
      </c>
      <c r="D95" s="367">
        <v>0</v>
      </c>
      <c r="E95" s="367">
        <v>0</v>
      </c>
      <c r="F95" s="367">
        <v>0</v>
      </c>
      <c r="G95" s="540">
        <f>SUM(C95:F95)</f>
        <v>200000</v>
      </c>
    </row>
    <row r="96" spans="1:7">
      <c r="A96" s="238" t="s">
        <v>641</v>
      </c>
      <c r="B96" s="383" t="s">
        <v>235</v>
      </c>
      <c r="C96" s="539">
        <v>200000</v>
      </c>
      <c r="D96" s="367">
        <v>0</v>
      </c>
      <c r="E96" s="367">
        <v>0</v>
      </c>
      <c r="F96" s="367">
        <v>0</v>
      </c>
      <c r="G96" s="540">
        <f>SUM(C96:F96)</f>
        <v>200000</v>
      </c>
    </row>
    <row r="97" spans="1:7">
      <c r="A97" s="238" t="s">
        <v>642</v>
      </c>
      <c r="B97" s="383" t="s">
        <v>237</v>
      </c>
      <c r="C97" s="539">
        <v>300000</v>
      </c>
      <c r="D97" s="367">
        <v>0</v>
      </c>
      <c r="E97" s="367">
        <v>0</v>
      </c>
      <c r="F97" s="367">
        <v>0</v>
      </c>
      <c r="G97" s="540">
        <f>SUM(C97:F97)</f>
        <v>300000</v>
      </c>
    </row>
    <row r="98" spans="1:7" customHeight="1" ht="15.75">
      <c r="A98" s="238" t="s">
        <v>643</v>
      </c>
      <c r="B98" s="383" t="s">
        <v>239</v>
      </c>
      <c r="C98" s="539">
        <v>800000</v>
      </c>
      <c r="D98" s="367">
        <v>0</v>
      </c>
      <c r="E98" s="367">
        <v>0</v>
      </c>
      <c r="F98" s="367">
        <v>0</v>
      </c>
      <c r="G98" s="540">
        <f>SUM(C98:F98)</f>
        <v>800000</v>
      </c>
    </row>
    <row r="99" spans="1:7" customHeight="1" ht="15.75">
      <c r="A99" s="531" t="s">
        <v>621</v>
      </c>
      <c r="B99" s="532"/>
      <c r="C99" s="370">
        <f>SUM(C93:C98)</f>
        <v>2600000</v>
      </c>
      <c r="D99" s="370">
        <f>SUM(D93:D98)</f>
        <v>0</v>
      </c>
      <c r="E99" s="370">
        <f>SUM(E93:E98)</f>
        <v>0</v>
      </c>
      <c r="F99" s="370">
        <f>SUM(F93:F98)</f>
        <v>0</v>
      </c>
      <c r="G99" s="371">
        <f>SUM(G93:G98)</f>
        <v>2600000</v>
      </c>
    </row>
    <row r="100" spans="1:7" customHeight="1" ht="15.75">
      <c r="A100" s="526" t="s">
        <v>616</v>
      </c>
      <c r="B100" s="527"/>
      <c r="C100" s="370">
        <f>C76+C83+C91+C99</f>
        <v>3880000</v>
      </c>
      <c r="D100" s="517">
        <f>D76+D83+D91+D99</f>
        <v>14244374.44</v>
      </c>
      <c r="E100" s="517">
        <f>E76+E83+E91+E99</f>
        <v>37530037.24</v>
      </c>
      <c r="F100" s="517">
        <f>F76+F83+F91+F99</f>
        <v>450000</v>
      </c>
      <c r="G100" s="518">
        <f>G76+G83+G91+G99</f>
        <v>56104411.68</v>
      </c>
    </row>
    <row r="101" spans="1:7" customHeight="1" ht="15.75">
      <c r="A101" s="544"/>
      <c r="B101" s="544"/>
      <c r="C101" s="373"/>
      <c r="D101" s="373"/>
      <c r="E101" s="373"/>
      <c r="F101" s="373"/>
      <c r="G101" s="373"/>
    </row>
    <row r="102" spans="1:7" customHeight="1" ht="15.75">
      <c r="A102" s="545" t="s">
        <v>4</v>
      </c>
      <c r="B102" s="546" t="s">
        <v>9</v>
      </c>
      <c r="C102" s="546" t="s">
        <v>576</v>
      </c>
      <c r="D102" s="547" t="s">
        <v>577</v>
      </c>
      <c r="E102" s="546" t="s">
        <v>578</v>
      </c>
      <c r="F102" s="546" t="s">
        <v>579</v>
      </c>
      <c r="G102" s="548" t="s">
        <v>13</v>
      </c>
    </row>
    <row r="103" spans="1:7" customHeight="1" ht="15.75">
      <c r="A103" s="506"/>
      <c r="B103" s="357" t="s">
        <v>14</v>
      </c>
      <c r="C103" s="357" t="s">
        <v>580</v>
      </c>
      <c r="D103" s="523" t="s">
        <v>580</v>
      </c>
      <c r="E103" s="357" t="s">
        <v>580</v>
      </c>
      <c r="F103" s="357" t="s">
        <v>580</v>
      </c>
      <c r="G103" s="358"/>
    </row>
    <row r="104" spans="1:7">
      <c r="A104" s="238" t="s">
        <v>644</v>
      </c>
      <c r="B104" s="383" t="s">
        <v>241</v>
      </c>
      <c r="C104" s="367">
        <v>50000</v>
      </c>
      <c r="D104" s="367">
        <v>0</v>
      </c>
      <c r="E104" s="367">
        <v>0</v>
      </c>
      <c r="F104" s="367">
        <v>0</v>
      </c>
      <c r="G104" s="549">
        <f>SUM(C104:F104)</f>
        <v>50000</v>
      </c>
    </row>
    <row r="105" spans="1:7">
      <c r="A105" s="238" t="s">
        <v>645</v>
      </c>
      <c r="B105" s="383" t="s">
        <v>243</v>
      </c>
      <c r="C105" s="367">
        <v>0</v>
      </c>
      <c r="D105" s="367">
        <v>2000000</v>
      </c>
      <c r="E105" s="367">
        <v>0</v>
      </c>
      <c r="F105" s="367">
        <v>0</v>
      </c>
      <c r="G105" s="549">
        <f>SUM(C105:F105)</f>
        <v>2000000</v>
      </c>
    </row>
    <row r="106" spans="1:7">
      <c r="A106" s="238" t="s">
        <v>646</v>
      </c>
      <c r="B106" s="383" t="s">
        <v>245</v>
      </c>
      <c r="C106" s="367">
        <v>0</v>
      </c>
      <c r="D106" s="367">
        <v>1200000</v>
      </c>
      <c r="E106" s="367">
        <v>0</v>
      </c>
      <c r="F106" s="367">
        <v>0</v>
      </c>
      <c r="G106" s="549">
        <f>SUM(C106:F106)</f>
        <v>1200000</v>
      </c>
    </row>
    <row r="107" spans="1:7">
      <c r="A107" s="238" t="s">
        <v>647</v>
      </c>
      <c r="B107" s="383" t="s">
        <v>247</v>
      </c>
      <c r="C107" s="367">
        <v>0</v>
      </c>
      <c r="D107" s="367">
        <v>200000</v>
      </c>
      <c r="E107" s="367">
        <v>0</v>
      </c>
      <c r="F107" s="367">
        <v>0</v>
      </c>
      <c r="G107" s="549">
        <f>SUM(C107:F107)</f>
        <v>200000</v>
      </c>
    </row>
    <row r="108" spans="1:7">
      <c r="A108" s="238" t="s">
        <v>648</v>
      </c>
      <c r="B108" s="383" t="s">
        <v>249</v>
      </c>
      <c r="C108" s="367">
        <v>200000</v>
      </c>
      <c r="D108" s="367">
        <v>0</v>
      </c>
      <c r="E108" s="367">
        <v>0</v>
      </c>
      <c r="F108" s="367">
        <v>0</v>
      </c>
      <c r="G108" s="549">
        <f>SUM(C108:F108)</f>
        <v>200000</v>
      </c>
    </row>
    <row r="109" spans="1:7">
      <c r="A109" s="238" t="s">
        <v>649</v>
      </c>
      <c r="B109" s="383" t="s">
        <v>251</v>
      </c>
      <c r="C109" s="367">
        <v>100000</v>
      </c>
      <c r="D109" s="367">
        <v>0</v>
      </c>
      <c r="E109" s="367">
        <v>0</v>
      </c>
      <c r="F109" s="367">
        <v>0</v>
      </c>
      <c r="G109" s="549">
        <f>SUM(C109:F109)</f>
        <v>100000</v>
      </c>
    </row>
    <row r="110" spans="1:7">
      <c r="A110" s="238" t="s">
        <v>650</v>
      </c>
      <c r="B110" s="383" t="s">
        <v>253</v>
      </c>
      <c r="C110" s="367">
        <v>200000</v>
      </c>
      <c r="D110" s="367">
        <v>0</v>
      </c>
      <c r="E110" s="367">
        <v>0</v>
      </c>
      <c r="F110" s="367">
        <v>0</v>
      </c>
      <c r="G110" s="549">
        <f>SUM(C110:F110)</f>
        <v>200000</v>
      </c>
    </row>
    <row r="111" spans="1:7">
      <c r="A111" s="238" t="s">
        <v>651</v>
      </c>
      <c r="B111" s="383" t="s">
        <v>255</v>
      </c>
      <c r="C111" s="367">
        <v>36000</v>
      </c>
      <c r="D111" s="367">
        <v>0</v>
      </c>
      <c r="E111" s="367">
        <v>0</v>
      </c>
      <c r="F111" s="367">
        <v>0</v>
      </c>
      <c r="G111" s="549">
        <f>SUM(C111:F111)</f>
        <v>36000</v>
      </c>
    </row>
    <row r="112" spans="1:7">
      <c r="A112" s="238" t="s">
        <v>652</v>
      </c>
      <c r="B112" s="383" t="s">
        <v>257</v>
      </c>
      <c r="C112" s="367">
        <v>60000</v>
      </c>
      <c r="D112" s="367">
        <v>0</v>
      </c>
      <c r="E112" s="367">
        <v>0</v>
      </c>
      <c r="F112" s="367">
        <v>0</v>
      </c>
      <c r="G112" s="549">
        <f>SUM(C112:F112)</f>
        <v>60000</v>
      </c>
    </row>
    <row r="113" spans="1:7">
      <c r="A113" s="238" t="s">
        <v>653</v>
      </c>
      <c r="B113" s="383" t="s">
        <v>259</v>
      </c>
      <c r="C113" s="367">
        <v>0</v>
      </c>
      <c r="D113" s="367">
        <v>0</v>
      </c>
      <c r="E113" s="367">
        <v>0</v>
      </c>
      <c r="F113" s="367">
        <v>30000</v>
      </c>
      <c r="G113" s="549">
        <f>SUM(C113:F113)</f>
        <v>30000</v>
      </c>
    </row>
    <row r="114" spans="1:7">
      <c r="A114" s="238" t="s">
        <v>654</v>
      </c>
      <c r="B114" s="383" t="s">
        <v>261</v>
      </c>
      <c r="C114" s="367">
        <v>0</v>
      </c>
      <c r="D114" s="367">
        <v>0</v>
      </c>
      <c r="E114" s="367">
        <v>0</v>
      </c>
      <c r="F114" s="367">
        <v>50000</v>
      </c>
      <c r="G114" s="549">
        <f>SUM(C114:F114)</f>
        <v>50000</v>
      </c>
    </row>
    <row r="115" spans="1:7">
      <c r="A115" s="238" t="s">
        <v>655</v>
      </c>
      <c r="B115" s="383" t="s">
        <v>263</v>
      </c>
      <c r="C115" s="367">
        <v>0</v>
      </c>
      <c r="D115" s="367">
        <v>50000</v>
      </c>
      <c r="E115" s="367">
        <v>0</v>
      </c>
      <c r="F115" s="367">
        <v>0</v>
      </c>
      <c r="G115" s="549">
        <f>SUM(C115:F115)</f>
        <v>50000</v>
      </c>
    </row>
    <row r="116" spans="1:7">
      <c r="A116" s="238" t="s">
        <v>656</v>
      </c>
      <c r="B116" s="383" t="s">
        <v>456</v>
      </c>
      <c r="C116" s="367">
        <v>0</v>
      </c>
      <c r="D116" s="367">
        <v>30000</v>
      </c>
      <c r="E116" s="367">
        <v>0</v>
      </c>
      <c r="F116" s="367">
        <v>0</v>
      </c>
      <c r="G116" s="549">
        <f>SUM(C116:F116)</f>
        <v>30000</v>
      </c>
    </row>
    <row r="117" spans="1:7">
      <c r="A117" s="238" t="s">
        <v>657</v>
      </c>
      <c r="B117" s="383" t="s">
        <v>454</v>
      </c>
      <c r="C117" s="367">
        <v>0</v>
      </c>
      <c r="D117" s="367">
        <v>30000</v>
      </c>
      <c r="E117" s="367">
        <v>0</v>
      </c>
      <c r="F117" s="367">
        <v>0</v>
      </c>
      <c r="G117" s="549">
        <f>SUM(C117:F117)</f>
        <v>30000</v>
      </c>
    </row>
    <row r="118" spans="1:7">
      <c r="A118" s="238" t="s">
        <v>658</v>
      </c>
      <c r="B118" s="383" t="s">
        <v>271</v>
      </c>
      <c r="C118" s="367">
        <v>0</v>
      </c>
      <c r="D118" s="367">
        <v>0</v>
      </c>
      <c r="E118" s="367">
        <v>0</v>
      </c>
      <c r="F118" s="367">
        <v>352000</v>
      </c>
      <c r="G118" s="549">
        <f>SUM(C118:F118)</f>
        <v>352000</v>
      </c>
    </row>
    <row r="119" spans="1:7">
      <c r="A119" s="238" t="s">
        <v>659</v>
      </c>
      <c r="B119" s="383" t="s">
        <v>273</v>
      </c>
      <c r="C119" s="367">
        <v>0</v>
      </c>
      <c r="D119" s="367">
        <v>2000000</v>
      </c>
      <c r="E119" s="367">
        <v>0</v>
      </c>
      <c r="F119" s="367">
        <v>0</v>
      </c>
      <c r="G119" s="549">
        <f>SUM(C119:F119)</f>
        <v>2000000</v>
      </c>
    </row>
    <row r="120" spans="1:7">
      <c r="A120" s="238" t="s">
        <v>660</v>
      </c>
      <c r="B120" s="383" t="s">
        <v>422</v>
      </c>
      <c r="C120" s="367">
        <v>0</v>
      </c>
      <c r="D120" s="367">
        <v>1000000</v>
      </c>
      <c r="E120" s="367">
        <v>0</v>
      </c>
      <c r="F120" s="367">
        <v>0</v>
      </c>
      <c r="G120" s="549">
        <f>SUM(C120:F120)</f>
        <v>1000000</v>
      </c>
    </row>
    <row r="121" spans="1:7">
      <c r="A121" s="238" t="s">
        <v>661</v>
      </c>
      <c r="B121" s="383" t="s">
        <v>424</v>
      </c>
      <c r="C121" s="367">
        <v>0</v>
      </c>
      <c r="D121" s="367">
        <v>600000</v>
      </c>
      <c r="E121" s="367">
        <v>0</v>
      </c>
      <c r="F121" s="367">
        <v>0</v>
      </c>
      <c r="G121" s="549">
        <f>SUM(C121:F121)</f>
        <v>600000</v>
      </c>
    </row>
    <row r="122" spans="1:7">
      <c r="A122" s="238" t="s">
        <v>662</v>
      </c>
      <c r="B122" s="383" t="s">
        <v>297</v>
      </c>
      <c r="C122" s="367">
        <v>0</v>
      </c>
      <c r="D122" s="367">
        <v>1200000</v>
      </c>
      <c r="E122" s="367">
        <v>0</v>
      </c>
      <c r="F122" s="367">
        <v>0</v>
      </c>
      <c r="G122" s="549">
        <f>SUM(C122:F122)</f>
        <v>1200000</v>
      </c>
    </row>
    <row r="123" spans="1:7">
      <c r="A123" s="238" t="s">
        <v>663</v>
      </c>
      <c r="B123" s="383" t="s">
        <v>299</v>
      </c>
      <c r="C123" s="367">
        <v>21000</v>
      </c>
      <c r="D123" s="367">
        <v>0</v>
      </c>
      <c r="E123" s="367">
        <v>0</v>
      </c>
      <c r="F123" s="367">
        <v>0</v>
      </c>
      <c r="G123" s="549">
        <f>SUM(C123:F123)</f>
        <v>21000</v>
      </c>
    </row>
    <row r="124" spans="1:7">
      <c r="A124" s="238" t="s">
        <v>664</v>
      </c>
      <c r="B124" s="383" t="s">
        <v>301</v>
      </c>
      <c r="C124" s="367">
        <v>0</v>
      </c>
      <c r="D124" s="367">
        <v>500000</v>
      </c>
      <c r="E124" s="367">
        <v>0</v>
      </c>
      <c r="F124" s="367">
        <v>0</v>
      </c>
      <c r="G124" s="549">
        <f>SUM(C124:F124)</f>
        <v>500000</v>
      </c>
    </row>
    <row r="125" spans="1:7">
      <c r="A125" s="238" t="s">
        <v>665</v>
      </c>
      <c r="B125" s="383" t="s">
        <v>303</v>
      </c>
      <c r="C125" s="367">
        <v>0</v>
      </c>
      <c r="D125" s="367">
        <v>1000000</v>
      </c>
      <c r="E125" s="367">
        <v>0</v>
      </c>
      <c r="F125" s="367">
        <v>0</v>
      </c>
      <c r="G125" s="549">
        <f>SUM(C125:F125)</f>
        <v>1000000</v>
      </c>
    </row>
    <row r="126" spans="1:7">
      <c r="A126" s="238" t="s">
        <v>666</v>
      </c>
      <c r="B126" s="383" t="s">
        <v>305</v>
      </c>
      <c r="C126" s="367">
        <v>0</v>
      </c>
      <c r="D126" s="367">
        <v>0</v>
      </c>
      <c r="E126" s="367">
        <v>0</v>
      </c>
      <c r="F126" s="367">
        <v>2000000</v>
      </c>
      <c r="G126" s="549">
        <f>SUM(C126:F126)</f>
        <v>2000000</v>
      </c>
    </row>
    <row r="127" spans="1:7">
      <c r="A127" s="238" t="s">
        <v>667</v>
      </c>
      <c r="B127" s="383" t="s">
        <v>275</v>
      </c>
      <c r="C127" s="367">
        <v>0</v>
      </c>
      <c r="D127" s="367">
        <v>0</v>
      </c>
      <c r="E127" s="367">
        <v>0</v>
      </c>
      <c r="F127" s="367">
        <v>20000</v>
      </c>
      <c r="G127" s="549">
        <f>SUM(C127:F127)</f>
        <v>20000</v>
      </c>
    </row>
    <row r="128" spans="1:7">
      <c r="A128" s="238" t="s">
        <v>668</v>
      </c>
      <c r="B128" s="383" t="s">
        <v>277</v>
      </c>
      <c r="C128" s="367">
        <v>0</v>
      </c>
      <c r="D128" s="367">
        <v>0</v>
      </c>
      <c r="E128" s="367">
        <v>500000</v>
      </c>
      <c r="F128" s="367">
        <v>0</v>
      </c>
      <c r="G128" s="549">
        <f>SUM(C128:F128)</f>
        <v>500000</v>
      </c>
    </row>
    <row r="129" spans="1:7">
      <c r="A129" s="238" t="s">
        <v>669</v>
      </c>
      <c r="B129" s="383" t="s">
        <v>279</v>
      </c>
      <c r="C129" s="367">
        <v>0</v>
      </c>
      <c r="D129" s="367">
        <v>0</v>
      </c>
      <c r="E129" s="367">
        <v>0</v>
      </c>
      <c r="F129" s="367">
        <v>52800</v>
      </c>
      <c r="G129" s="549">
        <f>SUM(C129:F129)</f>
        <v>52800</v>
      </c>
    </row>
    <row r="130" spans="1:7">
      <c r="A130" s="238" t="s">
        <v>670</v>
      </c>
      <c r="B130" s="383" t="s">
        <v>281</v>
      </c>
      <c r="C130" s="367">
        <v>0</v>
      </c>
      <c r="D130" s="367">
        <v>150000</v>
      </c>
      <c r="E130" s="367">
        <v>0</v>
      </c>
      <c r="F130" s="367">
        <v>0</v>
      </c>
      <c r="G130" s="549">
        <f>SUM(C130:F130)</f>
        <v>150000</v>
      </c>
    </row>
    <row r="131" spans="1:7" customHeight="1" ht="15.75">
      <c r="A131" s="238" t="s">
        <v>671</v>
      </c>
      <c r="B131" s="383" t="s">
        <v>307</v>
      </c>
      <c r="C131" s="367">
        <v>0</v>
      </c>
      <c r="D131" s="367">
        <v>500000</v>
      </c>
      <c r="E131" s="367">
        <v>0</v>
      </c>
      <c r="F131" s="367">
        <v>0</v>
      </c>
      <c r="G131" s="549">
        <f>SUM(C131:F131)</f>
        <v>500000</v>
      </c>
    </row>
    <row r="132" spans="1:7" customHeight="1" ht="15.75">
      <c r="A132" s="550" t="s">
        <v>672</v>
      </c>
      <c r="B132" s="514"/>
      <c r="C132" s="370">
        <f>SUM(C104:C131)</f>
        <v>667000</v>
      </c>
      <c r="D132" s="370">
        <f>SUM(D104:D131)</f>
        <v>10460000</v>
      </c>
      <c r="E132" s="370">
        <f>SUM(E104:E131)</f>
        <v>500000</v>
      </c>
      <c r="F132" s="370">
        <f>SUM(F104:F131)</f>
        <v>2504800</v>
      </c>
      <c r="G132" s="371">
        <f>SUM(G104:G131)</f>
        <v>14131800</v>
      </c>
    </row>
    <row r="133" spans="1:7">
      <c r="A133" s="528"/>
      <c r="B133" s="529"/>
      <c r="C133" s="530"/>
      <c r="D133" s="530"/>
      <c r="E133" s="530"/>
      <c r="F133" s="530"/>
      <c r="G133" s="530"/>
    </row>
    <row r="134" spans="1:7">
      <c r="A134" s="528"/>
      <c r="B134" s="529"/>
      <c r="C134" s="530"/>
      <c r="D134" s="530"/>
      <c r="E134" s="530"/>
      <c r="F134" s="530"/>
      <c r="G134" s="530"/>
    </row>
    <row r="135" spans="1:7">
      <c r="A135" s="528"/>
      <c r="B135" s="529"/>
      <c r="C135" s="530"/>
      <c r="D135" s="530"/>
      <c r="E135" s="530"/>
      <c r="F135" s="530"/>
      <c r="G135" s="530"/>
    </row>
    <row r="136" spans="1:7" customHeight="1" ht="15.75">
      <c r="A136" s="528"/>
      <c r="B136" s="529"/>
      <c r="C136" s="530"/>
      <c r="D136" s="530"/>
      <c r="E136" s="530"/>
      <c r="F136" s="530"/>
      <c r="G136" s="530"/>
    </row>
    <row r="137" spans="1:7">
      <c r="A137" s="353" t="s">
        <v>4</v>
      </c>
      <c r="B137" s="354" t="s">
        <v>9</v>
      </c>
      <c r="C137" s="354" t="s">
        <v>576</v>
      </c>
      <c r="D137" s="522" t="s">
        <v>577</v>
      </c>
      <c r="E137" s="354" t="s">
        <v>578</v>
      </c>
      <c r="F137" s="354" t="s">
        <v>579</v>
      </c>
      <c r="G137" s="355" t="s">
        <v>13</v>
      </c>
    </row>
    <row r="138" spans="1:7" customHeight="1" ht="15.75">
      <c r="A138" s="506"/>
      <c r="B138" s="357" t="s">
        <v>14</v>
      </c>
      <c r="C138" s="357" t="s">
        <v>580</v>
      </c>
      <c r="D138" s="523" t="s">
        <v>580</v>
      </c>
      <c r="E138" s="357" t="s">
        <v>580</v>
      </c>
      <c r="F138" s="357" t="s">
        <v>580</v>
      </c>
      <c r="G138" s="358"/>
    </row>
    <row r="139" spans="1:7">
      <c r="A139" s="238" t="s">
        <v>673</v>
      </c>
      <c r="B139" s="383" t="s">
        <v>309</v>
      </c>
      <c r="C139" s="367">
        <v>0</v>
      </c>
      <c r="D139" s="367">
        <v>100000</v>
      </c>
      <c r="E139" s="367">
        <v>0</v>
      </c>
      <c r="F139" s="367">
        <v>0</v>
      </c>
      <c r="G139" s="369">
        <f>SUM(C139:F139)</f>
        <v>100000</v>
      </c>
    </row>
    <row r="140" spans="1:7">
      <c r="A140" s="238" t="s">
        <v>674</v>
      </c>
      <c r="B140" s="383" t="s">
        <v>294</v>
      </c>
      <c r="C140" s="367">
        <v>150000</v>
      </c>
      <c r="D140" s="367">
        <v>0</v>
      </c>
      <c r="E140" s="367">
        <v>0</v>
      </c>
      <c r="F140" s="367">
        <v>0</v>
      </c>
      <c r="G140" s="369">
        <f>SUM(C140:F140)</f>
        <v>150000</v>
      </c>
    </row>
    <row r="141" spans="1:7">
      <c r="A141" s="238" t="s">
        <v>675</v>
      </c>
      <c r="B141" s="383" t="s">
        <v>178</v>
      </c>
      <c r="C141" s="367">
        <v>150000</v>
      </c>
      <c r="D141" s="367">
        <v>0</v>
      </c>
      <c r="E141" s="367">
        <v>0</v>
      </c>
      <c r="F141" s="367">
        <v>0</v>
      </c>
      <c r="G141" s="369">
        <f>SUM(C141:F141)</f>
        <v>150000</v>
      </c>
    </row>
    <row r="142" spans="1:7">
      <c r="A142" s="238" t="s">
        <v>676</v>
      </c>
      <c r="B142" s="383" t="s">
        <v>283</v>
      </c>
      <c r="C142" s="367">
        <v>300000</v>
      </c>
      <c r="D142" s="367">
        <v>0</v>
      </c>
      <c r="E142" s="367">
        <v>0</v>
      </c>
      <c r="F142" s="367">
        <v>0</v>
      </c>
      <c r="G142" s="369">
        <f>SUM(C142:F142)</f>
        <v>300000</v>
      </c>
    </row>
    <row r="143" spans="1:7">
      <c r="A143" s="238" t="s">
        <v>677</v>
      </c>
      <c r="B143" s="383" t="s">
        <v>219</v>
      </c>
      <c r="C143" s="367">
        <v>0</v>
      </c>
      <c r="D143" s="367">
        <v>250000</v>
      </c>
      <c r="E143" s="367">
        <v>0</v>
      </c>
      <c r="F143" s="367">
        <v>0</v>
      </c>
      <c r="G143" s="369">
        <f>SUM(C143:F143)</f>
        <v>250000</v>
      </c>
    </row>
    <row r="144" spans="1:7">
      <c r="A144" s="238" t="s">
        <v>678</v>
      </c>
      <c r="B144" s="383" t="s">
        <v>290</v>
      </c>
      <c r="C144" s="367">
        <v>0</v>
      </c>
      <c r="D144" s="367">
        <v>0</v>
      </c>
      <c r="E144" s="367">
        <v>200000</v>
      </c>
      <c r="F144" s="367">
        <v>0</v>
      </c>
      <c r="G144" s="369">
        <f>SUM(C144:F144)</f>
        <v>200000</v>
      </c>
    </row>
    <row r="145" spans="1:7">
      <c r="A145" s="238" t="s">
        <v>679</v>
      </c>
      <c r="B145" s="383" t="s">
        <v>311</v>
      </c>
      <c r="C145" s="367">
        <v>0</v>
      </c>
      <c r="D145" s="367">
        <v>500000</v>
      </c>
      <c r="E145" s="367">
        <v>0</v>
      </c>
      <c r="F145" s="367">
        <v>0</v>
      </c>
      <c r="G145" s="369">
        <f>SUM(C145:F145)</f>
        <v>500000</v>
      </c>
    </row>
    <row r="146" spans="1:7">
      <c r="A146" s="238" t="s">
        <v>680</v>
      </c>
      <c r="B146" s="383" t="s">
        <v>313</v>
      </c>
      <c r="C146" s="367">
        <v>0</v>
      </c>
      <c r="D146" s="367">
        <v>200000</v>
      </c>
      <c r="E146" s="367">
        <v>0</v>
      </c>
      <c r="F146" s="367">
        <v>0</v>
      </c>
      <c r="G146" s="369">
        <f>SUM(C146:F146)</f>
        <v>200000</v>
      </c>
    </row>
    <row r="147" spans="1:7" customHeight="1" ht="15.75">
      <c r="A147" s="238" t="s">
        <v>681</v>
      </c>
      <c r="B147" s="383" t="s">
        <v>315</v>
      </c>
      <c r="C147" s="367">
        <v>0</v>
      </c>
      <c r="D147" s="367">
        <v>1000000</v>
      </c>
      <c r="E147" s="367">
        <v>0</v>
      </c>
      <c r="F147" s="367">
        <v>0</v>
      </c>
      <c r="G147" s="369">
        <f>SUM(C147:F147)</f>
        <v>1000000</v>
      </c>
    </row>
    <row r="148" spans="1:7" customHeight="1" ht="15.75">
      <c r="A148" s="364" t="s">
        <v>682</v>
      </c>
      <c r="B148" s="551"/>
      <c r="C148" s="370">
        <f>SUM(C139:C147)</f>
        <v>600000</v>
      </c>
      <c r="D148" s="370">
        <f>SUM(D139:D147)</f>
        <v>2050000</v>
      </c>
      <c r="E148" s="370">
        <f>SUM(E139:E147)</f>
        <v>200000</v>
      </c>
      <c r="F148" s="370">
        <f>SUM(F139:F147)</f>
        <v>0</v>
      </c>
      <c r="G148" s="371">
        <f>SUM(G139:G147)</f>
        <v>2850000</v>
      </c>
    </row>
    <row r="149" spans="1:7" customHeight="1" ht="15.75">
      <c r="A149" s="552" t="s">
        <v>683</v>
      </c>
      <c r="B149" s="357"/>
      <c r="C149" s="370">
        <f>C99+C132+C148</f>
        <v>3867000</v>
      </c>
      <c r="D149" s="370">
        <f>D99+D132+D148</f>
        <v>12510000</v>
      </c>
      <c r="E149" s="370">
        <f>E99+E132+E148</f>
        <v>700000</v>
      </c>
      <c r="F149" s="370">
        <f>F99+F132+F148</f>
        <v>2504800</v>
      </c>
      <c r="G149" s="371">
        <f>G99+G132+G148</f>
        <v>19581800</v>
      </c>
    </row>
    <row r="150" spans="1:7" customHeight="1" ht="15.75">
      <c r="A150" s="511" t="s">
        <v>318</v>
      </c>
      <c r="B150" s="361"/>
      <c r="C150" s="370">
        <f>C91+C149</f>
        <v>3867000</v>
      </c>
      <c r="D150" s="370">
        <f>D91+D149</f>
        <v>23504374.44</v>
      </c>
      <c r="E150" s="370">
        <f>E149+E91</f>
        <v>35158787.24</v>
      </c>
      <c r="F150" s="370">
        <f>F91+F149</f>
        <v>2954800</v>
      </c>
      <c r="G150" s="371">
        <f>G91+G149</f>
        <v>65484961.68</v>
      </c>
    </row>
    <row r="151" spans="1:7" customHeight="1" ht="15.75">
      <c r="A151" s="553" t="s">
        <v>370</v>
      </c>
      <c r="B151" s="554"/>
      <c r="C151" s="386">
        <f>C31+C77+C83+C150</f>
        <v>90592225.32</v>
      </c>
      <c r="D151" s="386">
        <f>D31+D77+D83+D150</f>
        <v>48046866.44</v>
      </c>
      <c r="E151" s="386">
        <f>E31+E77+E83+E150</f>
        <v>43894182.24</v>
      </c>
      <c r="F151" s="386">
        <f>F31+F77+F83+F150</f>
        <v>2954800</v>
      </c>
      <c r="G151" s="387">
        <f>G31+G77+G83+G150</f>
        <v>185488074</v>
      </c>
    </row>
    <row r="152" spans="1:7" customHeight="1" ht="15.75">
      <c r="A152" s="555"/>
      <c r="B152" s="377"/>
      <c r="C152" s="373"/>
      <c r="D152" s="373"/>
      <c r="E152" s="373"/>
      <c r="F152" s="373"/>
      <c r="G152" s="556"/>
    </row>
    <row r="153" spans="1:7">
      <c r="A153" s="555"/>
      <c r="B153" s="377"/>
      <c r="C153" s="373"/>
      <c r="D153" s="373"/>
      <c r="E153" s="373"/>
      <c r="F153" s="373"/>
      <c r="G153" s="556"/>
    </row>
    <row r="154" spans="1:7">
      <c r="A154" s="384" t="s">
        <v>568</v>
      </c>
      <c r="B154" s="377"/>
      <c r="C154" s="270" t="s">
        <v>325</v>
      </c>
      <c r="D154" s="270"/>
      <c r="E154" s="270"/>
      <c r="F154" s="270"/>
      <c r="G154" s="398"/>
    </row>
    <row r="155" spans="1:7">
      <c r="A155" s="384"/>
      <c r="B155" s="377"/>
      <c r="C155" s="270"/>
      <c r="D155" s="270"/>
      <c r="E155" s="270"/>
      <c r="F155" s="270"/>
      <c r="G155" s="398"/>
    </row>
    <row r="156" spans="1:7">
      <c r="A156" s="384"/>
      <c r="B156" s="377"/>
      <c r="C156" s="270"/>
      <c r="D156" s="270"/>
      <c r="E156" s="270"/>
      <c r="F156" s="270"/>
      <c r="G156" s="398"/>
    </row>
    <row r="157" spans="1:7">
      <c r="A157" s="384"/>
      <c r="B157" s="377"/>
      <c r="C157" s="270"/>
      <c r="D157" s="270"/>
      <c r="E157" s="270"/>
      <c r="F157" s="270"/>
      <c r="G157" s="398"/>
    </row>
    <row r="158" spans="1:7">
      <c r="A158" s="392" t="s">
        <v>374</v>
      </c>
      <c r="B158" s="269"/>
      <c r="C158" s="377"/>
      <c r="D158" s="269" t="s">
        <v>326</v>
      </c>
      <c r="E158" s="269"/>
      <c r="F158" s="269"/>
      <c r="G158" s="414"/>
    </row>
    <row r="159" spans="1:7">
      <c r="A159" s="411" t="s">
        <v>375</v>
      </c>
      <c r="B159" s="412"/>
      <c r="C159" s="270"/>
      <c r="D159" s="412" t="s">
        <v>327</v>
      </c>
      <c r="E159" s="412"/>
      <c r="F159" s="412"/>
      <c r="G159" s="414"/>
    </row>
    <row r="160" spans="1:7">
      <c r="A160" s="390"/>
      <c r="B160" s="271"/>
      <c r="C160" s="215"/>
      <c r="D160" s="215"/>
      <c r="E160" s="215"/>
      <c r="F160" s="215"/>
      <c r="G160" s="391"/>
    </row>
    <row r="161" spans="1:7">
      <c r="A161" s="390"/>
      <c r="B161" s="271"/>
      <c r="C161" s="215"/>
      <c r="D161" s="215"/>
      <c r="E161" s="215"/>
      <c r="F161" s="215"/>
      <c r="G161" s="391"/>
    </row>
    <row r="162" spans="1:7">
      <c r="A162" s="390"/>
      <c r="B162" s="271"/>
      <c r="C162" s="215"/>
      <c r="D162" s="215"/>
      <c r="E162" s="215"/>
      <c r="F162" s="215"/>
      <c r="G162" s="391"/>
    </row>
    <row r="163" spans="1:7">
      <c r="A163" s="390"/>
      <c r="B163" s="271"/>
      <c r="C163" s="215"/>
      <c r="D163" s="215"/>
      <c r="E163" s="215"/>
      <c r="F163" s="215"/>
      <c r="G163" s="391"/>
    </row>
    <row r="164" spans="1:7">
      <c r="A164" s="390"/>
      <c r="B164" s="271"/>
      <c r="C164" s="215"/>
      <c r="D164" s="215"/>
      <c r="E164" s="215"/>
      <c r="F164" s="215"/>
      <c r="G164" s="391"/>
    </row>
    <row r="165" spans="1:7">
      <c r="A165" s="390"/>
      <c r="B165" s="271"/>
      <c r="C165" s="215"/>
      <c r="D165" s="215"/>
      <c r="E165" s="215"/>
      <c r="F165" s="215"/>
      <c r="G165" s="391"/>
    </row>
    <row r="166" spans="1:7" customHeight="1" ht="15.75">
      <c r="B166" s="557"/>
    </row>
    <row r="167" spans="1:7">
      <c r="A167" s="393" t="s">
        <v>574</v>
      </c>
      <c r="B167" s="380"/>
      <c r="C167" s="372"/>
      <c r="D167" s="372"/>
      <c r="E167" s="372"/>
      <c r="F167" s="372"/>
      <c r="G167" s="394"/>
    </row>
    <row r="168" spans="1:7">
      <c r="A168" s="384"/>
      <c r="B168" s="377"/>
      <c r="C168" s="270"/>
      <c r="D168" s="270"/>
      <c r="E168" s="270"/>
      <c r="F168" s="270"/>
      <c r="G168" s="398"/>
    </row>
    <row r="169" spans="1:7" customHeight="1" ht="18.75">
      <c r="A169" s="502" t="s">
        <v>575</v>
      </c>
      <c r="B169" s="503"/>
      <c r="C169" s="503"/>
      <c r="D169" s="503"/>
      <c r="E169" s="503"/>
      <c r="F169" s="503"/>
      <c r="G169" s="504"/>
    </row>
    <row r="170" spans="1:7">
      <c r="A170" s="352" t="s">
        <v>2</v>
      </c>
      <c r="B170" s="185"/>
      <c r="C170" s="185"/>
      <c r="D170" s="185"/>
      <c r="E170" s="185"/>
      <c r="F170" s="185"/>
      <c r="G170" s="205"/>
    </row>
    <row r="171" spans="1:7">
      <c r="A171" s="352" t="s">
        <v>328</v>
      </c>
      <c r="B171" s="185"/>
      <c r="C171" s="185"/>
      <c r="D171" s="185"/>
      <c r="E171" s="185"/>
      <c r="F171" s="185"/>
      <c r="G171" s="205"/>
    </row>
    <row r="172" spans="1:7" customHeight="1" ht="15.75">
      <c r="A172" s="417"/>
      <c r="B172" s="381"/>
      <c r="C172" s="374"/>
      <c r="D172" s="374"/>
      <c r="E172" s="374"/>
      <c r="F172" s="374"/>
      <c r="G172" s="400"/>
    </row>
    <row r="173" spans="1:7">
      <c r="A173" s="353" t="s">
        <v>4</v>
      </c>
      <c r="B173" s="354" t="s">
        <v>9</v>
      </c>
      <c r="C173" s="354" t="s">
        <v>576</v>
      </c>
      <c r="D173" s="505" t="s">
        <v>577</v>
      </c>
      <c r="E173" s="354" t="s">
        <v>578</v>
      </c>
      <c r="F173" s="354" t="s">
        <v>579</v>
      </c>
      <c r="G173" s="355" t="s">
        <v>13</v>
      </c>
    </row>
    <row r="174" spans="1:7" customHeight="1" ht="15.75">
      <c r="A174" s="506"/>
      <c r="B174" s="357" t="s">
        <v>14</v>
      </c>
      <c r="C174" s="357" t="s">
        <v>580</v>
      </c>
      <c r="D174" s="507" t="s">
        <v>580</v>
      </c>
      <c r="E174" s="357" t="s">
        <v>580</v>
      </c>
      <c r="F174" s="357" t="s">
        <v>580</v>
      </c>
      <c r="G174" s="358"/>
    </row>
    <row r="175" spans="1:7">
      <c r="A175" s="508" t="s">
        <v>581</v>
      </c>
      <c r="B175" s="558"/>
      <c r="C175" s="359"/>
      <c r="D175" s="359"/>
      <c r="E175" s="359"/>
      <c r="F175" s="359"/>
      <c r="G175" s="360"/>
    </row>
    <row r="176" spans="1:7">
      <c r="A176" s="511"/>
      <c r="B176" s="361"/>
      <c r="C176" s="362"/>
      <c r="D176" s="362"/>
      <c r="E176" s="362"/>
      <c r="F176" s="362"/>
      <c r="G176" s="368"/>
    </row>
    <row r="177" spans="1:7">
      <c r="A177" s="511" t="s">
        <v>582</v>
      </c>
      <c r="B177" s="361"/>
      <c r="C177" s="362"/>
      <c r="D177" s="362"/>
      <c r="E177" s="362"/>
      <c r="F177" s="362"/>
      <c r="G177" s="368"/>
    </row>
    <row r="178" spans="1:7">
      <c r="A178" s="512" t="s">
        <v>583</v>
      </c>
      <c r="B178" s="361"/>
      <c r="C178" s="362"/>
      <c r="D178" s="362"/>
      <c r="E178" s="362"/>
      <c r="F178" s="362"/>
      <c r="G178" s="368"/>
    </row>
    <row r="179" spans="1:7">
      <c r="A179" s="238" t="s">
        <v>584</v>
      </c>
      <c r="B179" s="383" t="s">
        <v>83</v>
      </c>
      <c r="C179" s="367">
        <v>0</v>
      </c>
      <c r="D179" s="367">
        <v>0</v>
      </c>
      <c r="E179" s="367">
        <v>2285446</v>
      </c>
      <c r="F179" s="367">
        <v>0</v>
      </c>
      <c r="G179" s="369">
        <f>SUM(C179:F179)</f>
        <v>2285446</v>
      </c>
    </row>
    <row r="180" spans="1:7">
      <c r="A180" s="238" t="s">
        <v>585</v>
      </c>
      <c r="B180" s="383" t="s">
        <v>85</v>
      </c>
      <c r="C180" s="367">
        <v>0</v>
      </c>
      <c r="D180" s="367">
        <v>0</v>
      </c>
      <c r="E180" s="367">
        <v>384000</v>
      </c>
      <c r="F180" s="367">
        <v>0</v>
      </c>
      <c r="G180" s="369">
        <f>SUM(C180:F180)</f>
        <v>384000</v>
      </c>
    </row>
    <row r="181" spans="1:7">
      <c r="A181" s="238" t="s">
        <v>586</v>
      </c>
      <c r="B181" s="383" t="s">
        <v>87</v>
      </c>
      <c r="C181" s="367">
        <v>0</v>
      </c>
      <c r="D181" s="367">
        <v>0</v>
      </c>
      <c r="E181" s="367">
        <v>0</v>
      </c>
      <c r="F181" s="367">
        <v>0</v>
      </c>
      <c r="G181" s="369">
        <f>SUM(C181:F181)</f>
        <v>0</v>
      </c>
    </row>
    <row r="182" spans="1:7">
      <c r="A182" s="238" t="s">
        <v>587</v>
      </c>
      <c r="B182" s="383" t="s">
        <v>89</v>
      </c>
      <c r="C182" s="367">
        <v>0</v>
      </c>
      <c r="D182" s="367">
        <v>0</v>
      </c>
      <c r="E182" s="367">
        <v>0</v>
      </c>
      <c r="F182" s="367">
        <v>0</v>
      </c>
      <c r="G182" s="369">
        <f>SUM(C182:F182)</f>
        <v>0</v>
      </c>
    </row>
    <row r="183" spans="1:7">
      <c r="A183" s="238" t="s">
        <v>588</v>
      </c>
      <c r="B183" s="383" t="s">
        <v>91</v>
      </c>
      <c r="C183" s="367">
        <v>0</v>
      </c>
      <c r="D183" s="367">
        <v>0</v>
      </c>
      <c r="E183" s="367">
        <v>112000</v>
      </c>
      <c r="F183" s="367">
        <v>0</v>
      </c>
      <c r="G183" s="369">
        <f>SUM(C183:F183)</f>
        <v>112000</v>
      </c>
    </row>
    <row r="184" spans="1:7">
      <c r="A184" s="238" t="s">
        <v>591</v>
      </c>
      <c r="B184" s="383" t="s">
        <v>97</v>
      </c>
      <c r="C184" s="367">
        <v>0</v>
      </c>
      <c r="D184" s="367">
        <v>0</v>
      </c>
      <c r="E184" s="367">
        <f>'[2]2024_summary '!$Q$185</f>
        <v>80000</v>
      </c>
      <c r="F184" s="367">
        <v>0</v>
      </c>
      <c r="G184" s="369">
        <f>SUM(C184:F184)</f>
        <v>80000</v>
      </c>
    </row>
    <row r="185" spans="1:7">
      <c r="A185" s="238" t="s">
        <v>684</v>
      </c>
      <c r="B185" s="383" t="s">
        <v>99</v>
      </c>
      <c r="C185" s="367">
        <v>0</v>
      </c>
      <c r="D185" s="367">
        <v>0</v>
      </c>
      <c r="E185" s="367">
        <v>320000</v>
      </c>
      <c r="F185" s="367">
        <v>0</v>
      </c>
      <c r="G185" s="369">
        <f>SUM(C185:F185)</f>
        <v>320000</v>
      </c>
    </row>
    <row r="186" spans="1:7">
      <c r="A186" s="238" t="s">
        <v>595</v>
      </c>
      <c r="B186" s="383" t="s">
        <v>103</v>
      </c>
      <c r="C186" s="367">
        <v>0</v>
      </c>
      <c r="D186" s="367">
        <v>0</v>
      </c>
      <c r="E186" s="367">
        <v>195434</v>
      </c>
      <c r="F186" s="367">
        <v>0</v>
      </c>
      <c r="G186" s="369">
        <f>SUM(C186:F186)</f>
        <v>195434</v>
      </c>
    </row>
    <row r="187" spans="1:7">
      <c r="A187" s="238" t="s">
        <v>596</v>
      </c>
      <c r="B187" s="383" t="s">
        <v>105</v>
      </c>
      <c r="C187" s="367">
        <v>0</v>
      </c>
      <c r="D187" s="367">
        <v>0</v>
      </c>
      <c r="E187" s="367">
        <v>80000</v>
      </c>
      <c r="F187" s="367">
        <v>0</v>
      </c>
      <c r="G187" s="369">
        <f>SUM(C187:F187)</f>
        <v>80000</v>
      </c>
    </row>
    <row r="188" spans="1:7">
      <c r="A188" s="238" t="s">
        <v>597</v>
      </c>
      <c r="B188" s="383" t="s">
        <v>107</v>
      </c>
      <c r="C188" s="367">
        <v>0</v>
      </c>
      <c r="D188" s="367">
        <v>0</v>
      </c>
      <c r="E188" s="367">
        <v>187941</v>
      </c>
      <c r="F188" s="367">
        <v>0</v>
      </c>
      <c r="G188" s="369">
        <f>SUM(C188:F188)</f>
        <v>187941</v>
      </c>
    </row>
    <row r="189" spans="1:7">
      <c r="A189" s="238" t="s">
        <v>598</v>
      </c>
      <c r="B189" s="383" t="s">
        <v>109</v>
      </c>
      <c r="C189" s="367">
        <v>0</v>
      </c>
      <c r="D189" s="367">
        <v>0</v>
      </c>
      <c r="E189" s="367">
        <v>274257</v>
      </c>
      <c r="F189" s="367">
        <v>0</v>
      </c>
      <c r="G189" s="369">
        <f>SUM(C189:F189)</f>
        <v>274257</v>
      </c>
    </row>
    <row r="190" spans="1:7">
      <c r="A190" s="238" t="s">
        <v>599</v>
      </c>
      <c r="B190" s="383" t="s">
        <v>111</v>
      </c>
      <c r="C190" s="367">
        <v>0</v>
      </c>
      <c r="D190" s="367">
        <v>0</v>
      </c>
      <c r="E190" s="367">
        <v>38400</v>
      </c>
      <c r="F190" s="367">
        <v>0</v>
      </c>
      <c r="G190" s="369">
        <f>SUM(C190:F190)</f>
        <v>38400</v>
      </c>
    </row>
    <row r="191" spans="1:7">
      <c r="A191" s="238" t="s">
        <v>600</v>
      </c>
      <c r="B191" s="383" t="s">
        <v>113</v>
      </c>
      <c r="C191" s="367">
        <v>0</v>
      </c>
      <c r="D191" s="367">
        <v>0</v>
      </c>
      <c r="E191" s="367">
        <v>57138</v>
      </c>
      <c r="F191" s="367">
        <v>0</v>
      </c>
      <c r="G191" s="369">
        <f>SUM(C191:F191)</f>
        <v>57138</v>
      </c>
    </row>
    <row r="192" spans="1:7">
      <c r="A192" s="238" t="s">
        <v>601</v>
      </c>
      <c r="B192" s="383" t="s">
        <v>115</v>
      </c>
      <c r="C192" s="367">
        <v>0</v>
      </c>
      <c r="D192" s="367">
        <v>0</v>
      </c>
      <c r="E192" s="367">
        <v>19200</v>
      </c>
      <c r="F192" s="367">
        <v>0</v>
      </c>
      <c r="G192" s="369">
        <f>SUM(C192:F192)</f>
        <v>19200</v>
      </c>
    </row>
    <row r="193" spans="1:7">
      <c r="A193" s="238" t="s">
        <v>360</v>
      </c>
      <c r="B193" s="383" t="s">
        <v>117</v>
      </c>
      <c r="C193" s="367">
        <v>0</v>
      </c>
      <c r="D193" s="367">
        <v>0</v>
      </c>
      <c r="E193" s="367">
        <v>0</v>
      </c>
      <c r="F193" s="367">
        <v>0</v>
      </c>
      <c r="G193" s="369">
        <f>SUM(C193:F193)</f>
        <v>0</v>
      </c>
    </row>
    <row r="194" spans="1:7" customHeight="1" ht="15.75">
      <c r="A194" s="238" t="s">
        <v>685</v>
      </c>
      <c r="B194" s="383" t="s">
        <v>119</v>
      </c>
      <c r="C194" s="367">
        <v>0</v>
      </c>
      <c r="D194" s="367">
        <v>0</v>
      </c>
      <c r="E194" s="367">
        <v>112000</v>
      </c>
      <c r="F194" s="367">
        <v>0</v>
      </c>
      <c r="G194" s="369">
        <f>SUM(C194:F194)</f>
        <v>112000</v>
      </c>
    </row>
    <row r="195" spans="1:7" customHeight="1" ht="15.75">
      <c r="A195" s="515" t="s">
        <v>604</v>
      </c>
      <c r="B195" s="516"/>
      <c r="C195" s="370">
        <f>SUM(C179:C194)</f>
        <v>0</v>
      </c>
      <c r="D195" s="370">
        <f>SUM(D179:D194)</f>
        <v>0</v>
      </c>
      <c r="E195" s="370">
        <f>SUM(E179:E194)</f>
        <v>4145816</v>
      </c>
      <c r="F195" s="370">
        <f>SUM(F179:F194)</f>
        <v>0</v>
      </c>
      <c r="G195" s="371">
        <f>SUM(G179:G194)</f>
        <v>4145816</v>
      </c>
    </row>
    <row r="196" spans="1:7">
      <c r="A196" s="559"/>
      <c r="B196" s="380"/>
      <c r="C196" s="560"/>
      <c r="D196" s="560"/>
      <c r="E196" s="560"/>
      <c r="F196" s="560"/>
      <c r="G196" s="560"/>
    </row>
    <row r="197" spans="1:7">
      <c r="A197" s="561"/>
      <c r="B197" s="377"/>
      <c r="C197" s="530"/>
      <c r="D197" s="530"/>
      <c r="E197" s="530"/>
      <c r="F197" s="530"/>
      <c r="G197" s="530"/>
    </row>
    <row r="198" spans="1:7">
      <c r="A198" s="561"/>
      <c r="B198" s="377"/>
      <c r="C198" s="530"/>
      <c r="D198" s="530"/>
      <c r="E198" s="530"/>
      <c r="F198" s="530"/>
      <c r="G198" s="530"/>
    </row>
    <row r="199" spans="1:7">
      <c r="A199" s="561"/>
      <c r="B199" s="377"/>
      <c r="C199" s="530"/>
      <c r="D199" s="530"/>
      <c r="E199" s="530"/>
      <c r="F199" s="530"/>
      <c r="G199" s="530"/>
    </row>
    <row r="200" spans="1:7">
      <c r="A200" s="561"/>
      <c r="B200" s="377"/>
      <c r="C200" s="530"/>
      <c r="D200" s="530"/>
      <c r="E200" s="530"/>
      <c r="F200" s="530"/>
      <c r="G200" s="530"/>
    </row>
    <row r="201" spans="1:7" customHeight="1" ht="15.75">
      <c r="A201" s="561"/>
      <c r="B201" s="377"/>
      <c r="C201" s="530"/>
      <c r="D201" s="530"/>
      <c r="E201" s="530"/>
      <c r="F201" s="530"/>
      <c r="G201" s="530"/>
    </row>
    <row r="202" spans="1:7">
      <c r="A202" s="353" t="s">
        <v>4</v>
      </c>
      <c r="B202" s="354" t="s">
        <v>9</v>
      </c>
      <c r="C202" s="354" t="s">
        <v>576</v>
      </c>
      <c r="D202" s="505" t="s">
        <v>577</v>
      </c>
      <c r="E202" s="354" t="s">
        <v>578</v>
      </c>
      <c r="F202" s="354" t="s">
        <v>579</v>
      </c>
      <c r="G202" s="355" t="s">
        <v>13</v>
      </c>
    </row>
    <row r="203" spans="1:7" customHeight="1" ht="15.75">
      <c r="A203" s="506"/>
      <c r="B203" s="357" t="s">
        <v>14</v>
      </c>
      <c r="C203" s="357" t="s">
        <v>580</v>
      </c>
      <c r="D203" s="507" t="s">
        <v>580</v>
      </c>
      <c r="E203" s="357" t="s">
        <v>580</v>
      </c>
      <c r="F203" s="357" t="s">
        <v>580</v>
      </c>
      <c r="G203" s="358"/>
    </row>
    <row r="204" spans="1:7">
      <c r="A204" s="524" t="s">
        <v>605</v>
      </c>
      <c r="B204" s="361"/>
      <c r="C204" s="367"/>
      <c r="D204" s="367"/>
      <c r="E204" s="367"/>
      <c r="F204" s="367"/>
      <c r="G204" s="369"/>
    </row>
    <row r="205" spans="1:7">
      <c r="A205" s="238" t="s">
        <v>122</v>
      </c>
      <c r="B205" s="383" t="s">
        <v>123</v>
      </c>
      <c r="C205" s="367">
        <v>0</v>
      </c>
      <c r="D205" s="367">
        <v>0</v>
      </c>
      <c r="E205" s="367">
        <v>0</v>
      </c>
      <c r="F205" s="367">
        <v>0</v>
      </c>
      <c r="G205" s="369">
        <f>SUM(C205:F205)</f>
        <v>0</v>
      </c>
    </row>
    <row r="206" spans="1:7">
      <c r="A206" s="238" t="s">
        <v>126</v>
      </c>
      <c r="B206" s="383" t="s">
        <v>127</v>
      </c>
      <c r="C206" s="367">
        <v>0</v>
      </c>
      <c r="D206" s="367">
        <v>0</v>
      </c>
      <c r="E206" s="367">
        <v>100000</v>
      </c>
      <c r="F206" s="367">
        <v>0</v>
      </c>
      <c r="G206" s="369">
        <f>SUM(C206:F206)</f>
        <v>100000</v>
      </c>
    </row>
    <row r="207" spans="1:7">
      <c r="A207" s="238" t="s">
        <v>154</v>
      </c>
      <c r="B207" s="383" t="s">
        <v>155</v>
      </c>
      <c r="C207" s="367">
        <v>0</v>
      </c>
      <c r="D207" s="367">
        <v>0</v>
      </c>
      <c r="E207" s="367">
        <v>2450000</v>
      </c>
      <c r="F207" s="367">
        <v>0</v>
      </c>
      <c r="G207" s="369">
        <f>SUM(C207:F207)</f>
        <v>2450000</v>
      </c>
    </row>
    <row r="208" spans="1:7">
      <c r="A208" s="238" t="s">
        <v>344</v>
      </c>
      <c r="B208" s="383"/>
      <c r="C208" s="367">
        <v>0</v>
      </c>
      <c r="D208" s="367">
        <v>0</v>
      </c>
      <c r="E208" s="367">
        <v>300000</v>
      </c>
      <c r="F208" s="367">
        <v>0</v>
      </c>
      <c r="G208" s="369">
        <f>SUM(C208:F208)</f>
        <v>300000</v>
      </c>
    </row>
    <row r="209" spans="1:7" customHeight="1" ht="15.75">
      <c r="A209" s="238" t="s">
        <v>613</v>
      </c>
      <c r="B209" s="383" t="s">
        <v>170</v>
      </c>
      <c r="C209" s="367">
        <v>0</v>
      </c>
      <c r="D209" s="367">
        <v>0</v>
      </c>
      <c r="E209" s="367">
        <v>304184</v>
      </c>
      <c r="F209" s="367">
        <v>0</v>
      </c>
      <c r="G209" s="369">
        <f>SUM(C209:F209)</f>
        <v>304184</v>
      </c>
    </row>
    <row r="210" spans="1:7" customHeight="1" ht="15.75">
      <c r="A210" s="512" t="s">
        <v>622</v>
      </c>
      <c r="B210" s="361"/>
      <c r="C210" s="370">
        <f>SUM(C205:C209)</f>
        <v>0</v>
      </c>
      <c r="D210" s="370">
        <f>SUM(D205:D209)</f>
        <v>0</v>
      </c>
      <c r="E210" s="370">
        <f>SUM(E205:E209)</f>
        <v>3154184</v>
      </c>
      <c r="F210" s="370">
        <f>SUM(F205:F209)</f>
        <v>0</v>
      </c>
      <c r="G210" s="371">
        <f>SUM(G205:G209)</f>
        <v>3154184</v>
      </c>
    </row>
    <row r="211" spans="1:7">
      <c r="A211" s="524" t="s">
        <v>623</v>
      </c>
      <c r="B211" s="361"/>
      <c r="C211" s="367"/>
      <c r="D211" s="367"/>
      <c r="E211" s="367"/>
      <c r="F211" s="367"/>
      <c r="G211" s="369"/>
    </row>
    <row r="212" spans="1:7" customHeight="1" ht="15.75">
      <c r="A212" s="238" t="s">
        <v>686</v>
      </c>
      <c r="B212" s="383" t="s">
        <v>687</v>
      </c>
      <c r="C212" s="562">
        <v>0</v>
      </c>
      <c r="D212" s="562">
        <v>0</v>
      </c>
      <c r="E212" s="562">
        <v>300000</v>
      </c>
      <c r="F212" s="562">
        <v>0</v>
      </c>
      <c r="G212" s="563">
        <f>SUM(C212:F212)</f>
        <v>300000</v>
      </c>
    </row>
    <row r="213" spans="1:7" customHeight="1" ht="15.75">
      <c r="A213" s="511" t="s">
        <v>214</v>
      </c>
      <c r="B213" s="361"/>
      <c r="C213" s="370">
        <f>SUM(C208:C212)</f>
        <v>0</v>
      </c>
      <c r="D213" s="370">
        <f>SUM(D208:D212)</f>
        <v>0</v>
      </c>
      <c r="E213" s="370">
        <f>E212</f>
        <v>300000</v>
      </c>
      <c r="F213" s="370">
        <f>SUM(F208:F212)</f>
        <v>0</v>
      </c>
      <c r="G213" s="371">
        <f>G212</f>
        <v>300000</v>
      </c>
    </row>
    <row r="214" spans="1:7" customHeight="1" ht="15.75">
      <c r="A214" s="553" t="s">
        <v>370</v>
      </c>
      <c r="B214" s="564"/>
      <c r="C214" s="565">
        <f>C195+C210</f>
        <v>0</v>
      </c>
      <c r="D214" s="565">
        <f>D195+D210</f>
        <v>0</v>
      </c>
      <c r="E214" s="565">
        <f>E195+E210+E213</f>
        <v>7600000</v>
      </c>
      <c r="F214" s="565">
        <f>F195+F210</f>
        <v>0</v>
      </c>
      <c r="G214" s="566">
        <f>G195+G210+G213</f>
        <v>7600000</v>
      </c>
    </row>
    <row r="215" spans="1:7" customHeight="1" ht="15.75">
      <c r="A215" s="384"/>
      <c r="B215" s="377"/>
      <c r="C215" s="270"/>
      <c r="D215" s="270"/>
      <c r="E215" s="270"/>
      <c r="F215" s="270"/>
      <c r="G215" s="398"/>
    </row>
    <row r="216" spans="1:7">
      <c r="A216" s="384" t="s">
        <v>568</v>
      </c>
      <c r="B216" s="377"/>
      <c r="C216" s="270" t="s">
        <v>325</v>
      </c>
      <c r="D216" s="270"/>
      <c r="E216" s="270"/>
      <c r="F216" s="270"/>
      <c r="G216" s="398"/>
    </row>
    <row r="217" spans="1:7">
      <c r="A217" s="384"/>
      <c r="B217" s="377"/>
      <c r="C217" s="270"/>
      <c r="D217" s="270"/>
      <c r="E217" s="270"/>
      <c r="F217" s="270"/>
      <c r="G217" s="398"/>
    </row>
    <row r="218" spans="1:7">
      <c r="A218" s="384"/>
      <c r="B218" s="377"/>
      <c r="C218" s="270"/>
      <c r="D218" s="270"/>
      <c r="E218" s="270"/>
      <c r="F218" s="270"/>
      <c r="G218" s="398"/>
    </row>
    <row r="219" spans="1:7">
      <c r="A219" s="384"/>
      <c r="B219" s="377"/>
      <c r="C219" s="270"/>
      <c r="D219" s="270"/>
      <c r="E219" s="270"/>
      <c r="F219" s="270"/>
      <c r="G219" s="398"/>
    </row>
    <row r="220" spans="1:7">
      <c r="A220" s="392" t="s">
        <v>374</v>
      </c>
      <c r="B220" s="269"/>
      <c r="C220" s="377"/>
      <c r="D220" s="269" t="s">
        <v>326</v>
      </c>
      <c r="E220" s="269"/>
      <c r="F220" s="269"/>
      <c r="G220" s="414"/>
    </row>
    <row r="221" spans="1:7">
      <c r="A221" s="411" t="s">
        <v>375</v>
      </c>
      <c r="B221" s="412"/>
      <c r="C221" s="270"/>
      <c r="D221" s="412" t="s">
        <v>327</v>
      </c>
      <c r="E221" s="412"/>
      <c r="F221" s="412"/>
      <c r="G221" s="414"/>
    </row>
    <row r="222" spans="1:7">
      <c r="A222" s="384"/>
      <c r="B222" s="377"/>
      <c r="C222" s="270"/>
      <c r="D222" s="270"/>
      <c r="E222" s="270"/>
      <c r="F222" s="270"/>
      <c r="G222" s="398"/>
    </row>
    <row r="223" spans="1:7">
      <c r="A223" s="384"/>
      <c r="B223" s="377"/>
      <c r="C223" s="270"/>
      <c r="D223" s="270"/>
      <c r="E223" s="270"/>
      <c r="F223" s="270"/>
      <c r="G223" s="398"/>
    </row>
    <row r="224" spans="1:7">
      <c r="A224" s="384"/>
      <c r="B224" s="377"/>
      <c r="C224" s="270"/>
      <c r="D224" s="270"/>
      <c r="E224" s="270"/>
      <c r="F224" s="270"/>
      <c r="G224" s="398"/>
    </row>
    <row r="225" spans="1:7">
      <c r="A225" s="390"/>
      <c r="B225" s="271"/>
      <c r="C225" s="215"/>
      <c r="D225" s="215"/>
      <c r="E225" s="215"/>
      <c r="F225" s="215"/>
      <c r="G225" s="391"/>
    </row>
    <row r="226" spans="1:7">
      <c r="A226" s="390"/>
      <c r="B226" s="271"/>
      <c r="C226" s="215"/>
      <c r="D226" s="215"/>
      <c r="E226" s="215"/>
      <c r="F226" s="215"/>
      <c r="G226" s="391"/>
    </row>
    <row r="227" spans="1:7">
      <c r="A227" s="475"/>
      <c r="B227" s="557"/>
      <c r="G227" s="476"/>
    </row>
    <row r="228" spans="1:7">
      <c r="A228" s="475"/>
      <c r="B228" s="557"/>
      <c r="G228" s="476"/>
    </row>
    <row r="229" spans="1:7">
      <c r="A229" s="475"/>
      <c r="B229" s="557"/>
      <c r="G229" s="476"/>
    </row>
    <row r="230" spans="1:7">
      <c r="A230" s="475"/>
      <c r="B230" s="557"/>
      <c r="G230" s="476"/>
    </row>
    <row r="231" spans="1:7">
      <c r="A231" s="475"/>
      <c r="B231" s="557"/>
      <c r="G231" s="476"/>
    </row>
    <row r="232" spans="1:7" customHeight="1" ht="15.75">
      <c r="A232" s="477"/>
      <c r="B232" s="567"/>
      <c r="C232" s="478"/>
      <c r="D232" s="478"/>
      <c r="E232" s="478"/>
      <c r="F232" s="478"/>
      <c r="G232" s="479"/>
    </row>
    <row r="233" spans="1:7">
      <c r="B233" s="557"/>
    </row>
    <row r="234" spans="1:7">
      <c r="B234" s="557"/>
    </row>
    <row r="235" spans="1:7">
      <c r="B235" s="557"/>
    </row>
    <row r="236" spans="1:7">
      <c r="B236" s="557"/>
    </row>
    <row r="237" spans="1:7">
      <c r="B237" s="557"/>
    </row>
    <row r="238" spans="1:7">
      <c r="B238" s="557"/>
    </row>
    <row r="239" spans="1:7">
      <c r="B239" s="557"/>
    </row>
    <row r="240" spans="1:7">
      <c r="B240" s="557"/>
    </row>
    <row r="241" spans="1:7">
      <c r="B241" s="5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1:B221"/>
    <mergeCell ref="D221:F221"/>
    <mergeCell ref="A171:G171"/>
    <mergeCell ref="A173:A174"/>
    <mergeCell ref="G173:G174"/>
    <mergeCell ref="A202:A203"/>
    <mergeCell ref="G202:G203"/>
    <mergeCell ref="A220:B220"/>
    <mergeCell ref="D220:F220"/>
    <mergeCell ref="A158:B158"/>
    <mergeCell ref="D158:F158"/>
    <mergeCell ref="A159:B159"/>
    <mergeCell ref="D159:F159"/>
    <mergeCell ref="A169:G169"/>
    <mergeCell ref="A170:G170"/>
    <mergeCell ref="A68:A69"/>
    <mergeCell ref="G68:G69"/>
    <mergeCell ref="A102:A103"/>
    <mergeCell ref="G102:G103"/>
    <mergeCell ref="A137:A138"/>
    <mergeCell ref="G137:G138"/>
    <mergeCell ref="A3:G3"/>
    <mergeCell ref="A4:G4"/>
    <mergeCell ref="A5:G5"/>
    <mergeCell ref="A7:A8"/>
    <mergeCell ref="G7:G8"/>
    <mergeCell ref="A34:A35"/>
    <mergeCell ref="G34:G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2"/>
  <sheetViews>
    <sheetView tabSelected="0" workbookViewId="0" showGridLines="true" showRowColHeaders="1">
      <selection activeCell="J16" sqref="J16"/>
    </sheetView>
  </sheetViews>
  <sheetFormatPr defaultRowHeight="14.4" outlineLevelRow="0" outlineLevelCol="0"/>
  <cols>
    <col min="1" max="1" width="39.42578125" customWidth="true" style="0"/>
    <col min="2" max="2" width="3.42578125" customWidth="true" style="0"/>
    <col min="3" max="3" width="16.140625" customWidth="true" style="0"/>
    <col min="4" max="4" width="2" customWidth="true" style="0"/>
    <col min="5" max="5" width="17.140625" customWidth="true" style="188"/>
    <col min="6" max="6" width="2" customWidth="true" style="0"/>
    <col min="7" max="7" width="17.5703125" customWidth="true" style="0"/>
  </cols>
  <sheetData>
    <row r="1" spans="1:7" customHeight="1" ht="21">
      <c r="A1" s="351" t="s">
        <v>688</v>
      </c>
      <c r="B1" s="351"/>
      <c r="C1" s="351"/>
      <c r="D1" s="351"/>
      <c r="E1" s="351"/>
      <c r="F1" s="351"/>
      <c r="G1" s="351"/>
    </row>
    <row r="2" spans="1:7" customHeight="1" ht="21">
      <c r="A2" s="351" t="s">
        <v>689</v>
      </c>
      <c r="B2" s="351"/>
      <c r="C2" s="351"/>
      <c r="D2" s="351"/>
      <c r="E2" s="351"/>
      <c r="F2" s="351"/>
      <c r="G2" s="351"/>
    </row>
    <row r="3" spans="1:7" customHeight="1" ht="15.75"/>
    <row r="4" spans="1:7" customHeight="1" ht="15.75">
      <c r="A4" s="568" t="s">
        <v>4</v>
      </c>
      <c r="B4" s="569" t="s">
        <v>690</v>
      </c>
      <c r="C4" s="569"/>
      <c r="D4" s="569" t="s">
        <v>8</v>
      </c>
      <c r="E4" s="569"/>
      <c r="F4" s="569" t="s">
        <v>691</v>
      </c>
      <c r="G4" s="570"/>
    </row>
    <row r="5" spans="1:7" customHeight="1" ht="16.5">
      <c r="A5" s="571"/>
      <c r="B5" s="572">
        <v>2024</v>
      </c>
      <c r="C5" s="572"/>
      <c r="D5" s="572">
        <v>2025</v>
      </c>
      <c r="E5" s="572"/>
      <c r="F5" s="572" t="s">
        <v>692</v>
      </c>
      <c r="G5" s="573"/>
    </row>
    <row r="6" spans="1:7">
      <c r="A6" s="189" t="s">
        <v>693</v>
      </c>
      <c r="C6" s="329"/>
      <c r="D6" s="330"/>
      <c r="E6" s="574"/>
      <c r="F6" s="330"/>
      <c r="G6" s="474"/>
    </row>
    <row r="7" spans="1:7" customHeight="1" ht="15.75">
      <c r="A7" s="421" t="s">
        <v>694</v>
      </c>
      <c r="B7" s="575" t="s">
        <v>23</v>
      </c>
      <c r="C7" s="576">
        <v>0</v>
      </c>
      <c r="D7" s="575" t="s">
        <v>23</v>
      </c>
      <c r="E7" s="577">
        <v>0</v>
      </c>
      <c r="F7" s="575" t="s">
        <v>23</v>
      </c>
      <c r="G7" s="578">
        <f>E7-C7</f>
        <v>0</v>
      </c>
    </row>
    <row r="8" spans="1:7" customHeight="1" ht="15.75">
      <c r="A8" s="421" t="s">
        <v>695</v>
      </c>
      <c r="B8" s="575"/>
      <c r="C8" s="576">
        <v>144737663</v>
      </c>
      <c r="D8" s="575"/>
      <c r="E8" s="577">
        <v>171997074</v>
      </c>
      <c r="F8" s="575"/>
      <c r="G8" s="578">
        <f>E8-C8</f>
        <v>27259411</v>
      </c>
    </row>
    <row r="9" spans="1:7" customHeight="1" ht="16.5">
      <c r="A9" s="421" t="s">
        <v>696</v>
      </c>
      <c r="B9" s="575"/>
      <c r="C9" s="579">
        <v>9491000</v>
      </c>
      <c r="D9" s="575"/>
      <c r="E9" s="580">
        <f>C9+2000000</f>
        <v>11491000</v>
      </c>
      <c r="F9" s="575"/>
      <c r="G9" s="581">
        <f>E9-C9</f>
        <v>2000000</v>
      </c>
    </row>
    <row r="10" spans="1:7" customHeight="1" ht="16.5">
      <c r="A10" s="197" t="s">
        <v>697</v>
      </c>
      <c r="B10" s="582" t="s">
        <v>23</v>
      </c>
      <c r="C10" s="583">
        <f>SUM(C7:C9)</f>
        <v>154228663</v>
      </c>
      <c r="D10" s="582" t="s">
        <v>23</v>
      </c>
      <c r="E10" s="584">
        <f>SUM(E7:E9)</f>
        <v>183488074</v>
      </c>
      <c r="F10" s="582" t="s">
        <v>23</v>
      </c>
      <c r="G10" s="585">
        <f>SUM(G8:G9)</f>
        <v>29259411</v>
      </c>
    </row>
    <row r="11" spans="1:7" customHeight="1" ht="15.75">
      <c r="A11" s="586" t="s">
        <v>698</v>
      </c>
      <c r="B11" s="575"/>
      <c r="C11" s="587"/>
      <c r="D11" s="575"/>
      <c r="E11" s="588"/>
      <c r="F11" s="575"/>
      <c r="G11" s="589"/>
    </row>
    <row r="12" spans="1:7" customHeight="1" ht="15.75">
      <c r="A12" s="586" t="s">
        <v>699</v>
      </c>
      <c r="B12" s="575"/>
      <c r="C12" s="587"/>
      <c r="D12" s="575"/>
      <c r="E12" s="588"/>
      <c r="F12" s="575"/>
      <c r="G12" s="589"/>
    </row>
    <row r="13" spans="1:7" customHeight="1" ht="15.75">
      <c r="A13" s="421" t="s">
        <v>700</v>
      </c>
      <c r="B13" s="575" t="s">
        <v>23</v>
      </c>
      <c r="C13" s="576">
        <f>58125377.73-1635402.21</f>
        <v>56489975.52</v>
      </c>
      <c r="D13" s="575" t="s">
        <v>23</v>
      </c>
      <c r="E13" s="577">
        <f>58125377.73-1635402.21</f>
        <v>56489975.52</v>
      </c>
      <c r="F13" s="575" t="s">
        <v>23</v>
      </c>
      <c r="G13" s="578">
        <f>E13-C13</f>
        <v>0</v>
      </c>
    </row>
    <row r="14" spans="1:7" customHeight="1" ht="16.5">
      <c r="A14" s="421" t="s">
        <v>701</v>
      </c>
      <c r="B14" s="575"/>
      <c r="C14" s="590">
        <v>1635402.21</v>
      </c>
      <c r="D14" s="575"/>
      <c r="E14" s="591">
        <v>5200000</v>
      </c>
      <c r="F14" s="575"/>
      <c r="G14" s="578">
        <f>E14-C14</f>
        <v>3564597.79</v>
      </c>
    </row>
    <row r="15" spans="1:7" customHeight="1" ht="16.5">
      <c r="A15" s="197" t="s">
        <v>120</v>
      </c>
      <c r="B15" s="582" t="s">
        <v>23</v>
      </c>
      <c r="C15" s="583">
        <f>SUM(C13:C14)</f>
        <v>58125377.73</v>
      </c>
      <c r="D15" s="582" t="s">
        <v>23</v>
      </c>
      <c r="E15" s="584">
        <f>SUM(E13:E14)</f>
        <v>61689975.52</v>
      </c>
      <c r="F15" s="582" t="s">
        <v>23</v>
      </c>
      <c r="G15" s="585">
        <f>SUM(G13:G14)</f>
        <v>3564597.79</v>
      </c>
    </row>
    <row r="16" spans="1:7" customHeight="1" ht="15.75">
      <c r="A16" s="421" t="s">
        <v>702</v>
      </c>
      <c r="B16" s="575"/>
      <c r="C16" s="587"/>
      <c r="D16" s="575"/>
      <c r="E16" s="588"/>
      <c r="F16" s="575"/>
      <c r="G16" s="589"/>
    </row>
    <row r="17" spans="1:7" customHeight="1" ht="15.75">
      <c r="A17" s="421" t="s">
        <v>703</v>
      </c>
      <c r="B17" s="575" t="s">
        <v>23</v>
      </c>
      <c r="C17" s="576">
        <v>17417255.39</v>
      </c>
      <c r="D17" s="575" t="s">
        <v>23</v>
      </c>
      <c r="E17" s="577"/>
      <c r="F17" s="575" t="s">
        <v>23</v>
      </c>
      <c r="G17" s="578">
        <f>E17-C17</f>
        <v>-17417255.39</v>
      </c>
    </row>
    <row r="18" spans="1:7" customHeight="1" ht="15.75">
      <c r="A18" s="421" t="s">
        <v>704</v>
      </c>
      <c r="B18" s="575"/>
      <c r="C18" s="592">
        <v>4020140</v>
      </c>
      <c r="D18" s="575"/>
      <c r="E18" s="593"/>
      <c r="F18" s="575"/>
      <c r="G18" s="578">
        <f>E18-C18</f>
        <v>-4020140</v>
      </c>
    </row>
    <row r="19" spans="1:7" customHeight="1" ht="15.75">
      <c r="A19" s="421" t="s">
        <v>705</v>
      </c>
      <c r="B19" s="575"/>
      <c r="C19" s="592">
        <v>2941107.5</v>
      </c>
      <c r="D19" s="575"/>
      <c r="E19" s="593"/>
      <c r="F19" s="575"/>
      <c r="G19" s="594">
        <f>E19-C19</f>
        <v>-2941107.5</v>
      </c>
    </row>
    <row r="20" spans="1:7" customHeight="1" ht="16.5">
      <c r="A20" s="421" t="s">
        <v>706</v>
      </c>
      <c r="B20" s="575"/>
      <c r="C20" s="579">
        <v>9176640</v>
      </c>
      <c r="D20" s="575"/>
      <c r="E20" s="580">
        <v>9176640</v>
      </c>
      <c r="F20" s="575"/>
      <c r="G20" s="594">
        <f>E20-C20</f>
        <v>0</v>
      </c>
    </row>
    <row r="21" spans="1:7" customHeight="1" ht="16.5">
      <c r="A21" s="197" t="s">
        <v>707</v>
      </c>
      <c r="B21" s="582" t="s">
        <v>23</v>
      </c>
      <c r="C21" s="583">
        <f>SUM(C17:C20)</f>
        <v>33555142.89</v>
      </c>
      <c r="D21" s="582" t="s">
        <v>23</v>
      </c>
      <c r="E21" s="584">
        <f>SUM(E17:E20)</f>
        <v>9176640</v>
      </c>
      <c r="F21" s="582" t="s">
        <v>23</v>
      </c>
      <c r="G21" s="585">
        <f>SUM(G17:G20)</f>
        <v>-24378502.89</v>
      </c>
    </row>
    <row r="22" spans="1:7" customHeight="1" ht="15.75">
      <c r="A22" s="421" t="s">
        <v>708</v>
      </c>
      <c r="B22" s="575"/>
      <c r="C22" s="587"/>
      <c r="D22" s="575"/>
      <c r="E22" s="588"/>
      <c r="F22" s="575"/>
      <c r="G22" s="589"/>
    </row>
    <row r="23" spans="1:7" customHeight="1" ht="15.75">
      <c r="A23" s="421" t="s">
        <v>709</v>
      </c>
      <c r="B23" s="575" t="s">
        <v>23</v>
      </c>
      <c r="C23" s="576">
        <v>600000</v>
      </c>
      <c r="D23" s="575" t="s">
        <v>23</v>
      </c>
      <c r="E23" s="577"/>
      <c r="F23" s="575" t="s">
        <v>23</v>
      </c>
      <c r="G23" s="578">
        <f>E23-C23</f>
        <v>-600000</v>
      </c>
    </row>
    <row r="24" spans="1:7" customHeight="1" ht="15.75">
      <c r="A24" s="421" t="s">
        <v>710</v>
      </c>
      <c r="B24" s="575"/>
      <c r="C24" s="592">
        <v>1400000</v>
      </c>
      <c r="D24" s="575"/>
      <c r="E24" s="593"/>
      <c r="F24" s="575"/>
      <c r="G24" s="578">
        <f>E24-C24</f>
        <v>-1400000</v>
      </c>
    </row>
    <row r="25" spans="1:7" customHeight="1" ht="15.75">
      <c r="A25" s="421" t="s">
        <v>711</v>
      </c>
      <c r="B25" s="575"/>
      <c r="C25" s="592">
        <v>765000</v>
      </c>
      <c r="D25" s="575"/>
      <c r="E25" s="593"/>
      <c r="F25" s="575"/>
      <c r="G25" s="578">
        <f>E25-C25</f>
        <v>-765000</v>
      </c>
    </row>
    <row r="26" spans="1:7" customHeight="1" ht="16.5">
      <c r="A26" s="197" t="s">
        <v>712</v>
      </c>
      <c r="B26" s="582" t="s">
        <v>23</v>
      </c>
      <c r="C26" s="583">
        <f>SUM(C23:C25)</f>
        <v>2765000</v>
      </c>
      <c r="D26" s="582" t="s">
        <v>23</v>
      </c>
      <c r="E26" s="584">
        <f>SUM(E23:E25)</f>
        <v>0</v>
      </c>
      <c r="F26" s="582" t="s">
        <v>23</v>
      </c>
      <c r="G26" s="585">
        <f>SUM(G23:G25)</f>
        <v>-2765000</v>
      </c>
    </row>
    <row r="27" spans="1:7" customHeight="1" ht="16.5">
      <c r="A27" s="197" t="s">
        <v>713</v>
      </c>
      <c r="B27" s="582" t="s">
        <v>23</v>
      </c>
      <c r="C27" s="583">
        <f>C15+C21+C26</f>
        <v>94445520.62</v>
      </c>
      <c r="D27" s="582" t="s">
        <v>23</v>
      </c>
      <c r="E27" s="584">
        <f>E15+E21+E26</f>
        <v>70866615.52</v>
      </c>
      <c r="F27" s="582" t="s">
        <v>23</v>
      </c>
      <c r="G27" s="595">
        <f>G15+G21+G26</f>
        <v>-23578905.1</v>
      </c>
    </row>
    <row r="28" spans="1:7" customHeight="1" ht="15.75">
      <c r="A28" s="586"/>
      <c r="B28" s="582"/>
      <c r="C28" s="596"/>
      <c r="D28" s="582"/>
      <c r="E28" s="597"/>
      <c r="F28" s="582"/>
      <c r="G28" s="598"/>
    </row>
    <row r="29" spans="1:7" customHeight="1" ht="15.75">
      <c r="A29" s="586" t="s">
        <v>714</v>
      </c>
      <c r="B29" s="575"/>
      <c r="C29" s="587"/>
      <c r="D29" s="575"/>
      <c r="E29" s="588"/>
      <c r="F29" s="575"/>
      <c r="G29" s="589"/>
    </row>
    <row r="30" spans="1:7" customHeight="1" ht="15.75">
      <c r="A30" s="421" t="s">
        <v>715</v>
      </c>
      <c r="B30" s="575" t="s">
        <v>23</v>
      </c>
      <c r="C30" s="576">
        <v>28947532.6</v>
      </c>
      <c r="D30" s="575" t="s">
        <v>23</v>
      </c>
      <c r="E30" s="577">
        <f>E8*0.2</f>
        <v>34399414.8</v>
      </c>
      <c r="F30" s="575" t="s">
        <v>23</v>
      </c>
      <c r="G30" s="578">
        <f>E30-C30</f>
        <v>5451882.2</v>
      </c>
    </row>
    <row r="31" spans="1:7" customHeight="1" ht="15.75">
      <c r="A31" s="421" t="s">
        <v>716</v>
      </c>
      <c r="B31" s="575"/>
      <c r="C31" s="592">
        <v>7711433.15</v>
      </c>
      <c r="D31" s="575"/>
      <c r="E31" s="593">
        <f>E10*0.05</f>
        <v>9174403.7</v>
      </c>
      <c r="F31" s="575"/>
      <c r="G31" s="578">
        <f>E31-C31</f>
        <v>1462970.55</v>
      </c>
    </row>
    <row r="32" spans="1:7" customHeight="1" ht="15.75">
      <c r="A32" s="421" t="s">
        <v>717</v>
      </c>
      <c r="B32" s="575"/>
      <c r="C32" s="592">
        <v>1447376.63</v>
      </c>
      <c r="D32" s="575"/>
      <c r="E32" s="593">
        <f>E8*0.01</f>
        <v>1719970.74</v>
      </c>
      <c r="F32" s="575"/>
      <c r="G32" s="578">
        <f>E32-C32</f>
        <v>272594.11</v>
      </c>
    </row>
    <row r="33" spans="1:7" customHeight="1" ht="16.5">
      <c r="A33" s="421" t="s">
        <v>718</v>
      </c>
      <c r="B33" s="575"/>
      <c r="C33" s="579">
        <v>450000</v>
      </c>
      <c r="D33" s="575"/>
      <c r="E33" s="580">
        <v>450000</v>
      </c>
      <c r="F33" s="575"/>
      <c r="G33" s="581">
        <f>E33-C33</f>
        <v>0</v>
      </c>
    </row>
    <row r="34" spans="1:7" customHeight="1" ht="16.5">
      <c r="A34" s="197" t="s">
        <v>464</v>
      </c>
      <c r="B34" s="575" t="s">
        <v>23</v>
      </c>
      <c r="C34" s="583">
        <f>SUM(C30:C33)</f>
        <v>38556342.38</v>
      </c>
      <c r="D34" s="582" t="s">
        <v>23</v>
      </c>
      <c r="E34" s="584">
        <f>SUM(E30:E33)</f>
        <v>45743789.24</v>
      </c>
      <c r="F34" s="582" t="s">
        <v>23</v>
      </c>
      <c r="G34" s="578">
        <f>E34-C34</f>
        <v>7187446.86</v>
      </c>
    </row>
    <row r="35" spans="1:7" customHeight="1" ht="16.5">
      <c r="A35" s="599" t="s">
        <v>719</v>
      </c>
      <c r="B35" s="582"/>
      <c r="C35" s="600">
        <v>21226800</v>
      </c>
      <c r="D35" s="575"/>
      <c r="E35" s="601"/>
      <c r="F35" s="575"/>
      <c r="G35" s="602">
        <f>E35-C35</f>
        <v>-21226800</v>
      </c>
    </row>
    <row r="36" spans="1:7" customHeight="1" ht="16.5">
      <c r="A36" s="197" t="s">
        <v>318</v>
      </c>
      <c r="B36" s="582" t="s">
        <v>23</v>
      </c>
      <c r="C36" s="603">
        <f>SUM(C34:C35)</f>
        <v>59783142.38</v>
      </c>
      <c r="D36" s="582" t="s">
        <v>23</v>
      </c>
      <c r="E36" s="604">
        <f>SUM(E34:E35)</f>
        <v>45743789.24</v>
      </c>
      <c r="F36" s="582" t="s">
        <v>23</v>
      </c>
      <c r="G36" s="605">
        <f>SUM(G34:G35)</f>
        <v>-14039353.14</v>
      </c>
    </row>
    <row r="37" spans="1:7" customHeight="1" ht="16.5">
      <c r="A37" s="197" t="s">
        <v>370</v>
      </c>
      <c r="B37" s="582" t="s">
        <v>23</v>
      </c>
      <c r="C37" s="606">
        <f>C27+C36</f>
        <v>154228663</v>
      </c>
      <c r="D37" s="582" t="s">
        <v>23</v>
      </c>
      <c r="E37" s="607">
        <f>E27+E36</f>
        <v>116610404.76</v>
      </c>
      <c r="F37" s="582" t="s">
        <v>23</v>
      </c>
      <c r="G37" s="595">
        <f>G27+G36</f>
        <v>-37618258.24</v>
      </c>
    </row>
    <row r="38" spans="1:7" customHeight="1" ht="16.5">
      <c r="A38" s="284" t="s">
        <v>720</v>
      </c>
      <c r="B38" s="608" t="s">
        <v>23</v>
      </c>
      <c r="C38" s="609">
        <f>C10-C37</f>
        <v>0</v>
      </c>
      <c r="D38" s="608"/>
      <c r="E38" s="610">
        <f>E10-E37</f>
        <v>66877669.24</v>
      </c>
      <c r="F38" s="608"/>
      <c r="G38" s="611">
        <f>G10-G37</f>
        <v>66877669.24</v>
      </c>
    </row>
    <row r="39" spans="1:7" customHeight="1" ht="15.75">
      <c r="A39" s="187"/>
      <c r="B39" s="187"/>
      <c r="C39" s="612"/>
      <c r="D39" s="187"/>
      <c r="E39" s="613"/>
      <c r="F39" s="187"/>
      <c r="G39" s="612"/>
    </row>
    <row r="40" spans="1:7" customHeight="1" ht="21">
      <c r="A40" s="351" t="s">
        <v>328</v>
      </c>
      <c r="B40" s="351"/>
      <c r="C40" s="351"/>
      <c r="D40" s="351"/>
      <c r="E40" s="351"/>
      <c r="F40" s="351"/>
      <c r="G40" s="351"/>
    </row>
    <row r="41" spans="1:7" customHeight="1" ht="21">
      <c r="A41" s="351" t="s">
        <v>689</v>
      </c>
      <c r="B41" s="351"/>
      <c r="C41" s="351"/>
      <c r="D41" s="351"/>
      <c r="E41" s="351"/>
      <c r="F41" s="351"/>
      <c r="G41" s="351"/>
    </row>
    <row r="42" spans="1:7" customHeight="1" ht="15.75">
      <c r="A42" s="187"/>
      <c r="B42" s="187"/>
      <c r="C42" s="612"/>
      <c r="D42" s="187"/>
      <c r="E42" s="613"/>
      <c r="F42" s="187"/>
      <c r="G42" s="612"/>
    </row>
    <row r="43" spans="1:7" customHeight="1" ht="15.75">
      <c r="A43" s="568" t="s">
        <v>4</v>
      </c>
      <c r="B43" s="569" t="s">
        <v>690</v>
      </c>
      <c r="C43" s="569"/>
      <c r="D43" s="569" t="s">
        <v>8</v>
      </c>
      <c r="E43" s="569"/>
      <c r="F43" s="569" t="s">
        <v>691</v>
      </c>
      <c r="G43" s="570"/>
    </row>
    <row r="44" spans="1:7" customHeight="1" ht="16.5">
      <c r="A44" s="571"/>
      <c r="B44" s="572">
        <v>2023</v>
      </c>
      <c r="C44" s="572"/>
      <c r="D44" s="572">
        <v>2024</v>
      </c>
      <c r="E44" s="572"/>
      <c r="F44" s="572" t="s">
        <v>692</v>
      </c>
      <c r="G44" s="573"/>
    </row>
    <row r="45" spans="1:7" customHeight="1" ht="15.75">
      <c r="A45" s="189" t="s">
        <v>693</v>
      </c>
      <c r="B45" s="575"/>
      <c r="C45" s="614"/>
      <c r="D45" s="575"/>
      <c r="E45" s="615"/>
      <c r="F45" s="575"/>
      <c r="G45" s="616"/>
    </row>
    <row r="46" spans="1:7" customHeight="1" ht="15.75">
      <c r="A46" s="421" t="s">
        <v>721</v>
      </c>
      <c r="B46" s="575" t="s">
        <v>23</v>
      </c>
      <c r="C46" s="587">
        <v>6600000</v>
      </c>
      <c r="D46" s="575" t="s">
        <v>23</v>
      </c>
      <c r="E46" s="588">
        <v>6600000</v>
      </c>
      <c r="F46" s="575" t="s">
        <v>23</v>
      </c>
      <c r="G46" s="589">
        <f>E46-C46</f>
        <v>0</v>
      </c>
    </row>
    <row r="47" spans="1:7" customHeight="1" ht="16.5">
      <c r="A47" s="197" t="s">
        <v>697</v>
      </c>
      <c r="B47" s="582" t="s">
        <v>23</v>
      </c>
      <c r="C47" s="617">
        <f>SUM(C46:C46)</f>
        <v>6600000</v>
      </c>
      <c r="D47" s="582" t="s">
        <v>23</v>
      </c>
      <c r="E47" s="618">
        <f>SUM(E46:E46)</f>
        <v>6600000</v>
      </c>
      <c r="F47" s="582" t="s">
        <v>23</v>
      </c>
      <c r="G47" s="619">
        <f>SUM(G46:G46)</f>
        <v>0</v>
      </c>
    </row>
    <row r="48" spans="1:7" customHeight="1" ht="15.75">
      <c r="A48" s="586" t="s">
        <v>698</v>
      </c>
      <c r="B48" s="575"/>
      <c r="C48" s="587"/>
      <c r="D48" s="575"/>
      <c r="E48" s="588"/>
      <c r="F48" s="575"/>
      <c r="G48" s="589"/>
    </row>
    <row r="49" spans="1:7" customHeight="1" ht="15.75">
      <c r="A49" s="586" t="s">
        <v>699</v>
      </c>
      <c r="B49" s="575"/>
      <c r="C49" s="587"/>
      <c r="D49" s="575"/>
      <c r="E49" s="588"/>
      <c r="F49" s="575"/>
      <c r="G49" s="589"/>
    </row>
    <row r="50" spans="1:7" customHeight="1" ht="15.75">
      <c r="A50" s="421" t="s">
        <v>700</v>
      </c>
      <c r="B50" s="575" t="s">
        <v>23</v>
      </c>
      <c r="C50" s="576">
        <v>3969341.86</v>
      </c>
      <c r="D50" s="575" t="s">
        <v>23</v>
      </c>
      <c r="E50" s="577">
        <v>3969341.86</v>
      </c>
      <c r="F50" s="575" t="s">
        <v>23</v>
      </c>
      <c r="G50" s="578">
        <f>E50-C50</f>
        <v>0</v>
      </c>
    </row>
    <row r="51" spans="1:7" customHeight="1" ht="15.75">
      <c r="A51" s="421" t="s">
        <v>722</v>
      </c>
      <c r="B51" s="575"/>
      <c r="C51" s="592">
        <v>2630658.14</v>
      </c>
      <c r="D51" s="575"/>
      <c r="E51" s="593">
        <v>2630658.14</v>
      </c>
      <c r="F51" s="575"/>
      <c r="G51" s="594">
        <f>E51-C51</f>
        <v>0</v>
      </c>
    </row>
    <row r="52" spans="1:7" customHeight="1" ht="16.5">
      <c r="A52" s="197" t="s">
        <v>370</v>
      </c>
      <c r="B52" s="582" t="s">
        <v>23</v>
      </c>
      <c r="C52" s="583">
        <f>SUM(C50:C51)</f>
        <v>6600000</v>
      </c>
      <c r="D52" s="582" t="s">
        <v>23</v>
      </c>
      <c r="E52" s="584">
        <f>SUM(E50:E51)</f>
        <v>6600000</v>
      </c>
      <c r="F52" s="582" t="s">
        <v>23</v>
      </c>
      <c r="G52" s="619">
        <f>SUM(G50:G51)</f>
        <v>0</v>
      </c>
    </row>
    <row r="53" spans="1:7" customHeight="1" ht="16.5">
      <c r="A53" s="284" t="s">
        <v>720</v>
      </c>
      <c r="B53" s="608" t="s">
        <v>23</v>
      </c>
      <c r="C53" s="609">
        <f>C47-C52</f>
        <v>0</v>
      </c>
      <c r="D53" s="608" t="s">
        <v>23</v>
      </c>
      <c r="E53" s="610">
        <f>E47-E52</f>
        <v>0</v>
      </c>
      <c r="F53" s="608" t="s">
        <v>23</v>
      </c>
      <c r="G53" s="611">
        <f>G47-G52</f>
        <v>0</v>
      </c>
    </row>
    <row r="54" spans="1:7" customHeight="1" ht="15.75"/>
    <row r="57" spans="1:7" customHeight="1" ht="15.75">
      <c r="A57" s="183" t="s">
        <v>688</v>
      </c>
      <c r="B57" s="183"/>
      <c r="C57" s="183"/>
      <c r="D57" s="183"/>
      <c r="E57" s="183"/>
      <c r="F57" s="183"/>
      <c r="G57" s="183"/>
    </row>
    <row r="58" spans="1:7" customHeight="1" ht="15.75">
      <c r="A58" s="183" t="s">
        <v>689</v>
      </c>
      <c r="B58" s="183"/>
      <c r="C58" s="183"/>
      <c r="D58" s="183"/>
      <c r="E58" s="183"/>
      <c r="F58" s="183"/>
      <c r="G58" s="183"/>
    </row>
    <row r="59" spans="1:7" customHeight="1" ht="15.75">
      <c r="A59" s="184"/>
      <c r="B59" s="184"/>
      <c r="C59" s="184"/>
      <c r="D59" s="184"/>
      <c r="E59" s="620"/>
      <c r="F59" s="184"/>
      <c r="G59" s="184"/>
    </row>
    <row r="60" spans="1:7">
      <c r="A60" s="621" t="s">
        <v>4</v>
      </c>
      <c r="B60" s="622" t="s">
        <v>690</v>
      </c>
      <c r="C60" s="622"/>
      <c r="D60" s="622" t="s">
        <v>8</v>
      </c>
      <c r="E60" s="622"/>
      <c r="F60" s="622" t="s">
        <v>691</v>
      </c>
      <c r="G60" s="622"/>
    </row>
    <row r="61" spans="1:7" customHeight="1" ht="15.75">
      <c r="A61" s="623"/>
      <c r="B61" s="624">
        <v>2024</v>
      </c>
      <c r="C61" s="624"/>
      <c r="D61" s="624">
        <v>2025</v>
      </c>
      <c r="E61" s="624"/>
      <c r="F61" s="624" t="s">
        <v>692</v>
      </c>
      <c r="G61" s="624"/>
    </row>
    <row r="62" spans="1:7">
      <c r="A62" s="190" t="s">
        <v>693</v>
      </c>
      <c r="C62" s="329"/>
      <c r="E62" s="574"/>
      <c r="G62" s="329"/>
    </row>
    <row r="63" spans="1:7">
      <c r="A63" s="382" t="s">
        <v>694</v>
      </c>
      <c r="B63" t="s">
        <v>23</v>
      </c>
      <c r="C63" s="625">
        <f>7366723.35-16000</f>
        <v>7350723.35</v>
      </c>
      <c r="D63" t="s">
        <v>23</v>
      </c>
      <c r="E63" s="626">
        <v>0</v>
      </c>
      <c r="F63" t="s">
        <v>23</v>
      </c>
      <c r="G63" s="625">
        <f>E63-C63</f>
        <v>-7350723.35</v>
      </c>
    </row>
    <row r="64" spans="1:7">
      <c r="A64" s="382" t="s">
        <v>695</v>
      </c>
      <c r="C64" s="625">
        <v>144737663</v>
      </c>
      <c r="E64" s="626">
        <v>171997074</v>
      </c>
      <c r="G64" s="625">
        <f>E64-C64</f>
        <v>27259411</v>
      </c>
    </row>
    <row r="65" spans="1:7">
      <c r="A65" s="382" t="s">
        <v>696</v>
      </c>
      <c r="C65" s="627">
        <v>9491000</v>
      </c>
      <c r="E65" s="628">
        <f>C65+4000000</f>
        <v>13491000</v>
      </c>
      <c r="G65" s="625">
        <f>E65-C65</f>
        <v>4000000</v>
      </c>
    </row>
    <row r="66" spans="1:7" customHeight="1" ht="15.75">
      <c r="A66" s="198" t="s">
        <v>697</v>
      </c>
      <c r="B66" s="187" t="s">
        <v>23</v>
      </c>
      <c r="C66" s="629">
        <f>SUM(C63:C65)</f>
        <v>161579386.35</v>
      </c>
      <c r="D66" s="187" t="s">
        <v>23</v>
      </c>
      <c r="E66" s="630">
        <f>SUM(E63:E65)</f>
        <v>185488074</v>
      </c>
      <c r="F66" s="187" t="s">
        <v>23</v>
      </c>
      <c r="G66" s="629">
        <f>SUM(G63:G65)</f>
        <v>23908687.65</v>
      </c>
    </row>
    <row r="67" spans="1:7" customHeight="1" ht="15.75">
      <c r="A67" s="198"/>
      <c r="B67" s="187"/>
      <c r="C67" s="631"/>
      <c r="D67" s="187"/>
      <c r="E67" s="632"/>
      <c r="F67" s="187"/>
      <c r="G67" s="631"/>
    </row>
    <row r="68" spans="1:7">
      <c r="A68" s="315" t="s">
        <v>698</v>
      </c>
      <c r="C68" s="627"/>
      <c r="E68" s="628"/>
      <c r="G68" s="627"/>
    </row>
    <row r="69" spans="1:7">
      <c r="A69" s="315" t="s">
        <v>723</v>
      </c>
      <c r="C69" s="323"/>
      <c r="E69" s="633"/>
      <c r="G69" s="323"/>
    </row>
    <row r="70" spans="1:7">
      <c r="A70" s="382" t="s">
        <v>700</v>
      </c>
      <c r="B70" t="s">
        <v>23</v>
      </c>
      <c r="C70" s="625">
        <v>6170918.63</v>
      </c>
      <c r="D70" t="s">
        <v>23</v>
      </c>
      <c r="E70" s="626">
        <v>8544783</v>
      </c>
      <c r="F70" t="s">
        <v>23</v>
      </c>
      <c r="G70" s="625">
        <f>E70-C70</f>
        <v>2373864.37</v>
      </c>
    </row>
    <row r="71" spans="1:7">
      <c r="A71" s="382" t="s">
        <v>724</v>
      </c>
      <c r="C71" s="634">
        <v>22029216.39</v>
      </c>
      <c r="E71" s="635">
        <f>C71+1050000+3000000-500000+44540.01+500000-1500000+3578.01-1229.87+300000+548868.85-54860.16+9.99</f>
        <v>25420123.22</v>
      </c>
      <c r="G71" s="625">
        <f>E71-C71</f>
        <v>3390906.83</v>
      </c>
    </row>
    <row r="72" spans="1:7">
      <c r="A72" s="382" t="s">
        <v>725</v>
      </c>
      <c r="C72" s="634">
        <v>1050000</v>
      </c>
      <c r="E72" s="635">
        <f>900000-300000</f>
        <v>600000</v>
      </c>
      <c r="G72" s="625">
        <f>E72-C72</f>
        <v>-450000</v>
      </c>
    </row>
    <row r="73" spans="1:7" customHeight="1" ht="15.75">
      <c r="A73" s="198" t="s">
        <v>621</v>
      </c>
      <c r="B73" s="187" t="s">
        <v>23</v>
      </c>
      <c r="C73" s="636">
        <f>SUM(C70:C72)</f>
        <v>29250135.02</v>
      </c>
      <c r="D73" s="187" t="s">
        <v>23</v>
      </c>
      <c r="E73" s="637">
        <f>SUM(E70:E72)</f>
        <v>34564906.22</v>
      </c>
      <c r="F73" s="187" t="s">
        <v>23</v>
      </c>
      <c r="G73" s="636">
        <f>E73-C73</f>
        <v>5314771.2</v>
      </c>
    </row>
    <row r="74" spans="1:7">
      <c r="A74" s="315" t="s">
        <v>726</v>
      </c>
      <c r="B74" s="187"/>
      <c r="C74" s="631"/>
      <c r="D74" s="187"/>
      <c r="E74" s="632"/>
      <c r="F74" s="187"/>
      <c r="G74" s="631"/>
    </row>
    <row r="75" spans="1:7">
      <c r="A75" s="382" t="s">
        <v>700</v>
      </c>
      <c r="B75" t="s">
        <v>23</v>
      </c>
      <c r="C75" s="627">
        <v>1369366.41</v>
      </c>
      <c r="D75" t="s">
        <v>23</v>
      </c>
      <c r="E75" s="628">
        <v>1650492</v>
      </c>
      <c r="F75" t="s">
        <v>23</v>
      </c>
      <c r="G75" s="625">
        <f>E75-C75</f>
        <v>281125.59</v>
      </c>
    </row>
    <row r="76" spans="1:7">
      <c r="A76" s="382" t="s">
        <v>724</v>
      </c>
      <c r="B76" s="187"/>
      <c r="C76" s="634">
        <v>217360</v>
      </c>
      <c r="E76" s="635">
        <v>267360</v>
      </c>
      <c r="G76" s="625">
        <f>E76-C76</f>
        <v>50000</v>
      </c>
    </row>
    <row r="77" spans="1:7">
      <c r="A77" s="382" t="s">
        <v>725</v>
      </c>
      <c r="B77" s="187"/>
      <c r="C77" s="627">
        <v>0</v>
      </c>
      <c r="E77" s="628">
        <v>0</v>
      </c>
      <c r="G77" s="625">
        <f>E77-C77</f>
        <v>0</v>
      </c>
    </row>
    <row r="78" spans="1:7" customHeight="1" ht="15.75">
      <c r="A78" s="198" t="s">
        <v>621</v>
      </c>
      <c r="B78" s="187" t="s">
        <v>23</v>
      </c>
      <c r="C78" s="636">
        <f>SUM(C75:C77)</f>
        <v>1586726.41</v>
      </c>
      <c r="D78" s="187" t="s">
        <v>23</v>
      </c>
      <c r="E78" s="637">
        <f>SUM(E75:E77)</f>
        <v>1917852</v>
      </c>
      <c r="F78" s="187" t="s">
        <v>23</v>
      </c>
      <c r="G78" s="636">
        <f>E78-C78</f>
        <v>331125.59</v>
      </c>
    </row>
    <row r="79" spans="1:7">
      <c r="A79" s="315" t="s">
        <v>727</v>
      </c>
      <c r="C79" s="627"/>
      <c r="E79" s="628"/>
      <c r="G79" s="627"/>
    </row>
    <row r="80" spans="1:7">
      <c r="A80" s="382" t="s">
        <v>700</v>
      </c>
      <c r="B80" t="s">
        <v>23</v>
      </c>
      <c r="C80" s="625">
        <v>3826187.48</v>
      </c>
      <c r="D80" t="s">
        <v>23</v>
      </c>
      <c r="E80" s="626">
        <v>4562407</v>
      </c>
      <c r="F80" t="s">
        <v>23</v>
      </c>
      <c r="G80" s="625">
        <f>E80-C80</f>
        <v>736219.52</v>
      </c>
    </row>
    <row r="81" spans="1:7">
      <c r="A81" s="382" t="s">
        <v>724</v>
      </c>
      <c r="C81" s="634">
        <v>2125640</v>
      </c>
      <c r="E81" s="635">
        <f>(C81+700000)+500000</f>
        <v>3325640</v>
      </c>
      <c r="G81" s="625">
        <f>E81-C81</f>
        <v>1200000</v>
      </c>
    </row>
    <row r="82" spans="1:7">
      <c r="A82" s="382" t="s">
        <v>725</v>
      </c>
      <c r="C82" s="634">
        <v>1400000</v>
      </c>
      <c r="E82" s="635">
        <v>0</v>
      </c>
      <c r="G82" s="625">
        <f>E82-C82</f>
        <v>-1400000</v>
      </c>
    </row>
    <row r="83" spans="1:7" customHeight="1" ht="15.75">
      <c r="A83" s="198" t="s">
        <v>621</v>
      </c>
      <c r="B83" s="187" t="s">
        <v>23</v>
      </c>
      <c r="C83" s="636">
        <f>SUM(C80:C82)</f>
        <v>7351827.48</v>
      </c>
      <c r="D83" s="187" t="s">
        <v>23</v>
      </c>
      <c r="E83" s="637">
        <f>SUM(E80:E82)</f>
        <v>7888047</v>
      </c>
      <c r="F83" s="187" t="s">
        <v>23</v>
      </c>
      <c r="G83" s="636">
        <f>E83-C83</f>
        <v>536219.52</v>
      </c>
    </row>
    <row r="84" spans="1:7">
      <c r="A84" s="315" t="s">
        <v>728</v>
      </c>
      <c r="C84" s="627"/>
      <c r="E84" s="628"/>
      <c r="G84" s="627"/>
    </row>
    <row r="85" spans="1:7">
      <c r="A85" s="382" t="s">
        <v>700</v>
      </c>
      <c r="B85" t="s">
        <v>23</v>
      </c>
      <c r="C85" s="627">
        <v>13989829.96</v>
      </c>
      <c r="D85" t="s">
        <v>23</v>
      </c>
      <c r="E85" s="628">
        <v>18279280</v>
      </c>
      <c r="F85" t="s">
        <v>23</v>
      </c>
      <c r="G85" s="625">
        <f>E85-C85</f>
        <v>4289450.04</v>
      </c>
    </row>
    <row r="86" spans="1:7">
      <c r="A86" s="382" t="s">
        <v>724</v>
      </c>
      <c r="C86" s="634">
        <v>2294500</v>
      </c>
      <c r="E86" s="635">
        <f>(C86+700000)+500000</f>
        <v>3494500</v>
      </c>
      <c r="G86" s="625">
        <f>E86-C86</f>
        <v>1200000</v>
      </c>
    </row>
    <row r="87" spans="1:7">
      <c r="A87" s="382" t="s">
        <v>725</v>
      </c>
      <c r="C87" s="634">
        <v>0</v>
      </c>
      <c r="E87" s="635">
        <v>0</v>
      </c>
      <c r="G87" s="625">
        <f>E87-C87</f>
        <v>0</v>
      </c>
    </row>
    <row r="88" spans="1:7" customHeight="1" ht="15.75">
      <c r="A88" s="198" t="s">
        <v>621</v>
      </c>
      <c r="B88" s="187" t="s">
        <v>23</v>
      </c>
      <c r="C88" s="636">
        <f>SUM(C85:C87)</f>
        <v>16284329.96</v>
      </c>
      <c r="D88" s="187" t="s">
        <v>23</v>
      </c>
      <c r="E88" s="637">
        <f>SUM(E85:E87)</f>
        <v>21773780</v>
      </c>
      <c r="F88" s="187" t="s">
        <v>23</v>
      </c>
      <c r="G88" s="636">
        <f>E88-C88</f>
        <v>5489450.04</v>
      </c>
    </row>
    <row r="89" spans="1:7">
      <c r="A89" s="315" t="s">
        <v>729</v>
      </c>
      <c r="C89" s="627"/>
      <c r="E89" s="628"/>
      <c r="G89" s="627"/>
    </row>
    <row r="90" spans="1:7">
      <c r="A90" s="382" t="s">
        <v>700</v>
      </c>
      <c r="B90" t="s">
        <v>23</v>
      </c>
      <c r="C90" s="627">
        <v>1820138.16</v>
      </c>
      <c r="D90" t="s">
        <v>23</v>
      </c>
      <c r="E90" s="628">
        <v>1956927</v>
      </c>
      <c r="F90" t="s">
        <v>23</v>
      </c>
      <c r="G90" s="625">
        <f>E90-C90</f>
        <v>136788.84</v>
      </c>
    </row>
    <row r="91" spans="1:7">
      <c r="A91" s="382" t="s">
        <v>724</v>
      </c>
      <c r="C91" s="634">
        <v>271700</v>
      </c>
      <c r="E91" s="635">
        <v>296700</v>
      </c>
      <c r="G91" s="625">
        <f>E91-C91</f>
        <v>25000</v>
      </c>
    </row>
    <row r="92" spans="1:7">
      <c r="A92" s="382" t="s">
        <v>725</v>
      </c>
      <c r="C92" s="634">
        <v>0</v>
      </c>
      <c r="E92" s="635">
        <v>75000</v>
      </c>
      <c r="G92" s="625">
        <f>E92-C92</f>
        <v>75000</v>
      </c>
    </row>
    <row r="93" spans="1:7" customHeight="1" ht="15.75">
      <c r="A93" s="198" t="s">
        <v>621</v>
      </c>
      <c r="B93" s="187" t="s">
        <v>23</v>
      </c>
      <c r="C93" s="636">
        <f>SUM(C90:C92)</f>
        <v>2091838.16</v>
      </c>
      <c r="D93" s="187" t="s">
        <v>23</v>
      </c>
      <c r="E93" s="637">
        <f>SUM(E90:E92)</f>
        <v>2328627</v>
      </c>
      <c r="F93" s="187" t="s">
        <v>23</v>
      </c>
      <c r="G93" s="636">
        <f>E93-C93</f>
        <v>236788.84</v>
      </c>
    </row>
    <row r="94" spans="1:7">
      <c r="A94" s="315" t="s">
        <v>730</v>
      </c>
      <c r="C94" s="627"/>
      <c r="E94" s="628"/>
      <c r="G94" s="627"/>
    </row>
    <row r="95" spans="1:7">
      <c r="A95" s="382" t="s">
        <v>700</v>
      </c>
      <c r="B95" t="s">
        <v>23</v>
      </c>
      <c r="C95" s="627">
        <v>2847207.48</v>
      </c>
      <c r="D95" t="s">
        <v>23</v>
      </c>
      <c r="E95" s="628">
        <v>1881034</v>
      </c>
      <c r="F95" t="s">
        <v>23</v>
      </c>
      <c r="G95" s="625">
        <f>E95-C95</f>
        <v>-966173.48</v>
      </c>
    </row>
    <row r="96" spans="1:7">
      <c r="A96" s="382" t="s">
        <v>724</v>
      </c>
      <c r="C96" s="634">
        <v>270350</v>
      </c>
      <c r="E96" s="635">
        <v>270350</v>
      </c>
      <c r="G96" s="625">
        <f>E96-C96</f>
        <v>0</v>
      </c>
    </row>
    <row r="97" spans="1:7">
      <c r="A97" s="382" t="s">
        <v>725</v>
      </c>
      <c r="C97" s="634">
        <v>0</v>
      </c>
      <c r="E97" s="635">
        <v>100000</v>
      </c>
      <c r="G97" s="625">
        <f>E97-C97</f>
        <v>100000</v>
      </c>
    </row>
    <row r="98" spans="1:7" customHeight="1" ht="15.75">
      <c r="A98" s="198" t="s">
        <v>621</v>
      </c>
      <c r="B98" s="187" t="s">
        <v>23</v>
      </c>
      <c r="C98" s="636">
        <f>SUM(C95:C97)</f>
        <v>3117557.48</v>
      </c>
      <c r="D98" s="187" t="s">
        <v>23</v>
      </c>
      <c r="E98" s="637">
        <f>SUM(E95:E97)</f>
        <v>2251384</v>
      </c>
      <c r="F98" s="187" t="s">
        <v>23</v>
      </c>
      <c r="G98" s="636">
        <f>E98-C98</f>
        <v>-866173.48</v>
      </c>
    </row>
    <row r="99" spans="1:7">
      <c r="A99" s="315" t="s">
        <v>731</v>
      </c>
      <c r="C99" s="627"/>
      <c r="E99" s="628"/>
      <c r="G99" s="627"/>
    </row>
    <row r="100" spans="1:7">
      <c r="A100" s="382" t="s">
        <v>700</v>
      </c>
      <c r="B100" t="s">
        <v>23</v>
      </c>
      <c r="C100" s="627">
        <v>2114232.13</v>
      </c>
      <c r="D100" t="s">
        <v>23</v>
      </c>
      <c r="E100" s="628">
        <v>2891426</v>
      </c>
      <c r="F100" t="s">
        <v>23</v>
      </c>
      <c r="G100" s="625">
        <f>E100-C100</f>
        <v>777193.87</v>
      </c>
    </row>
    <row r="101" spans="1:7">
      <c r="A101" s="382" t="s">
        <v>724</v>
      </c>
      <c r="C101" s="634">
        <v>444690</v>
      </c>
      <c r="E101" s="635">
        <f>444690-150000+100000</f>
        <v>394690</v>
      </c>
      <c r="G101" s="625">
        <f>E101-C101</f>
        <v>-50000</v>
      </c>
    </row>
    <row r="102" spans="1:7">
      <c r="A102" s="382" t="s">
        <v>725</v>
      </c>
      <c r="C102" s="634">
        <v>0</v>
      </c>
      <c r="E102" s="635">
        <v>0</v>
      </c>
      <c r="G102" s="625">
        <f>E102-C102</f>
        <v>0</v>
      </c>
    </row>
    <row r="103" spans="1:7" customHeight="1" ht="15.75">
      <c r="A103" s="198" t="s">
        <v>621</v>
      </c>
      <c r="B103" s="187" t="s">
        <v>23</v>
      </c>
      <c r="C103" s="636">
        <f>SUM(C100:C102)</f>
        <v>2558922.13</v>
      </c>
      <c r="D103" s="187" t="s">
        <v>23</v>
      </c>
      <c r="E103" s="637">
        <f>SUM(E100:E102)</f>
        <v>3286116</v>
      </c>
      <c r="F103" s="187" t="s">
        <v>23</v>
      </c>
      <c r="G103" s="636">
        <f>E103-C103</f>
        <v>727193.87</v>
      </c>
    </row>
    <row r="104" spans="1:7">
      <c r="A104" s="315" t="s">
        <v>732</v>
      </c>
      <c r="C104" s="627"/>
      <c r="E104" s="628"/>
      <c r="G104" s="627"/>
    </row>
    <row r="105" spans="1:7">
      <c r="A105" s="382" t="s">
        <v>700</v>
      </c>
      <c r="B105" t="s">
        <v>23</v>
      </c>
      <c r="C105" s="627">
        <v>2353240.32</v>
      </c>
      <c r="D105" t="s">
        <v>23</v>
      </c>
      <c r="E105" s="628">
        <v>2553210</v>
      </c>
      <c r="F105" t="s">
        <v>23</v>
      </c>
      <c r="G105" s="625">
        <f>E105-C105</f>
        <v>199969.68</v>
      </c>
    </row>
    <row r="106" spans="1:7">
      <c r="A106" s="382" t="s">
        <v>724</v>
      </c>
      <c r="C106" s="634">
        <v>277665</v>
      </c>
      <c r="E106" s="635">
        <f>277665+100000+75000-90000</f>
        <v>362665</v>
      </c>
      <c r="G106" s="625">
        <f>E106-C106</f>
        <v>85000</v>
      </c>
    </row>
    <row r="107" spans="1:7">
      <c r="A107" s="382" t="s">
        <v>725</v>
      </c>
      <c r="C107" s="634">
        <v>75000</v>
      </c>
      <c r="E107" s="635">
        <v>90000</v>
      </c>
      <c r="G107" s="625">
        <f>E107-C107</f>
        <v>15000</v>
      </c>
    </row>
    <row r="108" spans="1:7" customHeight="1" ht="15.75">
      <c r="A108" s="198" t="s">
        <v>621</v>
      </c>
      <c r="B108" s="187" t="s">
        <v>23</v>
      </c>
      <c r="C108" s="636">
        <f>SUM(C105:C107)</f>
        <v>2705905.32</v>
      </c>
      <c r="D108" s="187" t="s">
        <v>23</v>
      </c>
      <c r="E108" s="637">
        <f>SUM(E105:E107)</f>
        <v>3005875</v>
      </c>
      <c r="F108" s="187" t="s">
        <v>23</v>
      </c>
      <c r="G108" s="636">
        <f>E108-C108</f>
        <v>299969.68</v>
      </c>
    </row>
    <row r="109" spans="1:7">
      <c r="A109" s="315" t="s">
        <v>733</v>
      </c>
      <c r="C109" s="627"/>
      <c r="E109" s="628"/>
      <c r="G109" s="627"/>
    </row>
    <row r="110" spans="1:7">
      <c r="A110" s="382" t="s">
        <v>700</v>
      </c>
      <c r="B110" t="s">
        <v>23</v>
      </c>
      <c r="C110" s="627">
        <v>2740422.76</v>
      </c>
      <c r="D110" t="s">
        <v>23</v>
      </c>
      <c r="E110" s="628">
        <v>3009913</v>
      </c>
      <c r="F110" t="s">
        <v>23</v>
      </c>
      <c r="G110" s="625">
        <f>E110-C110</f>
        <v>269490.24</v>
      </c>
    </row>
    <row r="111" spans="1:7">
      <c r="A111" s="382" t="s">
        <v>724</v>
      </c>
      <c r="C111" s="634">
        <v>385605</v>
      </c>
      <c r="E111" s="635">
        <v>415605</v>
      </c>
      <c r="G111" s="625">
        <f>E111-C111</f>
        <v>30000</v>
      </c>
    </row>
    <row r="112" spans="1:7">
      <c r="A112" s="382" t="s">
        <v>725</v>
      </c>
      <c r="C112" s="634">
        <v>0</v>
      </c>
      <c r="E112" s="635">
        <v>70000</v>
      </c>
      <c r="G112" s="625">
        <f>E112-C112</f>
        <v>70000</v>
      </c>
    </row>
    <row r="113" spans="1:7" customHeight="1" ht="15.75">
      <c r="A113" s="198" t="s">
        <v>621</v>
      </c>
      <c r="B113" s="187" t="s">
        <v>23</v>
      </c>
      <c r="C113" s="636">
        <f>SUM(C110:C112)</f>
        <v>3126027.76</v>
      </c>
      <c r="D113" s="187" t="s">
        <v>23</v>
      </c>
      <c r="E113" s="637">
        <f>SUM(E110:E112)</f>
        <v>3495518</v>
      </c>
      <c r="F113" s="187" t="s">
        <v>23</v>
      </c>
      <c r="G113" s="636">
        <f>E113-C113</f>
        <v>369490.24</v>
      </c>
    </row>
    <row r="114" spans="1:7">
      <c r="A114" s="638" t="s">
        <v>616</v>
      </c>
      <c r="B114" s="639" t="s">
        <v>23</v>
      </c>
      <c r="C114" s="640">
        <f>C73+C78+C83+C88+C93+C98+C103+C108+C113</f>
        <v>68073269.72</v>
      </c>
      <c r="D114" s="639" t="s">
        <v>23</v>
      </c>
      <c r="E114" s="641">
        <f>E73+E78+E83+E88+E93+E98+E103+E108+E113</f>
        <v>80512105.22</v>
      </c>
      <c r="F114" s="639" t="s">
        <v>23</v>
      </c>
      <c r="G114" s="640">
        <f>G73+G78+G83+G88+G93+G98+G103+G108+G113</f>
        <v>12438835.5</v>
      </c>
    </row>
    <row r="115" spans="1:7">
      <c r="A115" s="642"/>
      <c r="B115" s="187"/>
      <c r="C115" s="643"/>
      <c r="D115" s="187"/>
      <c r="E115" s="644"/>
      <c r="F115" s="187"/>
      <c r="G115" s="643"/>
    </row>
    <row r="116" spans="1:7">
      <c r="A116" s="186"/>
      <c r="B116" s="187"/>
      <c r="C116" s="612"/>
      <c r="D116" s="187"/>
      <c r="E116" s="613"/>
      <c r="F116" s="187"/>
      <c r="G116" s="612"/>
    </row>
    <row r="117" spans="1:7">
      <c r="A117" s="186"/>
      <c r="B117" s="187"/>
      <c r="C117" s="612"/>
      <c r="D117" s="187"/>
      <c r="E117" s="613"/>
      <c r="F117" s="187"/>
      <c r="G117" s="612"/>
    </row>
    <row r="118" spans="1:7">
      <c r="A118" s="621" t="s">
        <v>4</v>
      </c>
      <c r="B118" s="622" t="s">
        <v>690</v>
      </c>
      <c r="C118" s="622"/>
      <c r="D118" s="622" t="s">
        <v>8</v>
      </c>
      <c r="E118" s="622"/>
      <c r="F118" s="622" t="s">
        <v>691</v>
      </c>
      <c r="G118" s="622"/>
    </row>
    <row r="119" spans="1:7" customHeight="1" ht="15.75">
      <c r="A119" s="623"/>
      <c r="B119" s="624">
        <v>2023</v>
      </c>
      <c r="C119" s="624"/>
      <c r="D119" s="624">
        <v>2024</v>
      </c>
      <c r="E119" s="624"/>
      <c r="F119" s="624" t="s">
        <v>692</v>
      </c>
      <c r="G119" s="624"/>
    </row>
    <row r="120" spans="1:7">
      <c r="A120" s="586" t="s">
        <v>734</v>
      </c>
      <c r="C120" s="323"/>
      <c r="E120" s="633"/>
      <c r="G120" s="476"/>
    </row>
    <row r="121" spans="1:7">
      <c r="A121" s="421" t="s">
        <v>700</v>
      </c>
      <c r="B121" t="s">
        <v>23</v>
      </c>
      <c r="C121" s="625">
        <v>4066820.86</v>
      </c>
      <c r="D121" t="s">
        <v>23</v>
      </c>
      <c r="E121" s="626">
        <v>4420712</v>
      </c>
      <c r="F121" t="s">
        <v>23</v>
      </c>
      <c r="G121" s="645">
        <f>E121-C121</f>
        <v>353891.14</v>
      </c>
    </row>
    <row r="122" spans="1:7">
      <c r="A122" s="421" t="s">
        <v>724</v>
      </c>
      <c r="C122" s="634">
        <v>545490</v>
      </c>
      <c r="E122" s="635">
        <v>590490</v>
      </c>
      <c r="G122" s="645">
        <f>E122-C122</f>
        <v>45000</v>
      </c>
    </row>
    <row r="123" spans="1:7">
      <c r="A123" s="421" t="s">
        <v>725</v>
      </c>
      <c r="C123" s="634">
        <v>35000</v>
      </c>
      <c r="E123" s="635">
        <v>90000</v>
      </c>
      <c r="G123" s="645">
        <f>E123-C123</f>
        <v>55000</v>
      </c>
    </row>
    <row r="124" spans="1:7" customHeight="1" ht="15.75">
      <c r="A124" s="197" t="s">
        <v>621</v>
      </c>
      <c r="B124" t="s">
        <v>23</v>
      </c>
      <c r="C124" s="636">
        <f>SUM(C121:C123)</f>
        <v>4647310.86</v>
      </c>
      <c r="D124" s="187" t="s">
        <v>23</v>
      </c>
      <c r="E124" s="637">
        <f>SUM(E121:E123)</f>
        <v>5101202</v>
      </c>
      <c r="F124" s="187" t="s">
        <v>23</v>
      </c>
      <c r="G124" s="646">
        <f>E124-C124</f>
        <v>453891.14</v>
      </c>
    </row>
    <row r="125" spans="1:7">
      <c r="A125" s="586" t="s">
        <v>735</v>
      </c>
      <c r="C125" s="627"/>
      <c r="E125" s="628"/>
      <c r="G125" s="647"/>
    </row>
    <row r="126" spans="1:7">
      <c r="A126" s="421" t="s">
        <v>700</v>
      </c>
      <c r="B126" t="s">
        <v>23</v>
      </c>
      <c r="C126" s="627">
        <v>2418532.63</v>
      </c>
      <c r="D126" t="s">
        <v>23</v>
      </c>
      <c r="E126" s="628">
        <v>2619114</v>
      </c>
      <c r="F126" t="s">
        <v>23</v>
      </c>
      <c r="G126" s="645">
        <f>E126-C126</f>
        <v>200581.37</v>
      </c>
    </row>
    <row r="127" spans="1:7">
      <c r="A127" s="421" t="s">
        <v>724</v>
      </c>
      <c r="C127" s="634">
        <v>266997.5</v>
      </c>
      <c r="E127" s="635">
        <v>311997.5</v>
      </c>
      <c r="G127" s="645">
        <f>E127-C127</f>
        <v>45000</v>
      </c>
    </row>
    <row r="128" spans="1:7">
      <c r="A128" s="421" t="s">
        <v>725</v>
      </c>
      <c r="C128" s="634">
        <v>0</v>
      </c>
      <c r="E128" s="635">
        <v>55000</v>
      </c>
      <c r="G128" s="645">
        <f>E128-C128</f>
        <v>55000</v>
      </c>
    </row>
    <row r="129" spans="1:7" customHeight="1" ht="15.75">
      <c r="A129" s="197" t="s">
        <v>621</v>
      </c>
      <c r="B129" t="s">
        <v>23</v>
      </c>
      <c r="C129" s="636">
        <f>SUM(C126:C128)</f>
        <v>2685530.13</v>
      </c>
      <c r="D129" s="187" t="s">
        <v>23</v>
      </c>
      <c r="E129" s="637">
        <f>SUM(E126:E128)</f>
        <v>2986111.5</v>
      </c>
      <c r="F129" s="187" t="s">
        <v>23</v>
      </c>
      <c r="G129" s="646">
        <f>E129-C129</f>
        <v>300581.37</v>
      </c>
    </row>
    <row r="130" spans="1:7">
      <c r="A130" s="586" t="s">
        <v>736</v>
      </c>
      <c r="C130" s="627"/>
      <c r="E130" s="628"/>
      <c r="G130" s="647"/>
    </row>
    <row r="131" spans="1:7">
      <c r="A131" s="421" t="s">
        <v>700</v>
      </c>
      <c r="B131" t="s">
        <v>23</v>
      </c>
      <c r="C131" s="627">
        <v>9281808.48</v>
      </c>
      <c r="D131" t="s">
        <v>23</v>
      </c>
      <c r="E131" s="339">
        <v>10632253</v>
      </c>
      <c r="F131" t="s">
        <v>23</v>
      </c>
      <c r="G131" s="645">
        <f>E131-C131</f>
        <v>1350444.52</v>
      </c>
    </row>
    <row r="132" spans="1:7">
      <c r="A132" s="421" t="s">
        <v>724</v>
      </c>
      <c r="C132" s="634">
        <v>3465000</v>
      </c>
      <c r="E132" s="635">
        <v>4585000</v>
      </c>
      <c r="G132" s="645">
        <f>E132-C132</f>
        <v>1120000</v>
      </c>
    </row>
    <row r="133" spans="1:7">
      <c r="A133" s="421" t="s">
        <v>725</v>
      </c>
      <c r="C133" s="634">
        <v>620000</v>
      </c>
      <c r="E133" s="635">
        <v>500000</v>
      </c>
      <c r="G133" s="645">
        <f>E133-C133</f>
        <v>-120000</v>
      </c>
    </row>
    <row r="134" spans="1:7" customHeight="1" ht="15.75">
      <c r="A134" s="197" t="s">
        <v>621</v>
      </c>
      <c r="B134" t="s">
        <v>23</v>
      </c>
      <c r="C134" s="636">
        <f>SUM(C131:C133)</f>
        <v>13366808.48</v>
      </c>
      <c r="D134" s="187" t="s">
        <v>23</v>
      </c>
      <c r="E134" s="637">
        <f>SUM(E131:E133)</f>
        <v>15717253</v>
      </c>
      <c r="F134" s="187" t="s">
        <v>23</v>
      </c>
      <c r="G134" s="646">
        <f>E134-C134</f>
        <v>2350444.52</v>
      </c>
    </row>
    <row r="135" spans="1:7">
      <c r="A135" s="586" t="s">
        <v>737</v>
      </c>
      <c r="C135" s="627"/>
      <c r="E135" s="628"/>
      <c r="G135" s="647"/>
    </row>
    <row r="136" spans="1:7">
      <c r="A136" s="421" t="s">
        <v>700</v>
      </c>
      <c r="B136" t="s">
        <v>23</v>
      </c>
      <c r="C136" s="627">
        <v>2628099.22</v>
      </c>
      <c r="D136" t="s">
        <v>23</v>
      </c>
      <c r="E136" s="628">
        <v>3159005.6</v>
      </c>
      <c r="F136" t="s">
        <v>23</v>
      </c>
      <c r="G136" s="645">
        <f>E136-C136</f>
        <v>530906.38</v>
      </c>
    </row>
    <row r="137" spans="1:7">
      <c r="A137" s="421" t="s">
        <v>724</v>
      </c>
      <c r="C137" s="634">
        <v>3292040</v>
      </c>
      <c r="E137" s="635">
        <f>C137+1000000</f>
        <v>4292040</v>
      </c>
      <c r="G137" s="645">
        <f>E137-C137</f>
        <v>1000000</v>
      </c>
    </row>
    <row r="138" spans="1:7">
      <c r="A138" s="421" t="s">
        <v>725</v>
      </c>
      <c r="C138" s="634">
        <v>0</v>
      </c>
      <c r="E138" s="635">
        <v>0</v>
      </c>
      <c r="G138" s="645">
        <f>E138-C138</f>
        <v>0</v>
      </c>
    </row>
    <row r="139" spans="1:7" customHeight="1" ht="15.75">
      <c r="A139" s="197" t="s">
        <v>621</v>
      </c>
      <c r="B139" t="s">
        <v>23</v>
      </c>
      <c r="C139" s="636">
        <f>SUM(C136:C138)</f>
        <v>5920139.22</v>
      </c>
      <c r="D139" s="187" t="s">
        <v>23</v>
      </c>
      <c r="E139" s="637">
        <f>SUM(E136:E138)</f>
        <v>7451045.6</v>
      </c>
      <c r="F139" s="187" t="s">
        <v>23</v>
      </c>
      <c r="G139" s="646">
        <f>E139-C139</f>
        <v>1530906.38</v>
      </c>
    </row>
    <row r="140" spans="1:7">
      <c r="A140" s="586" t="s">
        <v>738</v>
      </c>
      <c r="C140" s="627"/>
      <c r="E140" s="628"/>
      <c r="G140" s="647"/>
    </row>
    <row r="141" spans="1:7">
      <c r="A141" s="421" t="s">
        <v>700</v>
      </c>
      <c r="B141" t="s">
        <v>23</v>
      </c>
      <c r="C141" s="627">
        <v>2603757.52</v>
      </c>
      <c r="D141" t="s">
        <v>23</v>
      </c>
      <c r="E141" s="628">
        <v>2841977</v>
      </c>
      <c r="F141" t="s">
        <v>23</v>
      </c>
      <c r="G141" s="645">
        <f>E141-C141</f>
        <v>238219.48</v>
      </c>
    </row>
    <row r="142" spans="1:7">
      <c r="A142" s="421" t="s">
        <v>724</v>
      </c>
      <c r="C142" s="634">
        <v>2519600</v>
      </c>
      <c r="E142" s="635">
        <f>C142+1000000</f>
        <v>3519600</v>
      </c>
      <c r="G142" s="645">
        <f>E142-C142</f>
        <v>1000000</v>
      </c>
    </row>
    <row r="143" spans="1:7">
      <c r="A143" s="421" t="s">
        <v>725</v>
      </c>
      <c r="C143" s="634">
        <v>0</v>
      </c>
      <c r="E143" s="635">
        <v>0</v>
      </c>
      <c r="G143" s="645">
        <f>E143-C143</f>
        <v>0</v>
      </c>
    </row>
    <row r="144" spans="1:7" customHeight="1" ht="15.75">
      <c r="A144" s="197" t="s">
        <v>621</v>
      </c>
      <c r="B144" t="s">
        <v>23</v>
      </c>
      <c r="C144" s="636">
        <f>SUM(C141:C143)</f>
        <v>5123357.52</v>
      </c>
      <c r="D144" s="187" t="s">
        <v>23</v>
      </c>
      <c r="E144" s="637">
        <f>SUM(E141:E143)</f>
        <v>6361577</v>
      </c>
      <c r="F144" s="187" t="s">
        <v>23</v>
      </c>
      <c r="G144" s="646">
        <f>E144-C144</f>
        <v>1238219.48</v>
      </c>
    </row>
    <row r="145" spans="1:7">
      <c r="A145" s="586" t="s">
        <v>739</v>
      </c>
      <c r="C145" s="627"/>
      <c r="E145" s="628"/>
      <c r="G145" s="647"/>
    </row>
    <row r="146" spans="1:7">
      <c r="A146" s="421" t="s">
        <v>700</v>
      </c>
      <c r="B146" t="s">
        <v>23</v>
      </c>
      <c r="C146" s="627">
        <v>1833578.04</v>
      </c>
      <c r="D146" t="s">
        <v>23</v>
      </c>
      <c r="E146" s="628">
        <v>1977568</v>
      </c>
      <c r="F146" t="s">
        <v>23</v>
      </c>
      <c r="G146" s="645">
        <f>E146-C146</f>
        <v>143989.96</v>
      </c>
    </row>
    <row r="147" spans="1:7">
      <c r="A147" s="421" t="s">
        <v>724</v>
      </c>
      <c r="C147" s="634">
        <v>261250</v>
      </c>
      <c r="E147" s="635">
        <v>305000</v>
      </c>
      <c r="G147" s="645">
        <f>E147-C147</f>
        <v>43750</v>
      </c>
    </row>
    <row r="148" spans="1:7">
      <c r="A148" s="421" t="s">
        <v>725</v>
      </c>
      <c r="C148" s="634">
        <v>35000</v>
      </c>
      <c r="E148" s="635">
        <v>91250</v>
      </c>
      <c r="G148" s="645">
        <f>E148-C148</f>
        <v>56250</v>
      </c>
    </row>
    <row r="149" spans="1:7" customHeight="1" ht="15.75">
      <c r="A149" s="197" t="s">
        <v>621</v>
      </c>
      <c r="B149" t="s">
        <v>23</v>
      </c>
      <c r="C149" s="636">
        <f>SUM(C146:C148)</f>
        <v>2129828.04</v>
      </c>
      <c r="D149" s="187" t="s">
        <v>23</v>
      </c>
      <c r="E149" s="637">
        <f>SUM(E146:E148)</f>
        <v>2373818</v>
      </c>
      <c r="F149" s="187" t="s">
        <v>23</v>
      </c>
      <c r="G149" s="646">
        <f>E149-C149</f>
        <v>243989.96</v>
      </c>
    </row>
    <row r="150" spans="1:7" customHeight="1" ht="15.75">
      <c r="A150" s="648" t="s">
        <v>740</v>
      </c>
      <c r="B150" s="649" t="s">
        <v>23</v>
      </c>
      <c r="C150" s="650">
        <f>C149+C144+C139+C134+C129+C124+C114</f>
        <v>101946243.97</v>
      </c>
      <c r="D150" s="649"/>
      <c r="E150" s="651">
        <f>E149+E144+E139+E134+E129+E124+E114</f>
        <v>120503112.32</v>
      </c>
      <c r="F150" s="649"/>
      <c r="G150" s="650">
        <f>G149+G144+G139+G134+G129+G124+G114</f>
        <v>18556868.35</v>
      </c>
    </row>
    <row r="151" spans="1:7">
      <c r="A151" s="586" t="s">
        <v>714</v>
      </c>
      <c r="C151" s="329"/>
      <c r="E151" s="652"/>
      <c r="G151" s="653"/>
    </row>
    <row r="152" spans="1:7">
      <c r="A152" s="421" t="s">
        <v>741</v>
      </c>
      <c r="B152" t="s">
        <v>23</v>
      </c>
      <c r="C152" s="627">
        <v>28947532.6</v>
      </c>
      <c r="D152" t="s">
        <v>23</v>
      </c>
      <c r="E152" s="628">
        <f>(E64*0.2)+59372.44</f>
        <v>34458787.24</v>
      </c>
      <c r="F152" t="s">
        <v>23</v>
      </c>
      <c r="G152" s="488">
        <f>E152-C152</f>
        <v>5511254.64</v>
      </c>
    </row>
    <row r="153" spans="1:7">
      <c r="A153" s="421" t="s">
        <v>742</v>
      </c>
      <c r="C153" s="634">
        <v>7711433.15</v>
      </c>
      <c r="E153" s="635">
        <f>E66*0.05</f>
        <v>9274403.7</v>
      </c>
      <c r="G153" s="654">
        <f>E153-C153</f>
        <v>1562970.55</v>
      </c>
    </row>
    <row r="154" spans="1:7">
      <c r="A154" s="404" t="s">
        <v>717</v>
      </c>
      <c r="C154" s="634">
        <v>1447376.63</v>
      </c>
      <c r="E154" s="635">
        <f>E64*0.01</f>
        <v>1719970.74</v>
      </c>
      <c r="G154" s="654">
        <f>E154-C154</f>
        <v>272594.11</v>
      </c>
    </row>
    <row r="155" spans="1:7">
      <c r="A155" s="599" t="s">
        <v>718</v>
      </c>
      <c r="C155" s="634">
        <v>450000</v>
      </c>
      <c r="E155" s="635">
        <v>450000</v>
      </c>
      <c r="G155" s="488">
        <f>E155-C155</f>
        <v>0</v>
      </c>
    </row>
    <row r="156" spans="1:7" customHeight="1" ht="15.75">
      <c r="A156" s="197" t="s">
        <v>743</v>
      </c>
      <c r="B156" t="s">
        <v>23</v>
      </c>
      <c r="C156" s="636">
        <f>SUM(C152:C155)</f>
        <v>38556342.38</v>
      </c>
      <c r="D156" s="187" t="s">
        <v>23</v>
      </c>
      <c r="E156" s="637">
        <f>SUM(E152:E155)</f>
        <v>45903161.68</v>
      </c>
      <c r="F156" s="187" t="s">
        <v>23</v>
      </c>
      <c r="G156" s="646">
        <f>SUM(G152:G155)</f>
        <v>7346819.3</v>
      </c>
    </row>
    <row r="157" spans="1:7">
      <c r="A157" s="586" t="s">
        <v>719</v>
      </c>
      <c r="C157" s="323"/>
      <c r="E157" s="628"/>
      <c r="G157" s="653"/>
    </row>
    <row r="158" spans="1:7">
      <c r="A158" s="404" t="s">
        <v>744</v>
      </c>
      <c r="C158" s="634">
        <v>4820000</v>
      </c>
      <c r="E158" s="635">
        <v>0</v>
      </c>
      <c r="G158" s="654">
        <f>E158-C158</f>
        <v>-4820000</v>
      </c>
    </row>
    <row r="159" spans="1:7">
      <c r="A159" s="421" t="s">
        <v>745</v>
      </c>
      <c r="C159" s="625">
        <v>1000000</v>
      </c>
      <c r="E159" s="626">
        <v>1000000</v>
      </c>
      <c r="G159" s="654">
        <f>E159-C159</f>
        <v>0</v>
      </c>
    </row>
    <row r="160" spans="1:7">
      <c r="A160" s="421" t="s">
        <v>746</v>
      </c>
      <c r="C160" s="625">
        <v>100000</v>
      </c>
      <c r="E160" s="626">
        <v>100000</v>
      </c>
      <c r="G160" s="654">
        <f>E160-C160</f>
        <v>0</v>
      </c>
    </row>
    <row r="161" spans="1:7">
      <c r="A161" s="421" t="s">
        <v>747</v>
      </c>
      <c r="C161" s="625">
        <v>200000</v>
      </c>
      <c r="E161" s="626">
        <v>200000</v>
      </c>
      <c r="G161" s="654">
        <f>E161-C161</f>
        <v>0</v>
      </c>
    </row>
    <row r="162" spans="1:7">
      <c r="A162" s="421" t="s">
        <v>748</v>
      </c>
      <c r="C162" s="625">
        <v>50000</v>
      </c>
      <c r="E162" s="626">
        <v>50000</v>
      </c>
      <c r="G162" s="654">
        <f>E162-C162</f>
        <v>0</v>
      </c>
    </row>
    <row r="163" spans="1:7">
      <c r="A163" s="421" t="s">
        <v>749</v>
      </c>
      <c r="C163" s="625">
        <v>200000</v>
      </c>
      <c r="E163" s="626">
        <v>200000</v>
      </c>
      <c r="G163" s="654">
        <f>E163-C163</f>
        <v>0</v>
      </c>
    </row>
    <row r="164" spans="1:7">
      <c r="A164" s="421" t="s">
        <v>750</v>
      </c>
      <c r="C164" s="625">
        <v>500000</v>
      </c>
      <c r="E164" s="626">
        <v>800000</v>
      </c>
      <c r="G164" s="654">
        <f>E164-C164</f>
        <v>300000</v>
      </c>
    </row>
    <row r="165" spans="1:7">
      <c r="A165" s="421" t="s">
        <v>751</v>
      </c>
      <c r="C165" s="625">
        <v>300000</v>
      </c>
      <c r="E165" s="626">
        <v>300000</v>
      </c>
      <c r="G165" s="654">
        <f>E165-C165</f>
        <v>0</v>
      </c>
    </row>
    <row r="166" spans="1:7">
      <c r="A166" s="421" t="s">
        <v>752</v>
      </c>
      <c r="C166" s="634">
        <v>2000000</v>
      </c>
      <c r="E166" s="635">
        <v>2000000</v>
      </c>
      <c r="G166" s="654">
        <f>E166-C166</f>
        <v>0</v>
      </c>
    </row>
    <row r="167" spans="1:7">
      <c r="A167" s="421" t="s">
        <v>753</v>
      </c>
      <c r="C167" s="634">
        <v>950000</v>
      </c>
      <c r="E167" s="626">
        <v>1200000</v>
      </c>
      <c r="G167" s="654">
        <f>E167-C167</f>
        <v>250000</v>
      </c>
    </row>
    <row r="168" spans="1:7">
      <c r="A168" s="421" t="s">
        <v>754</v>
      </c>
      <c r="C168" s="634">
        <v>200000</v>
      </c>
      <c r="E168" s="635">
        <v>200000</v>
      </c>
      <c r="G168" s="654">
        <f>E168-C168</f>
        <v>0</v>
      </c>
    </row>
    <row r="169" spans="1:7">
      <c r="A169" s="421" t="s">
        <v>755</v>
      </c>
      <c r="C169" s="634">
        <v>352000</v>
      </c>
      <c r="E169" s="635">
        <v>352000</v>
      </c>
      <c r="G169" s="654">
        <f>E169-C169</f>
        <v>0</v>
      </c>
    </row>
    <row r="170" spans="1:7">
      <c r="A170" s="421" t="s">
        <v>756</v>
      </c>
      <c r="C170" s="627"/>
      <c r="E170" s="628"/>
      <c r="G170" s="488"/>
    </row>
    <row r="171" spans="1:7">
      <c r="A171" s="421" t="s">
        <v>757</v>
      </c>
      <c r="C171" s="625">
        <v>200000</v>
      </c>
      <c r="E171" s="626">
        <v>200000</v>
      </c>
      <c r="G171" s="645">
        <f>E171-C171</f>
        <v>0</v>
      </c>
    </row>
    <row r="172" spans="1:7">
      <c r="A172" s="421" t="s">
        <v>758</v>
      </c>
      <c r="C172" s="627">
        <v>100000</v>
      </c>
      <c r="E172" s="628">
        <v>100000</v>
      </c>
      <c r="G172" s="645">
        <f>E172-C172</f>
        <v>0</v>
      </c>
    </row>
    <row r="173" spans="1:7">
      <c r="A173" s="421" t="s">
        <v>759</v>
      </c>
      <c r="C173" s="634">
        <v>175000</v>
      </c>
      <c r="E173" s="635">
        <v>200000</v>
      </c>
      <c r="G173" s="654">
        <f>E173-C173</f>
        <v>25000</v>
      </c>
    </row>
    <row r="174" spans="1:7">
      <c r="A174" s="421" t="s">
        <v>760</v>
      </c>
      <c r="C174" s="634">
        <v>36000</v>
      </c>
      <c r="E174" s="635">
        <v>36000</v>
      </c>
      <c r="G174" s="655">
        <f>E174-C174</f>
        <v>0</v>
      </c>
    </row>
    <row r="175" spans="1:7">
      <c r="A175" s="421" t="s">
        <v>761</v>
      </c>
      <c r="C175" s="634">
        <v>60000</v>
      </c>
      <c r="E175" s="635">
        <v>60000</v>
      </c>
      <c r="G175" s="655">
        <f>E175-C175</f>
        <v>0</v>
      </c>
    </row>
    <row r="176" spans="1:7">
      <c r="A176" s="421" t="s">
        <v>762</v>
      </c>
      <c r="C176" s="634">
        <v>30000</v>
      </c>
      <c r="E176" s="635">
        <v>30000</v>
      </c>
      <c r="G176" s="655">
        <f>E176-C176</f>
        <v>0</v>
      </c>
    </row>
    <row r="177" spans="1:7" customHeight="1" ht="15.75">
      <c r="A177" s="197" t="s">
        <v>621</v>
      </c>
      <c r="B177" t="s">
        <v>23</v>
      </c>
      <c r="C177" s="636">
        <f>SUM(C158:C176)</f>
        <v>11273000</v>
      </c>
      <c r="D177" s="187" t="s">
        <v>23</v>
      </c>
      <c r="E177" s="637">
        <f>SUM(E158:E176)</f>
        <v>7028000</v>
      </c>
      <c r="F177" s="187" t="s">
        <v>23</v>
      </c>
      <c r="G177" s="646">
        <f>E177-C177</f>
        <v>-4245000</v>
      </c>
    </row>
    <row r="178" spans="1:7" customHeight="1" ht="15.75">
      <c r="A178" s="648" t="s">
        <v>616</v>
      </c>
      <c r="B178" s="649" t="s">
        <v>23</v>
      </c>
      <c r="C178" s="656">
        <f>C150+C156+C177</f>
        <v>151775586.35</v>
      </c>
      <c r="D178" s="649" t="s">
        <v>23</v>
      </c>
      <c r="E178" s="657">
        <f>E177+E156+E150</f>
        <v>173434274</v>
      </c>
      <c r="F178" s="649" t="s">
        <v>23</v>
      </c>
      <c r="G178" s="658">
        <f>G136+G177</f>
        <v>-3714093.62</v>
      </c>
    </row>
    <row r="179" spans="1:7">
      <c r="A179" s="621" t="s">
        <v>4</v>
      </c>
      <c r="B179" s="622" t="s">
        <v>690</v>
      </c>
      <c r="C179" s="622"/>
      <c r="D179" s="622" t="s">
        <v>8</v>
      </c>
      <c r="E179" s="622"/>
      <c r="F179" s="622" t="s">
        <v>691</v>
      </c>
      <c r="G179" s="622"/>
    </row>
    <row r="180" spans="1:7" customHeight="1" ht="15.75">
      <c r="A180" s="623"/>
      <c r="B180" s="624">
        <v>2023</v>
      </c>
      <c r="C180" s="624"/>
      <c r="D180" s="624">
        <v>2024</v>
      </c>
      <c r="E180" s="624"/>
      <c r="F180" s="624" t="s">
        <v>692</v>
      </c>
      <c r="G180" s="624"/>
    </row>
    <row r="181" spans="1:7">
      <c r="A181" s="421" t="s">
        <v>763</v>
      </c>
      <c r="C181" s="634">
        <v>150000</v>
      </c>
      <c r="E181" s="635">
        <v>0</v>
      </c>
      <c r="G181" s="659">
        <f>E181-C181</f>
        <v>-150000</v>
      </c>
    </row>
    <row r="182" spans="1:7">
      <c r="A182" s="421" t="s">
        <v>764</v>
      </c>
      <c r="C182" s="625">
        <v>50000</v>
      </c>
      <c r="E182" s="626">
        <v>50000</v>
      </c>
      <c r="G182" s="655">
        <f>E182-C182</f>
        <v>0</v>
      </c>
    </row>
    <row r="183" spans="1:7">
      <c r="A183" s="421" t="s">
        <v>765</v>
      </c>
      <c r="C183" s="634">
        <v>50000</v>
      </c>
      <c r="E183" s="635">
        <v>50000</v>
      </c>
      <c r="G183" s="655">
        <f>E183-C183</f>
        <v>0</v>
      </c>
    </row>
    <row r="184" spans="1:7">
      <c r="A184" s="660" t="s">
        <v>766</v>
      </c>
      <c r="C184" s="634">
        <v>0</v>
      </c>
      <c r="E184" s="635">
        <v>30000</v>
      </c>
      <c r="G184" s="655">
        <f>E184-C184</f>
        <v>30000</v>
      </c>
    </row>
    <row r="185" spans="1:7">
      <c r="A185" s="660" t="s">
        <v>767</v>
      </c>
      <c r="C185" s="634">
        <v>30000</v>
      </c>
      <c r="E185" s="635">
        <v>30000</v>
      </c>
      <c r="G185" s="655">
        <f>E185-C185</f>
        <v>0</v>
      </c>
    </row>
    <row r="186" spans="1:7">
      <c r="A186" s="421" t="s">
        <v>768</v>
      </c>
      <c r="C186" s="634">
        <v>2000000</v>
      </c>
      <c r="E186" s="635">
        <v>2000000</v>
      </c>
      <c r="G186" s="654">
        <f>E186-C186</f>
        <v>0</v>
      </c>
    </row>
    <row r="187" spans="1:7">
      <c r="A187" s="421" t="s">
        <v>769</v>
      </c>
      <c r="C187" s="634">
        <v>200000</v>
      </c>
      <c r="E187" s="635">
        <v>1000000</v>
      </c>
      <c r="F187" s="661"/>
      <c r="G187" s="662">
        <f>E187-C187</f>
        <v>800000</v>
      </c>
    </row>
    <row r="188" spans="1:7">
      <c r="A188" s="421" t="s">
        <v>770</v>
      </c>
      <c r="C188" s="625">
        <v>250000</v>
      </c>
      <c r="E188" s="626">
        <v>250000</v>
      </c>
      <c r="G188" s="663">
        <f>E188-C188</f>
        <v>0</v>
      </c>
    </row>
    <row r="189" spans="1:7">
      <c r="A189" s="421" t="s">
        <v>771</v>
      </c>
      <c r="C189" s="625">
        <v>100000</v>
      </c>
      <c r="E189" s="626">
        <v>200000</v>
      </c>
      <c r="G189" s="664">
        <f>E189-C189</f>
        <v>100000</v>
      </c>
    </row>
    <row r="190" spans="1:7">
      <c r="A190" s="421" t="s">
        <v>772</v>
      </c>
      <c r="C190" s="625">
        <v>0</v>
      </c>
      <c r="E190" s="626">
        <v>150000</v>
      </c>
      <c r="G190" s="664">
        <f>E190-C190</f>
        <v>150000</v>
      </c>
    </row>
    <row r="191" spans="1:7">
      <c r="A191" s="421" t="s">
        <v>773</v>
      </c>
      <c r="C191" s="625">
        <v>0</v>
      </c>
      <c r="E191" s="626">
        <v>150000</v>
      </c>
      <c r="G191" s="664">
        <f>E191-C191</f>
        <v>150000</v>
      </c>
    </row>
    <row r="192" spans="1:7">
      <c r="A192" s="421" t="s">
        <v>774</v>
      </c>
      <c r="C192" s="625">
        <v>600000</v>
      </c>
      <c r="D192" s="665"/>
      <c r="E192" s="626">
        <v>600000</v>
      </c>
      <c r="F192" s="186"/>
      <c r="G192" s="666">
        <f>E192-C192</f>
        <v>0</v>
      </c>
    </row>
    <row r="193" spans="1:7">
      <c r="A193" s="404" t="s">
        <v>775</v>
      </c>
      <c r="C193" s="625">
        <v>500000</v>
      </c>
      <c r="D193" s="186"/>
      <c r="E193" s="626">
        <v>500000</v>
      </c>
      <c r="F193" s="186"/>
      <c r="G193" s="666">
        <f>E193-C193</f>
        <v>0</v>
      </c>
    </row>
    <row r="194" spans="1:7">
      <c r="A194" s="421" t="s">
        <v>776</v>
      </c>
      <c r="C194" s="625">
        <v>1200000</v>
      </c>
      <c r="E194" s="626">
        <f>1200000</f>
        <v>1200000</v>
      </c>
      <c r="G194" s="667">
        <v>0</v>
      </c>
    </row>
    <row r="195" spans="1:7">
      <c r="A195" s="421" t="s">
        <v>777</v>
      </c>
      <c r="C195" s="634">
        <v>21000</v>
      </c>
      <c r="E195" s="635">
        <v>21000</v>
      </c>
      <c r="G195" s="668">
        <v>0</v>
      </c>
    </row>
    <row r="196" spans="1:7">
      <c r="A196" s="421" t="s">
        <v>778</v>
      </c>
      <c r="C196" s="634">
        <v>380000</v>
      </c>
      <c r="E196" s="635">
        <v>500000</v>
      </c>
      <c r="G196" s="668">
        <v>0</v>
      </c>
    </row>
    <row r="197" spans="1:7">
      <c r="A197" s="421" t="s">
        <v>779</v>
      </c>
      <c r="C197" s="634">
        <v>1000000</v>
      </c>
      <c r="E197" s="635">
        <v>500000</v>
      </c>
      <c r="G197" s="668">
        <v>0</v>
      </c>
    </row>
    <row r="198" spans="1:7">
      <c r="A198" s="421" t="s">
        <v>780</v>
      </c>
      <c r="C198" s="634">
        <v>1100000</v>
      </c>
      <c r="E198" s="635">
        <v>2000000</v>
      </c>
      <c r="G198" s="666">
        <f>E198-C198</f>
        <v>900000</v>
      </c>
    </row>
    <row r="199" spans="1:7">
      <c r="A199" s="421" t="s">
        <v>781</v>
      </c>
      <c r="C199" s="634">
        <v>20000</v>
      </c>
      <c r="E199" s="635">
        <v>20000</v>
      </c>
      <c r="G199" s="666">
        <f>E199-C199</f>
        <v>0</v>
      </c>
    </row>
    <row r="200" spans="1:7">
      <c r="A200" s="421" t="s">
        <v>782</v>
      </c>
      <c r="C200" s="634">
        <v>300000</v>
      </c>
      <c r="E200" s="635">
        <v>500000</v>
      </c>
      <c r="G200" s="666">
        <f>E200-C200</f>
        <v>200000</v>
      </c>
    </row>
    <row r="201" spans="1:7">
      <c r="A201" s="421" t="s">
        <v>783</v>
      </c>
      <c r="C201" s="634">
        <v>52800</v>
      </c>
      <c r="E201" s="635">
        <v>52800</v>
      </c>
      <c r="G201" s="668">
        <v>0</v>
      </c>
    </row>
    <row r="202" spans="1:7">
      <c r="A202" s="421" t="s">
        <v>784</v>
      </c>
      <c r="C202" s="634">
        <v>150000</v>
      </c>
      <c r="E202" s="635">
        <v>150000</v>
      </c>
      <c r="G202" s="668">
        <v>0</v>
      </c>
    </row>
    <row r="203" spans="1:7">
      <c r="A203" s="660" t="s">
        <v>785</v>
      </c>
      <c r="C203" s="634">
        <v>0</v>
      </c>
      <c r="E203" s="635">
        <v>300000</v>
      </c>
      <c r="G203" s="654">
        <f>E203-C203</f>
        <v>300000</v>
      </c>
    </row>
    <row r="204" spans="1:7">
      <c r="A204" s="660" t="s">
        <v>786</v>
      </c>
      <c r="C204" s="634">
        <v>150000</v>
      </c>
      <c r="E204" s="635">
        <v>200000</v>
      </c>
      <c r="G204" s="654">
        <f>E204-C204</f>
        <v>50000</v>
      </c>
    </row>
    <row r="205" spans="1:7">
      <c r="A205" s="660" t="s">
        <v>787</v>
      </c>
      <c r="C205" s="634">
        <v>1000000</v>
      </c>
      <c r="E205" s="635">
        <v>1000000</v>
      </c>
      <c r="G205" s="654">
        <f>E205-C205</f>
        <v>0</v>
      </c>
    </row>
    <row r="206" spans="1:7">
      <c r="A206" s="660" t="s">
        <v>788</v>
      </c>
      <c r="C206" s="634">
        <v>500000</v>
      </c>
      <c r="E206" s="635">
        <v>500000</v>
      </c>
      <c r="G206" s="654">
        <f>E206-C206</f>
        <v>0</v>
      </c>
    </row>
    <row r="207" spans="1:7" customHeight="1" ht="15.75">
      <c r="A207" s="660" t="s">
        <v>789</v>
      </c>
      <c r="C207" s="669">
        <v>0</v>
      </c>
      <c r="E207" s="670">
        <v>100000</v>
      </c>
      <c r="G207" s="654">
        <f>E207-C207</f>
        <v>100000</v>
      </c>
    </row>
    <row r="208" spans="1:7" customHeight="1" ht="15.75">
      <c r="A208" s="197" t="s">
        <v>621</v>
      </c>
      <c r="B208" s="187" t="s">
        <v>23</v>
      </c>
      <c r="C208" s="631">
        <f>SUM(C181:C207)</f>
        <v>9803800</v>
      </c>
      <c r="D208" s="187" t="s">
        <v>23</v>
      </c>
      <c r="E208" s="632">
        <f>SUM(E181:E207)</f>
        <v>12053800</v>
      </c>
      <c r="F208" s="187" t="s">
        <v>23</v>
      </c>
      <c r="G208" s="631">
        <f>SUM(G181:G207)</f>
        <v>2630000</v>
      </c>
    </row>
    <row r="209" spans="1:7" customHeight="1" ht="15.75">
      <c r="A209" s="197" t="s">
        <v>616</v>
      </c>
      <c r="B209" s="187" t="s">
        <v>23</v>
      </c>
      <c r="C209" s="656">
        <f>C208</f>
        <v>9803800</v>
      </c>
      <c r="D209" s="187" t="s">
        <v>23</v>
      </c>
      <c r="E209" s="657">
        <f>SUM(E208)</f>
        <v>12053800</v>
      </c>
      <c r="F209" s="187" t="s">
        <v>23</v>
      </c>
      <c r="G209" s="658">
        <f>SUM(G208)</f>
        <v>2630000</v>
      </c>
    </row>
    <row r="210" spans="1:7" customHeight="1" ht="15.75">
      <c r="A210" s="197" t="s">
        <v>318</v>
      </c>
      <c r="B210" s="187" t="s">
        <v>23</v>
      </c>
      <c r="C210" s="656">
        <f>C209+C177+C156</f>
        <v>59633142.38</v>
      </c>
      <c r="D210" s="187" t="s">
        <v>23</v>
      </c>
      <c r="E210" s="657">
        <f>E209+E177+E156</f>
        <v>64984961.68</v>
      </c>
      <c r="F210" s="187" t="s">
        <v>23</v>
      </c>
      <c r="G210" s="656">
        <f>G209+G177+G156</f>
        <v>5731819.3</v>
      </c>
    </row>
    <row r="211" spans="1:7" customHeight="1" ht="15.75">
      <c r="A211" s="671" t="s">
        <v>370</v>
      </c>
      <c r="B211" s="672" t="s">
        <v>23</v>
      </c>
      <c r="C211" s="673">
        <f>C210+C150</f>
        <v>161579386.35</v>
      </c>
      <c r="D211" s="672" t="s">
        <v>23</v>
      </c>
      <c r="E211" s="674">
        <f>E150+E210</f>
        <v>185488074</v>
      </c>
      <c r="F211" s="672" t="s">
        <v>23</v>
      </c>
      <c r="G211" s="675">
        <f>G150+G210</f>
        <v>24288687.65</v>
      </c>
    </row>
    <row r="212" spans="1:7" customHeight="1" ht="15.75">
      <c r="A212" s="186"/>
      <c r="B212" s="187"/>
      <c r="C212" s="249"/>
      <c r="D212" s="187"/>
      <c r="E212" s="613"/>
      <c r="F212" s="187"/>
      <c r="G212" s="612"/>
    </row>
    <row r="213" spans="1:7">
      <c r="A213" s="270" t="s">
        <v>568</v>
      </c>
      <c r="C213" s="270" t="s">
        <v>373</v>
      </c>
      <c r="E213" s="339">
        <f>E66-E211</f>
        <v>0</v>
      </c>
      <c r="G213" s="249"/>
    </row>
    <row r="215" spans="1:7">
      <c r="C215" s="249"/>
    </row>
    <row r="217" spans="1:7">
      <c r="A217" s="186" t="s">
        <v>374</v>
      </c>
      <c r="C217" s="185" t="s">
        <v>326</v>
      </c>
      <c r="D217" s="185"/>
      <c r="E217" s="185"/>
      <c r="F217" s="185"/>
      <c r="G217" s="185"/>
    </row>
    <row r="218" spans="1:7">
      <c r="A218" s="557" t="s">
        <v>375</v>
      </c>
      <c r="C218" s="472" t="s">
        <v>327</v>
      </c>
      <c r="D218" s="472"/>
      <c r="E218" s="472"/>
      <c r="F218" s="472"/>
      <c r="G218" s="472"/>
    </row>
    <row r="248" spans="1:7" customHeight="1" ht="15.75">
      <c r="A248" s="183" t="s">
        <v>570</v>
      </c>
      <c r="B248" s="183"/>
      <c r="C248" s="183"/>
      <c r="D248" s="183"/>
      <c r="E248" s="183"/>
      <c r="F248" s="183"/>
      <c r="G248" s="183"/>
    </row>
    <row r="249" spans="1:7" customHeight="1" ht="15.75">
      <c r="A249" s="183" t="s">
        <v>689</v>
      </c>
      <c r="B249" s="183"/>
      <c r="C249" s="183"/>
      <c r="D249" s="183"/>
      <c r="E249" s="183"/>
      <c r="F249" s="183"/>
      <c r="G249" s="183"/>
    </row>
    <row r="251" spans="1:7" customHeight="1" ht="15.75">
      <c r="A251" t="s">
        <v>81</v>
      </c>
    </row>
    <row r="252" spans="1:7">
      <c r="A252" s="568" t="s">
        <v>4</v>
      </c>
      <c r="B252" s="481" t="s">
        <v>690</v>
      </c>
      <c r="C252" s="481"/>
      <c r="D252" s="481" t="s">
        <v>8</v>
      </c>
      <c r="E252" s="481"/>
      <c r="F252" s="481" t="s">
        <v>691</v>
      </c>
      <c r="G252" s="482"/>
    </row>
    <row r="253" spans="1:7" customHeight="1" ht="15.75">
      <c r="A253" s="571"/>
      <c r="B253" s="624">
        <v>2024</v>
      </c>
      <c r="C253" s="624"/>
      <c r="D253" s="624">
        <v>2025</v>
      </c>
      <c r="E253" s="624"/>
      <c r="F253" s="624" t="s">
        <v>692</v>
      </c>
      <c r="G253" s="676"/>
    </row>
    <row r="254" spans="1:7">
      <c r="A254" s="189" t="s">
        <v>693</v>
      </c>
      <c r="C254" s="329"/>
      <c r="E254" s="574"/>
      <c r="G254" s="474"/>
    </row>
    <row r="255" spans="1:7">
      <c r="A255" s="421" t="s">
        <v>790</v>
      </c>
      <c r="C255" s="323"/>
      <c r="E255" s="633"/>
      <c r="G255" s="476"/>
    </row>
    <row r="256" spans="1:7">
      <c r="A256" s="421" t="s">
        <v>791</v>
      </c>
      <c r="B256" t="s">
        <v>23</v>
      </c>
      <c r="C256" s="627">
        <v>3500000</v>
      </c>
      <c r="D256" t="s">
        <v>23</v>
      </c>
      <c r="E256" s="628">
        <v>3500000</v>
      </c>
      <c r="F256" t="s">
        <v>23</v>
      </c>
      <c r="G256" s="488">
        <f>E256-C256</f>
        <v>0</v>
      </c>
    </row>
    <row r="257" spans="1:7">
      <c r="A257" s="421" t="s">
        <v>792</v>
      </c>
      <c r="C257" s="627">
        <v>600000</v>
      </c>
      <c r="E257" s="628">
        <v>700000</v>
      </c>
      <c r="G257" s="488">
        <f>E257-C257</f>
        <v>100000</v>
      </c>
    </row>
    <row r="258" spans="1:7" customHeight="1" ht="15.75">
      <c r="A258" s="421" t="s">
        <v>793</v>
      </c>
      <c r="C258" s="677">
        <v>2500000</v>
      </c>
      <c r="E258" s="628">
        <v>3400000</v>
      </c>
      <c r="G258" s="488">
        <f>E258-C258</f>
        <v>900000</v>
      </c>
    </row>
    <row r="259" spans="1:7" customHeight="1" ht="15.75">
      <c r="A259" s="197" t="s">
        <v>794</v>
      </c>
      <c r="B259" s="187" t="s">
        <v>23</v>
      </c>
      <c r="C259" s="650">
        <f>SUM(C256:C258)</f>
        <v>6600000</v>
      </c>
      <c r="D259" s="187" t="s">
        <v>23</v>
      </c>
      <c r="E259" s="657">
        <f>SUM(E256:E258)</f>
        <v>7600000</v>
      </c>
      <c r="F259" s="187" t="s">
        <v>23</v>
      </c>
      <c r="G259" s="658">
        <f>SUM(G256:G258)</f>
        <v>1000000</v>
      </c>
    </row>
    <row r="260" spans="1:7">
      <c r="A260" s="421"/>
      <c r="C260" s="627"/>
      <c r="E260" s="628"/>
      <c r="G260" s="488"/>
    </row>
    <row r="261" spans="1:7">
      <c r="A261" s="678" t="s">
        <v>581</v>
      </c>
      <c r="C261" s="627"/>
      <c r="E261" s="628"/>
      <c r="G261" s="488"/>
    </row>
    <row r="262" spans="1:7">
      <c r="A262" s="421"/>
      <c r="C262" s="627"/>
      <c r="E262" s="628"/>
      <c r="G262" s="488"/>
    </row>
    <row r="263" spans="1:7">
      <c r="A263" s="421" t="s">
        <v>795</v>
      </c>
      <c r="B263" t="s">
        <v>23</v>
      </c>
      <c r="C263" s="627">
        <v>3969341.86</v>
      </c>
      <c r="D263" t="s">
        <v>23</v>
      </c>
      <c r="E263" s="628">
        <v>4145816</v>
      </c>
      <c r="F263" t="s">
        <v>23</v>
      </c>
      <c r="G263" s="488">
        <f>E263-C263</f>
        <v>176474.14</v>
      </c>
    </row>
    <row r="264" spans="1:7" customHeight="1" ht="15.75">
      <c r="A264" s="404" t="s">
        <v>796</v>
      </c>
      <c r="C264" s="634">
        <v>2630658.14</v>
      </c>
      <c r="E264" s="635">
        <v>3454184</v>
      </c>
      <c r="G264" s="654">
        <f>E264-C264</f>
        <v>823525.86</v>
      </c>
    </row>
    <row r="265" spans="1:7" customHeight="1" ht="15.75">
      <c r="A265" s="671" t="s">
        <v>370</v>
      </c>
      <c r="B265" s="672" t="s">
        <v>23</v>
      </c>
      <c r="C265" s="679">
        <f>SUM(C263:C264)</f>
        <v>6600000</v>
      </c>
      <c r="D265" s="672" t="s">
        <v>23</v>
      </c>
      <c r="E265" s="680">
        <f>SUM(E263:E264)</f>
        <v>7600000</v>
      </c>
      <c r="F265" s="672" t="s">
        <v>23</v>
      </c>
      <c r="G265" s="681">
        <f>SUM(G263:G264)</f>
        <v>1000000</v>
      </c>
    </row>
    <row r="266" spans="1:7" customHeight="1" ht="15.75"/>
    <row r="267" spans="1:7">
      <c r="A267" s="270" t="s">
        <v>568</v>
      </c>
      <c r="C267" s="270" t="s">
        <v>373</v>
      </c>
    </row>
    <row r="271" spans="1:7">
      <c r="A271" s="186" t="s">
        <v>374</v>
      </c>
      <c r="C271" s="185" t="s">
        <v>326</v>
      </c>
      <c r="D271" s="185"/>
      <c r="E271" s="185"/>
      <c r="F271" s="185"/>
      <c r="G271" s="185"/>
    </row>
    <row r="272" spans="1:7">
      <c r="A272" s="557" t="s">
        <v>375</v>
      </c>
      <c r="C272" s="472" t="s">
        <v>327</v>
      </c>
      <c r="D272" s="472"/>
      <c r="E272" s="472"/>
      <c r="F272" s="472"/>
      <c r="G272" s="4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53:G253"/>
    <mergeCell ref="C271:G271"/>
    <mergeCell ref="C272:G272"/>
    <mergeCell ref="C217:G217"/>
    <mergeCell ref="C218:G218"/>
    <mergeCell ref="A248:G248"/>
    <mergeCell ref="A249:G249"/>
    <mergeCell ref="A252:A253"/>
    <mergeCell ref="B252:C252"/>
    <mergeCell ref="D252:E252"/>
    <mergeCell ref="F252:G252"/>
    <mergeCell ref="B253:C253"/>
    <mergeCell ref="D253:E253"/>
    <mergeCell ref="A179:A180"/>
    <mergeCell ref="B179:C179"/>
    <mergeCell ref="D179:E179"/>
    <mergeCell ref="F179:G179"/>
    <mergeCell ref="B180:C180"/>
    <mergeCell ref="D180:E180"/>
    <mergeCell ref="F180:G180"/>
    <mergeCell ref="A118:A119"/>
    <mergeCell ref="B118:C118"/>
    <mergeCell ref="D118:E118"/>
    <mergeCell ref="F118:G118"/>
    <mergeCell ref="B119:C119"/>
    <mergeCell ref="D119:E119"/>
    <mergeCell ref="F119:G119"/>
    <mergeCell ref="A57:G57"/>
    <mergeCell ref="A58:G58"/>
    <mergeCell ref="A60:A61"/>
    <mergeCell ref="B60:C60"/>
    <mergeCell ref="D60:E60"/>
    <mergeCell ref="F60:G60"/>
    <mergeCell ref="B61:C61"/>
    <mergeCell ref="D61:E61"/>
    <mergeCell ref="F61:G61"/>
    <mergeCell ref="A40:G40"/>
    <mergeCell ref="A41:G41"/>
    <mergeCell ref="A43:A44"/>
    <mergeCell ref="B43:C43"/>
    <mergeCell ref="D43:E43"/>
    <mergeCell ref="F43:G43"/>
    <mergeCell ref="B44:C44"/>
    <mergeCell ref="D44:E44"/>
    <mergeCell ref="F44:G44"/>
    <mergeCell ref="A1:G1"/>
    <mergeCell ref="A2:G2"/>
    <mergeCell ref="A4:A5"/>
    <mergeCell ref="B4:C4"/>
    <mergeCell ref="D4:E4"/>
    <mergeCell ref="F4:G4"/>
    <mergeCell ref="B5:C5"/>
    <mergeCell ref="D5:E5"/>
    <mergeCell ref="F5: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4"/>
  <sheetViews>
    <sheetView tabSelected="0" workbookViewId="0" showGridLines="true" showRowColHeaders="1">
      <selection activeCell="E199" sqref="E199"/>
    </sheetView>
  </sheetViews>
  <sheetFormatPr defaultRowHeight="14.4" outlineLevelRow="0" outlineLevelCol="0"/>
  <cols>
    <col min="1" max="1" width="25.42578125" customWidth="true" style="0"/>
    <col min="2" max="2" width="10.5703125" customWidth="true" style="0"/>
    <col min="3" max="3" width="9.7109375" customWidth="true" style="0"/>
    <col min="4" max="4" width="10.5703125" customWidth="true" style="0"/>
    <col min="5" max="5" width="10.5703125" customWidth="true" style="0"/>
    <col min="6" max="6" width="9.7109375" customWidth="true" style="0"/>
    <col min="7" max="7" width="9.7109375" customWidth="true" style="0"/>
    <col min="8" max="8" width="9.7109375" customWidth="true" style="0"/>
    <col min="9" max="9" width="9.7109375" customWidth="true" style="0"/>
    <col min="10" max="10" width="9.7109375" customWidth="true" style="0"/>
    <col min="11" max="11" width="9.7109375" customWidth="true" style="0"/>
    <col min="12" max="12" width="9.7109375" customWidth="true" style="0"/>
    <col min="13" max="13" width="10.7109375" customWidth="true" style="0"/>
    <col min="14" max="14" width="9.7109375" customWidth="true" style="0"/>
    <col min="15" max="15" width="9.7109375" customWidth="true" style="0"/>
    <col min="16" max="16" width="10.5703125" customWidth="true" style="0"/>
    <col min="17" max="17" width="11.5703125" customWidth="true" style="0"/>
    <col min="18" max="18" width="12.140625" customWidth="true" style="0"/>
  </cols>
  <sheetData>
    <row r="1" spans="1:19" customHeight="1" ht="21">
      <c r="A1" s="351" t="s">
        <v>797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9" customHeight="1" ht="18.75">
      <c r="A2" s="503" t="s">
        <v>798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</row>
    <row r="3" spans="1:19" customHeight="1" ht="19.5">
      <c r="A3" s="682" t="s">
        <v>550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</row>
    <row r="4" spans="1:19">
      <c r="A4" s="683"/>
      <c r="B4" s="375" t="s">
        <v>799</v>
      </c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  <c r="N4" s="684"/>
      <c r="O4" s="684"/>
      <c r="P4" s="684"/>
      <c r="Q4" s="684"/>
      <c r="R4" s="685"/>
    </row>
    <row r="5" spans="1:19">
      <c r="A5" s="418" t="s">
        <v>800</v>
      </c>
      <c r="B5" s="402" t="s">
        <v>801</v>
      </c>
      <c r="C5" s="402" t="s">
        <v>802</v>
      </c>
      <c r="D5" s="402" t="s">
        <v>803</v>
      </c>
      <c r="E5" s="426" t="s">
        <v>804</v>
      </c>
      <c r="F5" s="402" t="s">
        <v>805</v>
      </c>
      <c r="G5" s="402" t="s">
        <v>806</v>
      </c>
      <c r="H5" s="402" t="s">
        <v>807</v>
      </c>
      <c r="I5" s="402" t="s">
        <v>808</v>
      </c>
      <c r="J5" s="402" t="s">
        <v>809</v>
      </c>
      <c r="K5" s="402" t="s">
        <v>810</v>
      </c>
      <c r="L5" s="402" t="s">
        <v>811</v>
      </c>
      <c r="M5" s="402" t="s">
        <v>812</v>
      </c>
      <c r="N5" s="402" t="s">
        <v>813</v>
      </c>
      <c r="O5" s="402" t="s">
        <v>814</v>
      </c>
      <c r="P5" s="402" t="s">
        <v>815</v>
      </c>
      <c r="Q5" s="686" t="s">
        <v>816</v>
      </c>
      <c r="R5" s="687" t="s">
        <v>817</v>
      </c>
    </row>
    <row r="6" spans="1:19" customHeight="1" ht="15.75">
      <c r="A6" s="688"/>
      <c r="B6" s="422" t="s">
        <v>818</v>
      </c>
      <c r="C6" s="422" t="s">
        <v>818</v>
      </c>
      <c r="D6" s="422" t="s">
        <v>818</v>
      </c>
      <c r="E6" s="423" t="s">
        <v>818</v>
      </c>
      <c r="F6" s="422" t="s">
        <v>818</v>
      </c>
      <c r="G6" s="422" t="s">
        <v>818</v>
      </c>
      <c r="H6" s="422" t="s">
        <v>818</v>
      </c>
      <c r="I6" s="422" t="s">
        <v>818</v>
      </c>
      <c r="J6" s="422" t="s">
        <v>818</v>
      </c>
      <c r="K6" s="422" t="s">
        <v>818</v>
      </c>
      <c r="L6" s="422" t="s">
        <v>818</v>
      </c>
      <c r="M6" s="689" t="s">
        <v>818</v>
      </c>
      <c r="N6" s="422" t="s">
        <v>818</v>
      </c>
      <c r="O6" s="422" t="s">
        <v>818</v>
      </c>
      <c r="P6" s="422" t="s">
        <v>818</v>
      </c>
      <c r="Q6" s="422" t="s">
        <v>819</v>
      </c>
      <c r="R6" s="690" t="s">
        <v>356</v>
      </c>
    </row>
    <row r="7" spans="1:19">
      <c r="A7" s="415" t="s">
        <v>820</v>
      </c>
      <c r="B7" s="399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  <c r="P7" s="416"/>
      <c r="Q7" s="416"/>
      <c r="R7" s="476"/>
    </row>
    <row r="8" spans="1:19">
      <c r="A8" s="401" t="s">
        <v>821</v>
      </c>
      <c r="B8" s="399"/>
      <c r="C8" s="403"/>
      <c r="D8" s="403"/>
      <c r="E8" s="403"/>
      <c r="F8" s="403"/>
      <c r="G8" s="403"/>
      <c r="H8" s="403"/>
      <c r="I8" s="403"/>
      <c r="J8" s="403"/>
      <c r="K8" s="403"/>
      <c r="L8" s="403"/>
      <c r="M8" s="403"/>
      <c r="N8" s="403"/>
      <c r="O8" s="403"/>
      <c r="P8" s="403"/>
      <c r="Q8" s="403"/>
      <c r="R8" s="476"/>
    </row>
    <row r="9" spans="1:19">
      <c r="A9" s="691" t="s">
        <v>822</v>
      </c>
      <c r="B9" s="467">
        <v>4722516</v>
      </c>
      <c r="C9" s="409">
        <v>1039047</v>
      </c>
      <c r="D9" s="409">
        <v>2610245</v>
      </c>
      <c r="E9" s="409">
        <v>9270228</v>
      </c>
      <c r="F9" s="409">
        <v>1257241</v>
      </c>
      <c r="G9" s="409">
        <v>1198883</v>
      </c>
      <c r="H9" s="409">
        <v>1405359</v>
      </c>
      <c r="I9" s="409">
        <v>1601840</v>
      </c>
      <c r="J9" s="409">
        <v>1884162</v>
      </c>
      <c r="K9" s="409">
        <v>2802742</v>
      </c>
      <c r="L9" s="409">
        <v>1652514</v>
      </c>
      <c r="M9" s="409">
        <v>5992502</v>
      </c>
      <c r="N9" s="409">
        <v>1898636</v>
      </c>
      <c r="O9" s="409">
        <v>1767136</v>
      </c>
      <c r="P9" s="692">
        <v>1272977</v>
      </c>
      <c r="Q9" s="409">
        <v>0</v>
      </c>
      <c r="R9" s="693">
        <f>SUM(B9:Q9)</f>
        <v>40376028</v>
      </c>
    </row>
    <row r="10" spans="1:19">
      <c r="A10" s="691" t="s">
        <v>823</v>
      </c>
      <c r="B10" s="467">
        <v>312000</v>
      </c>
      <c r="C10" s="409">
        <v>96000</v>
      </c>
      <c r="D10" s="409">
        <v>120000</v>
      </c>
      <c r="E10" s="409">
        <v>240000</v>
      </c>
      <c r="F10" s="409">
        <v>48000</v>
      </c>
      <c r="G10" s="409">
        <v>48000</v>
      </c>
      <c r="H10" s="409">
        <v>96000</v>
      </c>
      <c r="I10" s="409">
        <v>96000</v>
      </c>
      <c r="J10" s="409">
        <v>120000</v>
      </c>
      <c r="K10" s="409">
        <v>192000</v>
      </c>
      <c r="L10" s="409">
        <v>96000</v>
      </c>
      <c r="M10" s="409">
        <v>384000</v>
      </c>
      <c r="N10" s="409">
        <v>120000</v>
      </c>
      <c r="O10" s="409">
        <v>120000</v>
      </c>
      <c r="P10" s="409">
        <v>48000</v>
      </c>
      <c r="Q10" s="409">
        <v>0</v>
      </c>
      <c r="R10" s="693">
        <f>SUM(B10:Q10)</f>
        <v>2136000</v>
      </c>
    </row>
    <row r="11" spans="1:19">
      <c r="A11" s="691" t="s">
        <v>824</v>
      </c>
      <c r="B11" s="467">
        <v>96000</v>
      </c>
      <c r="C11" s="409">
        <v>0</v>
      </c>
      <c r="D11" s="409">
        <v>172800</v>
      </c>
      <c r="E11" s="409">
        <v>816000</v>
      </c>
      <c r="F11" s="409">
        <v>81600</v>
      </c>
      <c r="G11" s="409">
        <v>81600</v>
      </c>
      <c r="H11" s="409">
        <v>81600</v>
      </c>
      <c r="I11" s="409">
        <v>81600</v>
      </c>
      <c r="J11" s="409">
        <v>81600</v>
      </c>
      <c r="K11" s="409">
        <v>81600</v>
      </c>
      <c r="L11" s="409">
        <v>81600</v>
      </c>
      <c r="M11" s="409">
        <v>81600</v>
      </c>
      <c r="N11" s="409">
        <v>81600</v>
      </c>
      <c r="O11" s="409">
        <v>81600</v>
      </c>
      <c r="P11" s="409">
        <v>81600</v>
      </c>
      <c r="Q11" s="409">
        <v>0</v>
      </c>
      <c r="R11" s="693">
        <f>SUM(B11:Q11)</f>
        <v>1982400</v>
      </c>
    </row>
    <row r="12" spans="1:19">
      <c r="A12" s="691" t="s">
        <v>825</v>
      </c>
      <c r="B12" s="467">
        <v>96000</v>
      </c>
      <c r="C12" s="409">
        <v>0</v>
      </c>
      <c r="D12" s="409">
        <v>172800</v>
      </c>
      <c r="E12" s="409">
        <v>816000</v>
      </c>
      <c r="F12" s="409">
        <v>81600</v>
      </c>
      <c r="G12" s="409">
        <v>81600</v>
      </c>
      <c r="H12" s="409">
        <v>81600</v>
      </c>
      <c r="I12" s="409">
        <v>81600</v>
      </c>
      <c r="J12" s="409">
        <v>81600</v>
      </c>
      <c r="K12" s="409">
        <v>81600</v>
      </c>
      <c r="L12" s="409">
        <v>81600</v>
      </c>
      <c r="M12" s="409">
        <v>81600</v>
      </c>
      <c r="N12" s="409">
        <v>81600</v>
      </c>
      <c r="O12" s="409">
        <v>81600</v>
      </c>
      <c r="P12" s="409">
        <v>81600</v>
      </c>
      <c r="Q12" s="409">
        <v>0</v>
      </c>
      <c r="R12" s="693">
        <f>SUM(B12:Q12)</f>
        <v>1982400</v>
      </c>
    </row>
    <row r="13" spans="1:19">
      <c r="A13" s="691" t="s">
        <v>826</v>
      </c>
      <c r="B13" s="467">
        <v>91000</v>
      </c>
      <c r="C13" s="409">
        <v>28000</v>
      </c>
      <c r="D13" s="409">
        <v>35000</v>
      </c>
      <c r="E13" s="409">
        <v>70000</v>
      </c>
      <c r="F13" s="409">
        <v>14000</v>
      </c>
      <c r="G13" s="409">
        <v>14000</v>
      </c>
      <c r="H13" s="409">
        <v>28000</v>
      </c>
      <c r="I13" s="409">
        <v>28000</v>
      </c>
      <c r="J13" s="409">
        <v>35000</v>
      </c>
      <c r="K13" s="409">
        <v>56000</v>
      </c>
      <c r="L13" s="409">
        <v>28000</v>
      </c>
      <c r="M13" s="409">
        <v>112000</v>
      </c>
      <c r="N13" s="409">
        <v>35000</v>
      </c>
      <c r="O13" s="409">
        <v>35000</v>
      </c>
      <c r="P13" s="409">
        <v>14000</v>
      </c>
      <c r="Q13" s="409">
        <v>0</v>
      </c>
      <c r="R13" s="693">
        <f>SUM(B13:Q13)</f>
        <v>623000</v>
      </c>
    </row>
    <row r="14" spans="1:19">
      <c r="A14" s="691" t="s">
        <v>827</v>
      </c>
      <c r="B14" s="467">
        <v>0</v>
      </c>
      <c r="C14" s="409">
        <v>0</v>
      </c>
      <c r="D14" s="409">
        <v>0</v>
      </c>
      <c r="E14" s="409">
        <v>0</v>
      </c>
      <c r="F14" s="409">
        <v>0</v>
      </c>
      <c r="G14" s="409">
        <v>0</v>
      </c>
      <c r="H14" s="409">
        <v>0</v>
      </c>
      <c r="I14" s="409">
        <v>0</v>
      </c>
      <c r="J14" s="409">
        <v>0</v>
      </c>
      <c r="K14" s="409">
        <v>0</v>
      </c>
      <c r="L14" s="409">
        <v>0</v>
      </c>
      <c r="M14" s="409">
        <f>1000*14*12</f>
        <v>168000</v>
      </c>
      <c r="N14" s="409">
        <v>24000</v>
      </c>
      <c r="O14" s="409">
        <v>0</v>
      </c>
      <c r="P14" s="409">
        <v>0</v>
      </c>
      <c r="Q14" s="409">
        <v>0</v>
      </c>
      <c r="R14" s="693">
        <f>SUM(B14:Q14)</f>
        <v>192000</v>
      </c>
    </row>
    <row r="15" spans="1:19">
      <c r="A15" s="691" t="s">
        <v>828</v>
      </c>
      <c r="B15" s="467">
        <v>0</v>
      </c>
      <c r="C15" s="409">
        <v>0</v>
      </c>
      <c r="D15" s="409">
        <v>0</v>
      </c>
      <c r="E15" s="409">
        <v>0</v>
      </c>
      <c r="F15" s="409">
        <v>0</v>
      </c>
      <c r="G15" s="409">
        <v>0</v>
      </c>
      <c r="H15" s="409">
        <v>0</v>
      </c>
      <c r="I15" s="409">
        <v>0</v>
      </c>
      <c r="J15" s="409">
        <v>0</v>
      </c>
      <c r="K15" s="409">
        <v>0</v>
      </c>
      <c r="L15" s="409">
        <v>0</v>
      </c>
      <c r="M15" s="409">
        <f>650*14*12</f>
        <v>109200</v>
      </c>
      <c r="N15" s="409">
        <v>0</v>
      </c>
      <c r="O15" s="409">
        <v>0</v>
      </c>
      <c r="P15" s="409">
        <v>0</v>
      </c>
      <c r="Q15" s="409">
        <v>0</v>
      </c>
      <c r="R15" s="693">
        <f>SUM(B15:Q15)</f>
        <v>109200</v>
      </c>
    </row>
    <row r="16" spans="1:19">
      <c r="A16" s="691" t="s">
        <v>829</v>
      </c>
      <c r="B16" s="467">
        <f>5000*13</f>
        <v>65000</v>
      </c>
      <c r="C16" s="409">
        <f>5000*4</f>
        <v>20000</v>
      </c>
      <c r="D16" s="409">
        <v>25000</v>
      </c>
      <c r="E16" s="409">
        <v>50000</v>
      </c>
      <c r="F16" s="409">
        <v>10000</v>
      </c>
      <c r="G16" s="409">
        <v>10000</v>
      </c>
      <c r="H16" s="409">
        <v>20000</v>
      </c>
      <c r="I16" s="409">
        <v>20000</v>
      </c>
      <c r="J16" s="409">
        <v>25000</v>
      </c>
      <c r="K16" s="409">
        <v>40000</v>
      </c>
      <c r="L16" s="409">
        <v>20000</v>
      </c>
      <c r="M16" s="409">
        <v>80000</v>
      </c>
      <c r="N16" s="409">
        <v>25000</v>
      </c>
      <c r="O16" s="409">
        <v>25000</v>
      </c>
      <c r="P16" s="409">
        <v>10000</v>
      </c>
      <c r="Q16" s="409">
        <v>0</v>
      </c>
      <c r="R16" s="693">
        <f>SUM(B16:Q16)</f>
        <v>445000</v>
      </c>
    </row>
    <row r="17" spans="1:19">
      <c r="A17" s="691" t="s">
        <v>830</v>
      </c>
      <c r="B17" s="467">
        <f>20000*13</f>
        <v>260000</v>
      </c>
      <c r="C17" s="409">
        <f>80000</f>
        <v>80000</v>
      </c>
      <c r="D17" s="409">
        <v>100000</v>
      </c>
      <c r="E17" s="409">
        <v>200000</v>
      </c>
      <c r="F17" s="409">
        <v>40000</v>
      </c>
      <c r="G17" s="409">
        <v>40000</v>
      </c>
      <c r="H17" s="409">
        <v>80000</v>
      </c>
      <c r="I17" s="409">
        <v>80000</v>
      </c>
      <c r="J17" s="409">
        <v>100000</v>
      </c>
      <c r="K17" s="409">
        <v>160000</v>
      </c>
      <c r="L17" s="409">
        <v>80000</v>
      </c>
      <c r="M17" s="409">
        <v>320000</v>
      </c>
      <c r="N17" s="409">
        <v>100000</v>
      </c>
      <c r="O17" s="409">
        <v>100000</v>
      </c>
      <c r="P17" s="409">
        <v>40000</v>
      </c>
      <c r="Q17" s="409">
        <v>0</v>
      </c>
      <c r="R17" s="693">
        <f>SUM(B17:Q17)</f>
        <v>1780000</v>
      </c>
    </row>
    <row r="18" spans="1:19">
      <c r="A18" s="691" t="s">
        <v>831</v>
      </c>
      <c r="B18" s="467">
        <v>0</v>
      </c>
      <c r="C18" s="409">
        <v>0</v>
      </c>
      <c r="D18" s="409">
        <v>0</v>
      </c>
      <c r="E18" s="409">
        <v>0</v>
      </c>
      <c r="F18" s="409">
        <v>0</v>
      </c>
      <c r="G18" s="409">
        <v>0</v>
      </c>
      <c r="H18" s="409">
        <v>0</v>
      </c>
      <c r="I18" s="409">
        <v>0</v>
      </c>
      <c r="J18" s="409">
        <v>0</v>
      </c>
      <c r="K18" s="409">
        <v>0</v>
      </c>
      <c r="L18" s="409">
        <v>0</v>
      </c>
      <c r="M18" s="409">
        <v>850944</v>
      </c>
      <c r="N18" s="409">
        <v>120994</v>
      </c>
      <c r="O18" s="409">
        <v>0</v>
      </c>
      <c r="P18" s="409">
        <v>0</v>
      </c>
      <c r="Q18" s="409">
        <v>0</v>
      </c>
      <c r="R18" s="693">
        <f>SUM(B18:Q18)</f>
        <v>971938</v>
      </c>
    </row>
    <row r="19" spans="1:19">
      <c r="A19" s="691" t="s">
        <v>832</v>
      </c>
      <c r="B19" s="467">
        <v>529640</v>
      </c>
      <c r="C19" s="409">
        <v>89112</v>
      </c>
      <c r="D19" s="409">
        <v>284445</v>
      </c>
      <c r="E19" s="409">
        <v>1223411</v>
      </c>
      <c r="F19" s="409">
        <v>107832</v>
      </c>
      <c r="G19" s="409">
        <v>103796</v>
      </c>
      <c r="H19" s="409">
        <v>120337</v>
      </c>
      <c r="I19" s="409">
        <v>138286</v>
      </c>
      <c r="J19" s="409">
        <v>161477</v>
      </c>
      <c r="K19" s="409">
        <v>240428</v>
      </c>
      <c r="L19" s="409">
        <v>141562</v>
      </c>
      <c r="M19" s="409">
        <v>514815</v>
      </c>
      <c r="N19" s="409">
        <v>163083</v>
      </c>
      <c r="O19" s="409">
        <v>152678</v>
      </c>
      <c r="P19" s="409">
        <v>109144</v>
      </c>
      <c r="Q19" s="409">
        <v>0</v>
      </c>
      <c r="R19" s="693">
        <f>SUM(B19:Q19)</f>
        <v>4080046</v>
      </c>
    </row>
    <row r="20" spans="1:19">
      <c r="A20" s="691" t="s">
        <v>833</v>
      </c>
      <c r="B20" s="467">
        <v>65000</v>
      </c>
      <c r="C20" s="409">
        <v>20000</v>
      </c>
      <c r="D20" s="409">
        <v>25000</v>
      </c>
      <c r="E20" s="409">
        <v>50000</v>
      </c>
      <c r="F20" s="409">
        <v>10000</v>
      </c>
      <c r="G20" s="409">
        <v>10000</v>
      </c>
      <c r="H20" s="409">
        <v>20000</v>
      </c>
      <c r="I20" s="409">
        <v>20000</v>
      </c>
      <c r="J20" s="409">
        <v>25000</v>
      </c>
      <c r="K20" s="409">
        <v>40000</v>
      </c>
      <c r="L20" s="409">
        <v>20000</v>
      </c>
      <c r="M20" s="409">
        <v>80000</v>
      </c>
      <c r="N20" s="409">
        <v>25000</v>
      </c>
      <c r="O20" s="409">
        <v>25000</v>
      </c>
      <c r="P20" s="409">
        <v>10000</v>
      </c>
      <c r="Q20" s="409">
        <v>0</v>
      </c>
      <c r="R20" s="693">
        <f>SUM(B20:Q20)</f>
        <v>445000</v>
      </c>
    </row>
    <row r="21" spans="1:19">
      <c r="A21" s="691" t="s">
        <v>834</v>
      </c>
      <c r="B21" s="467">
        <v>386399</v>
      </c>
      <c r="C21" s="409">
        <v>85269</v>
      </c>
      <c r="D21" s="409">
        <v>213630</v>
      </c>
      <c r="E21" s="409">
        <v>756766</v>
      </c>
      <c r="F21" s="409">
        <v>103154</v>
      </c>
      <c r="G21" s="409">
        <v>98116</v>
      </c>
      <c r="H21" s="409">
        <v>115513</v>
      </c>
      <c r="I21" s="409">
        <v>131215</v>
      </c>
      <c r="J21" s="409">
        <v>154869</v>
      </c>
      <c r="K21" s="694">
        <v>230142</v>
      </c>
      <c r="L21" s="409">
        <v>135823</v>
      </c>
      <c r="M21" s="409">
        <v>491554</v>
      </c>
      <c r="N21" s="409">
        <v>155788</v>
      </c>
      <c r="O21" s="409">
        <v>144727</v>
      </c>
      <c r="P21" s="409">
        <v>104465</v>
      </c>
      <c r="Q21" s="409">
        <v>0</v>
      </c>
      <c r="R21" s="693">
        <f>SUM(B21:Q21)</f>
        <v>3307430</v>
      </c>
    </row>
    <row r="22" spans="1:19">
      <c r="A22" s="691" t="s">
        <v>835</v>
      </c>
      <c r="B22" s="467">
        <v>566702</v>
      </c>
      <c r="C22" s="409">
        <v>124687</v>
      </c>
      <c r="D22" s="409">
        <v>313230</v>
      </c>
      <c r="E22" s="409">
        <v>1112424</v>
      </c>
      <c r="F22" s="409">
        <v>150868</v>
      </c>
      <c r="G22" s="409">
        <v>143867</v>
      </c>
      <c r="H22" s="409">
        <v>168643</v>
      </c>
      <c r="I22" s="409">
        <v>192223</v>
      </c>
      <c r="J22" s="409">
        <v>226100</v>
      </c>
      <c r="K22" s="409">
        <v>336331</v>
      </c>
      <c r="L22" s="694">
        <v>198302</v>
      </c>
      <c r="M22" s="409">
        <v>719102</v>
      </c>
      <c r="N22" s="409">
        <v>227838</v>
      </c>
      <c r="O22" s="409">
        <v>212058</v>
      </c>
      <c r="P22" s="409">
        <v>152757</v>
      </c>
      <c r="Q22" s="409">
        <v>0</v>
      </c>
      <c r="R22" s="693">
        <f>SUM(B22:Q22)</f>
        <v>4845132</v>
      </c>
    </row>
    <row r="23" spans="1:19">
      <c r="A23" s="691" t="s">
        <v>836</v>
      </c>
      <c r="B23" s="467">
        <v>31200</v>
      </c>
      <c r="C23" s="409">
        <v>9600</v>
      </c>
      <c r="D23" s="409">
        <v>12000</v>
      </c>
      <c r="E23" s="409">
        <v>24000</v>
      </c>
      <c r="F23" s="409">
        <v>4800</v>
      </c>
      <c r="G23" s="409">
        <v>4800</v>
      </c>
      <c r="H23" s="409">
        <v>9600</v>
      </c>
      <c r="I23" s="409">
        <v>9600</v>
      </c>
      <c r="J23" s="409">
        <v>12000</v>
      </c>
      <c r="K23" s="409">
        <v>19200</v>
      </c>
      <c r="L23" s="409">
        <v>9600</v>
      </c>
      <c r="M23" s="409">
        <v>38400</v>
      </c>
      <c r="N23" s="409">
        <v>12000</v>
      </c>
      <c r="O23" s="409">
        <v>12000</v>
      </c>
      <c r="P23" s="409">
        <v>4800</v>
      </c>
      <c r="Q23" s="409">
        <v>0</v>
      </c>
      <c r="R23" s="693">
        <f>SUM(B23:Q23)</f>
        <v>213600</v>
      </c>
    </row>
    <row r="24" spans="1:19">
      <c r="A24" s="691" t="s">
        <v>837</v>
      </c>
      <c r="B24" s="467">
        <v>118066</v>
      </c>
      <c r="C24" s="409">
        <v>25977</v>
      </c>
      <c r="D24" s="409">
        <v>65257</v>
      </c>
      <c r="E24" s="409">
        <v>231761</v>
      </c>
      <c r="F24" s="409">
        <v>31432</v>
      </c>
      <c r="G24" s="409">
        <v>29972</v>
      </c>
      <c r="H24" s="409">
        <v>35134</v>
      </c>
      <c r="I24" s="409">
        <v>40046</v>
      </c>
      <c r="J24" s="409">
        <v>47105</v>
      </c>
      <c r="K24" s="409">
        <v>70069</v>
      </c>
      <c r="L24" s="409">
        <v>41313</v>
      </c>
      <c r="M24" s="409">
        <v>149816</v>
      </c>
      <c r="N24" s="409">
        <v>47467</v>
      </c>
      <c r="O24" s="409">
        <v>44178</v>
      </c>
      <c r="P24" s="409">
        <v>31825</v>
      </c>
      <c r="Q24" s="409">
        <v>0</v>
      </c>
      <c r="R24" s="693">
        <f>SUM(B24:Q24)</f>
        <v>1009418</v>
      </c>
    </row>
    <row r="25" spans="1:19">
      <c r="A25" s="691" t="s">
        <v>838</v>
      </c>
      <c r="B25" s="467">
        <v>15600</v>
      </c>
      <c r="C25" s="409">
        <v>4800</v>
      </c>
      <c r="D25" s="409">
        <v>6000</v>
      </c>
      <c r="E25" s="409">
        <v>12000</v>
      </c>
      <c r="F25" s="409">
        <v>2400</v>
      </c>
      <c r="G25" s="409">
        <v>2400</v>
      </c>
      <c r="H25" s="409">
        <v>4800</v>
      </c>
      <c r="I25" s="409">
        <v>4800</v>
      </c>
      <c r="J25" s="409">
        <v>6000</v>
      </c>
      <c r="K25" s="409">
        <v>9600</v>
      </c>
      <c r="L25" s="409">
        <v>4800</v>
      </c>
      <c r="M25" s="409">
        <v>19200</v>
      </c>
      <c r="N25" s="409">
        <v>6000</v>
      </c>
      <c r="O25" s="409">
        <v>6000</v>
      </c>
      <c r="P25" s="409">
        <v>2400</v>
      </c>
      <c r="Q25" s="409">
        <v>0</v>
      </c>
      <c r="R25" s="693">
        <f>SUM(B25:Q25)</f>
        <v>106800</v>
      </c>
    </row>
    <row r="26" spans="1:19">
      <c r="A26" s="691" t="s">
        <v>602</v>
      </c>
      <c r="B26" s="467">
        <v>1098657</v>
      </c>
      <c r="C26" s="409">
        <v>0</v>
      </c>
      <c r="D26" s="409">
        <v>371997</v>
      </c>
      <c r="E26" s="409">
        <v>3327270</v>
      </c>
      <c r="F26" s="409">
        <v>0</v>
      </c>
      <c r="G26" s="409">
        <v>0</v>
      </c>
      <c r="H26" s="409">
        <v>205168</v>
      </c>
      <c r="I26" s="409">
        <v>0</v>
      </c>
      <c r="J26" s="409">
        <v>0</v>
      </c>
      <c r="K26" s="409">
        <v>0</v>
      </c>
      <c r="L26" s="409">
        <v>0</v>
      </c>
      <c r="M26" s="409">
        <v>291713</v>
      </c>
      <c r="N26" s="409">
        <v>0</v>
      </c>
      <c r="O26" s="409">
        <v>0</v>
      </c>
      <c r="P26" s="409">
        <v>0</v>
      </c>
      <c r="Q26" s="409">
        <v>0</v>
      </c>
      <c r="R26" s="693">
        <f>SUM(B26:Q26)</f>
        <v>5294805</v>
      </c>
    </row>
    <row r="27" spans="1:19" customHeight="1" ht="15.75">
      <c r="A27" s="691" t="s">
        <v>685</v>
      </c>
      <c r="B27" s="467">
        <v>91000</v>
      </c>
      <c r="C27" s="409">
        <v>28000</v>
      </c>
      <c r="D27" s="409">
        <v>35000</v>
      </c>
      <c r="E27" s="409">
        <v>70000</v>
      </c>
      <c r="F27" s="409">
        <v>14000</v>
      </c>
      <c r="G27" s="409">
        <v>14000</v>
      </c>
      <c r="H27" s="409">
        <v>33000</v>
      </c>
      <c r="I27" s="409">
        <v>28000</v>
      </c>
      <c r="J27" s="409">
        <v>50000</v>
      </c>
      <c r="K27" s="409">
        <v>61000</v>
      </c>
      <c r="L27" s="409">
        <v>28000</v>
      </c>
      <c r="M27" s="409">
        <v>122000</v>
      </c>
      <c r="N27" s="409">
        <v>35000</v>
      </c>
      <c r="O27" s="409">
        <v>35000</v>
      </c>
      <c r="P27" s="409">
        <v>14000</v>
      </c>
      <c r="Q27" s="409">
        <v>0</v>
      </c>
      <c r="R27" s="693">
        <f>SUM(B27:Q27)</f>
        <v>658000</v>
      </c>
    </row>
    <row r="28" spans="1:19" customHeight="1" ht="15.75">
      <c r="A28" s="695" t="s">
        <v>120</v>
      </c>
      <c r="B28" s="696">
        <f>SUM(B9:B27)</f>
        <v>8544780</v>
      </c>
      <c r="C28" s="696">
        <f>SUM(C9:C27)</f>
        <v>1650492</v>
      </c>
      <c r="D28" s="696">
        <f>SUM(D9:D27)</f>
        <v>4562404</v>
      </c>
      <c r="E28" s="696">
        <f>SUM(E9:E27)</f>
        <v>18269860</v>
      </c>
      <c r="F28" s="696">
        <f>SUM(F9:F27)</f>
        <v>1956927</v>
      </c>
      <c r="G28" s="696">
        <f>SUM(G9:G27)</f>
        <v>1881034</v>
      </c>
      <c r="H28" s="696">
        <f>SUM(H9:H27)</f>
        <v>2504754</v>
      </c>
      <c r="I28" s="696">
        <f>SUM(I9:I27)</f>
        <v>2553210</v>
      </c>
      <c r="J28" s="696">
        <f>SUM(J9:J27)</f>
        <v>3009913</v>
      </c>
      <c r="K28" s="696">
        <f>SUM(K9:K27)</f>
        <v>4420712</v>
      </c>
      <c r="L28" s="696">
        <f>SUM(L9:L27)</f>
        <v>2619114</v>
      </c>
      <c r="M28" s="696">
        <f>SUM(M9:M27)</f>
        <v>10606446</v>
      </c>
      <c r="N28" s="696">
        <f>SUM(N9:N27)</f>
        <v>3159006</v>
      </c>
      <c r="O28" s="696">
        <f>SUM(O9:O27)</f>
        <v>2841977</v>
      </c>
      <c r="P28" s="696">
        <f>SUM(P9:P27)</f>
        <v>1977568</v>
      </c>
      <c r="Q28" s="697">
        <f>SUM(Q9:Q27)</f>
        <v>0</v>
      </c>
      <c r="R28" s="698">
        <f>SUM(R9:R27)</f>
        <v>70558197</v>
      </c>
    </row>
    <row r="29" spans="1:19">
      <c r="A29" s="695" t="s">
        <v>839</v>
      </c>
      <c r="B29" s="467"/>
      <c r="C29" s="409"/>
      <c r="D29" s="409"/>
      <c r="E29" s="409"/>
      <c r="F29" s="409"/>
      <c r="G29" s="409"/>
      <c r="H29" s="409"/>
      <c r="I29" s="409"/>
      <c r="J29" s="409"/>
      <c r="K29" s="409"/>
      <c r="L29" s="409"/>
      <c r="M29" s="409"/>
      <c r="N29" s="409"/>
      <c r="O29" s="409"/>
      <c r="P29" s="409"/>
      <c r="Q29" s="409"/>
      <c r="R29" s="430"/>
    </row>
    <row r="30" spans="1:19">
      <c r="A30" s="699" t="s">
        <v>122</v>
      </c>
      <c r="B30" s="467">
        <v>1000000</v>
      </c>
      <c r="C30" s="409">
        <v>90000</v>
      </c>
      <c r="D30" s="409">
        <v>250000</v>
      </c>
      <c r="E30" s="409">
        <v>1000000</v>
      </c>
      <c r="F30" s="409">
        <v>110000</v>
      </c>
      <c r="G30" s="409">
        <v>122350</v>
      </c>
      <c r="H30" s="409">
        <v>97690</v>
      </c>
      <c r="I30" s="409">
        <v>140000</v>
      </c>
      <c r="J30" s="409">
        <v>115000</v>
      </c>
      <c r="K30" s="409">
        <v>180000</v>
      </c>
      <c r="L30" s="409">
        <v>170000</v>
      </c>
      <c r="M30" s="409">
        <v>200000</v>
      </c>
      <c r="N30" s="409">
        <v>150000</v>
      </c>
      <c r="O30" s="409">
        <v>90000</v>
      </c>
      <c r="P30" s="409">
        <v>90000</v>
      </c>
      <c r="Q30" s="409">
        <v>0</v>
      </c>
      <c r="R30" s="693">
        <f>SUM(B30:Q30)</f>
        <v>3805040</v>
      </c>
    </row>
    <row r="31" spans="1:19">
      <c r="A31" s="699" t="s">
        <v>124</v>
      </c>
      <c r="B31" s="467">
        <v>300000</v>
      </c>
      <c r="C31" s="409">
        <v>0</v>
      </c>
      <c r="D31" s="409">
        <v>50000</v>
      </c>
      <c r="E31" s="409">
        <v>0</v>
      </c>
      <c r="F31" s="409">
        <v>0</v>
      </c>
      <c r="G31" s="409">
        <v>0</v>
      </c>
      <c r="H31" s="409">
        <v>0</v>
      </c>
      <c r="I31" s="409">
        <v>0</v>
      </c>
      <c r="J31" s="409">
        <v>0</v>
      </c>
      <c r="K31" s="409">
        <v>0</v>
      </c>
      <c r="L31" s="409">
        <v>0</v>
      </c>
      <c r="M31" s="409">
        <v>0</v>
      </c>
      <c r="N31" s="409">
        <v>0</v>
      </c>
      <c r="O31" s="409">
        <v>80000</v>
      </c>
      <c r="P31" s="409">
        <v>0</v>
      </c>
      <c r="Q31" s="409">
        <v>0</v>
      </c>
      <c r="R31" s="693">
        <f>SUM(B31:Q31)</f>
        <v>430000</v>
      </c>
    </row>
    <row r="32" spans="1:19">
      <c r="A32" s="699" t="s">
        <v>126</v>
      </c>
      <c r="B32" s="406">
        <v>800000</v>
      </c>
      <c r="C32" s="409">
        <v>70000</v>
      </c>
      <c r="D32" s="409">
        <v>340000</v>
      </c>
      <c r="E32" s="409">
        <v>330000</v>
      </c>
      <c r="F32" s="409">
        <v>90000</v>
      </c>
      <c r="G32" s="409">
        <v>84000</v>
      </c>
      <c r="H32" s="409">
        <v>147000</v>
      </c>
      <c r="I32" s="409">
        <v>100000</v>
      </c>
      <c r="J32" s="409">
        <v>141605</v>
      </c>
      <c r="K32" s="409">
        <v>114570</v>
      </c>
      <c r="L32" s="409">
        <v>67497.5</v>
      </c>
      <c r="M32" s="409">
        <v>500000</v>
      </c>
      <c r="N32" s="409">
        <v>120000</v>
      </c>
      <c r="O32" s="409">
        <v>82000</v>
      </c>
      <c r="P32" s="409">
        <v>100000</v>
      </c>
      <c r="Q32" s="409">
        <v>0</v>
      </c>
      <c r="R32" s="693">
        <f>SUM(B32:Q32)</f>
        <v>3086672.5</v>
      </c>
      <c r="S32" t="s">
        <v>557</v>
      </c>
    </row>
    <row r="33" spans="1:19">
      <c r="A33" s="699" t="s">
        <v>128</v>
      </c>
      <c r="B33" s="467">
        <v>0</v>
      </c>
      <c r="C33" s="409">
        <v>0</v>
      </c>
      <c r="D33" s="409">
        <v>0</v>
      </c>
      <c r="E33" s="409">
        <v>0</v>
      </c>
      <c r="F33" s="409">
        <v>0</v>
      </c>
      <c r="G33" s="409">
        <v>0</v>
      </c>
      <c r="H33" s="409">
        <v>0</v>
      </c>
      <c r="I33" s="409">
        <v>0</v>
      </c>
      <c r="J33" s="409">
        <v>0</v>
      </c>
      <c r="K33" s="409">
        <v>110000</v>
      </c>
      <c r="L33" s="409">
        <v>0</v>
      </c>
      <c r="M33" s="409">
        <v>0</v>
      </c>
      <c r="N33" s="409">
        <v>0</v>
      </c>
      <c r="O33" s="409">
        <v>0</v>
      </c>
      <c r="P33" s="409">
        <v>0</v>
      </c>
      <c r="Q33" s="409">
        <v>0</v>
      </c>
      <c r="R33" s="693">
        <f>SUM(B33:Q33)</f>
        <v>110000</v>
      </c>
    </row>
    <row r="34" spans="1:19">
      <c r="A34" s="699" t="s">
        <v>130</v>
      </c>
      <c r="B34" s="467">
        <v>0</v>
      </c>
      <c r="C34" s="409">
        <v>0</v>
      </c>
      <c r="D34" s="409">
        <v>0</v>
      </c>
      <c r="E34" s="409">
        <v>0</v>
      </c>
      <c r="F34" s="409">
        <v>0</v>
      </c>
      <c r="G34" s="409">
        <v>0</v>
      </c>
      <c r="H34" s="409">
        <v>0</v>
      </c>
      <c r="I34" s="409">
        <v>0</v>
      </c>
      <c r="J34" s="409">
        <v>0</v>
      </c>
      <c r="K34" s="409">
        <v>0</v>
      </c>
      <c r="L34" s="409">
        <v>0</v>
      </c>
      <c r="M34" s="409">
        <v>2500000</v>
      </c>
      <c r="N34" s="409">
        <v>0</v>
      </c>
      <c r="O34" s="409">
        <v>0</v>
      </c>
      <c r="P34" s="409">
        <v>0</v>
      </c>
      <c r="Q34" s="409">
        <v>0</v>
      </c>
      <c r="R34" s="693">
        <f>SUM(B34:Q34)</f>
        <v>2500000</v>
      </c>
    </row>
    <row r="35" spans="1:19">
      <c r="A35" s="699" t="s">
        <v>408</v>
      </c>
      <c r="B35" s="467">
        <v>0</v>
      </c>
      <c r="C35" s="409">
        <v>0</v>
      </c>
      <c r="D35" s="409">
        <v>0</v>
      </c>
      <c r="E35" s="409">
        <v>0</v>
      </c>
      <c r="F35" s="409">
        <v>0</v>
      </c>
      <c r="G35" s="409">
        <v>0</v>
      </c>
      <c r="H35" s="409">
        <v>0</v>
      </c>
      <c r="I35" s="409">
        <v>0</v>
      </c>
      <c r="J35" s="409">
        <v>0</v>
      </c>
      <c r="K35" s="409">
        <v>0</v>
      </c>
      <c r="L35" s="409">
        <v>0</v>
      </c>
      <c r="M35" s="409">
        <v>150000</v>
      </c>
      <c r="N35" s="409">
        <v>0</v>
      </c>
      <c r="O35" s="409">
        <v>0</v>
      </c>
      <c r="P35" s="409">
        <v>0</v>
      </c>
      <c r="Q35" s="409">
        <v>0</v>
      </c>
      <c r="R35" s="693">
        <f>SUM(B35:Q35)</f>
        <v>150000</v>
      </c>
    </row>
    <row r="36" spans="1:19">
      <c r="A36" s="699" t="s">
        <v>840</v>
      </c>
      <c r="B36" s="467">
        <v>0</v>
      </c>
      <c r="C36" s="409">
        <v>0</v>
      </c>
      <c r="D36" s="409">
        <v>0</v>
      </c>
      <c r="E36" s="409">
        <v>0</v>
      </c>
      <c r="F36" s="409">
        <v>0</v>
      </c>
      <c r="G36" s="409">
        <v>0</v>
      </c>
      <c r="H36" s="409">
        <v>0</v>
      </c>
      <c r="I36" s="409">
        <v>0</v>
      </c>
      <c r="J36" s="409">
        <v>0</v>
      </c>
      <c r="K36" s="409">
        <v>0</v>
      </c>
      <c r="L36" s="409">
        <v>0</v>
      </c>
      <c r="M36" s="409">
        <v>300000</v>
      </c>
      <c r="N36" s="409">
        <v>0</v>
      </c>
      <c r="O36" s="409">
        <v>0</v>
      </c>
      <c r="P36" s="409">
        <v>0</v>
      </c>
      <c r="Q36" s="409">
        <v>0</v>
      </c>
      <c r="R36" s="693">
        <f>SUM(B36:Q36)</f>
        <v>300000</v>
      </c>
    </row>
    <row r="37" spans="1:19">
      <c r="A37" s="699" t="s">
        <v>134</v>
      </c>
      <c r="B37" s="406">
        <v>3000000</v>
      </c>
      <c r="C37" s="409">
        <v>0</v>
      </c>
      <c r="D37" s="409">
        <v>300000</v>
      </c>
      <c r="E37" s="409">
        <v>0</v>
      </c>
      <c r="F37" s="409">
        <v>0</v>
      </c>
      <c r="G37" s="409">
        <v>0</v>
      </c>
      <c r="H37" s="409">
        <v>0</v>
      </c>
      <c r="I37" s="409">
        <v>0</v>
      </c>
      <c r="J37" s="409">
        <v>0</v>
      </c>
      <c r="K37" s="409">
        <v>0</v>
      </c>
      <c r="L37" s="409">
        <v>0</v>
      </c>
      <c r="M37" s="409">
        <v>150000</v>
      </c>
      <c r="N37" s="409">
        <v>0</v>
      </c>
      <c r="O37" s="409">
        <v>0</v>
      </c>
      <c r="P37" s="409">
        <v>0</v>
      </c>
      <c r="Q37" s="409">
        <v>0</v>
      </c>
      <c r="R37" s="693">
        <f>SUM(B37:Q37)</f>
        <v>3450000</v>
      </c>
    </row>
    <row r="38" spans="1:19">
      <c r="A38" s="699" t="s">
        <v>138</v>
      </c>
      <c r="B38" s="467">
        <v>1400000</v>
      </c>
      <c r="C38" s="409">
        <v>0</v>
      </c>
      <c r="D38" s="409">
        <v>0</v>
      </c>
      <c r="E38" s="409">
        <v>0</v>
      </c>
      <c r="F38" s="409">
        <v>0</v>
      </c>
      <c r="G38" s="409">
        <v>0</v>
      </c>
      <c r="H38" s="409">
        <v>0</v>
      </c>
      <c r="I38" s="409">
        <v>0</v>
      </c>
      <c r="J38" s="409">
        <v>0</v>
      </c>
      <c r="K38" s="409">
        <v>0</v>
      </c>
      <c r="L38" s="409">
        <v>0</v>
      </c>
      <c r="M38" s="409">
        <v>0</v>
      </c>
      <c r="N38" s="409">
        <v>0</v>
      </c>
      <c r="O38" s="409">
        <v>0</v>
      </c>
      <c r="P38" s="409">
        <v>0</v>
      </c>
      <c r="Q38" s="409">
        <v>0</v>
      </c>
      <c r="R38" s="693">
        <f>SUM(B38:Q38)</f>
        <v>1400000</v>
      </c>
    </row>
    <row r="39" spans="1:19">
      <c r="A39" s="699" t="s">
        <v>140</v>
      </c>
      <c r="B39" s="467">
        <v>5500000</v>
      </c>
      <c r="C39" s="409">
        <v>0</v>
      </c>
      <c r="D39" s="409">
        <v>0</v>
      </c>
      <c r="E39" s="409">
        <v>0</v>
      </c>
      <c r="F39" s="409">
        <v>0</v>
      </c>
      <c r="G39" s="409">
        <v>0</v>
      </c>
      <c r="H39" s="409">
        <v>0</v>
      </c>
      <c r="I39" s="409">
        <v>0</v>
      </c>
      <c r="J39" s="409">
        <v>0</v>
      </c>
      <c r="K39" s="409">
        <v>0</v>
      </c>
      <c r="L39" s="409">
        <v>0</v>
      </c>
      <c r="M39" s="409">
        <v>0</v>
      </c>
      <c r="N39" s="409">
        <v>0</v>
      </c>
      <c r="O39" s="409">
        <v>0</v>
      </c>
      <c r="P39" s="409">
        <v>0</v>
      </c>
      <c r="Q39" s="409">
        <v>0</v>
      </c>
      <c r="R39" s="693">
        <f>SUM(B39:Q39)</f>
        <v>5500000</v>
      </c>
    </row>
    <row r="40" spans="1:19" customHeight="1" ht="15.75">
      <c r="A40" s="699" t="s">
        <v>142</v>
      </c>
      <c r="B40" s="467">
        <v>5000</v>
      </c>
      <c r="C40" s="700">
        <v>0</v>
      </c>
      <c r="D40" s="409">
        <v>10000</v>
      </c>
      <c r="E40" s="409">
        <v>0</v>
      </c>
      <c r="F40" s="409">
        <v>0</v>
      </c>
      <c r="G40" s="409">
        <v>0</v>
      </c>
      <c r="H40" s="409">
        <v>0</v>
      </c>
      <c r="I40" s="409">
        <v>0</v>
      </c>
      <c r="J40" s="409">
        <v>0</v>
      </c>
      <c r="K40" s="409">
        <v>5000</v>
      </c>
      <c r="L40" s="409">
        <v>500</v>
      </c>
      <c r="M40" s="409">
        <v>0</v>
      </c>
      <c r="N40" s="409">
        <v>0</v>
      </c>
      <c r="O40" s="409">
        <v>0</v>
      </c>
      <c r="P40" s="700">
        <v>0</v>
      </c>
      <c r="Q40" s="700">
        <v>0</v>
      </c>
      <c r="R40" s="693">
        <f>SUM(B40:Q40)</f>
        <v>20500</v>
      </c>
    </row>
    <row r="41" spans="1:19" customHeight="1" ht="15.75">
      <c r="A41" s="701" t="s">
        <v>841</v>
      </c>
      <c r="B41" s="697">
        <f>SUM(B30:B40)</f>
        <v>12005000</v>
      </c>
      <c r="C41" s="697">
        <f>SUM(C30:C40)</f>
        <v>160000</v>
      </c>
      <c r="D41" s="697">
        <f>SUM(D30:D40)</f>
        <v>950000</v>
      </c>
      <c r="E41" s="697">
        <f>SUM(E30:E40)</f>
        <v>1330000</v>
      </c>
      <c r="F41" s="697">
        <f>SUM(F30:F40)</f>
        <v>200000</v>
      </c>
      <c r="G41" s="697">
        <f>SUM(G30:G40)</f>
        <v>206350</v>
      </c>
      <c r="H41" s="697">
        <f>SUM(H30:H40)</f>
        <v>244690</v>
      </c>
      <c r="I41" s="697">
        <f>SUM(I30:I40)</f>
        <v>240000</v>
      </c>
      <c r="J41" s="697">
        <f>SUM(J30:J40)</f>
        <v>256605</v>
      </c>
      <c r="K41" s="697">
        <f>SUM(K30:K40)</f>
        <v>409570</v>
      </c>
      <c r="L41" s="697">
        <f>SUM(L30:L40)</f>
        <v>237997.5</v>
      </c>
      <c r="M41" s="697">
        <f>SUM(M30:M40)</f>
        <v>3800000</v>
      </c>
      <c r="N41" s="697">
        <f>SUM(N30:N40)</f>
        <v>270000</v>
      </c>
      <c r="O41" s="697">
        <f>SUM(O30:O40)</f>
        <v>252000</v>
      </c>
      <c r="P41" s="697">
        <f>SUM(P30:P40)</f>
        <v>190000</v>
      </c>
      <c r="Q41" s="697">
        <f>SUM(Q30:Q40)</f>
        <v>0</v>
      </c>
      <c r="R41" s="698">
        <f>SUM(R30:R40)</f>
        <v>20752212.5</v>
      </c>
    </row>
    <row r="42" spans="1:19">
      <c r="A42" s="399"/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399"/>
    </row>
    <row r="43" spans="1:19" customHeight="1" ht="15.75">
      <c r="A43" s="399"/>
      <c r="B43" s="399"/>
      <c r="C43" s="399"/>
      <c r="D43" s="399"/>
      <c r="E43" s="399"/>
      <c r="F43" s="399"/>
      <c r="G43" s="399"/>
      <c r="H43" s="399"/>
      <c r="I43" s="399"/>
      <c r="J43" s="399"/>
      <c r="K43" s="399"/>
      <c r="L43" s="399"/>
      <c r="M43" s="399"/>
      <c r="N43" s="399"/>
      <c r="O43" s="399"/>
      <c r="P43" s="399"/>
      <c r="Q43" s="399"/>
    </row>
    <row r="44" spans="1:19">
      <c r="A44" s="683"/>
      <c r="B44" s="375" t="s">
        <v>799</v>
      </c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5"/>
    </row>
    <row r="45" spans="1:19">
      <c r="A45" s="418" t="s">
        <v>800</v>
      </c>
      <c r="B45" s="402" t="s">
        <v>801</v>
      </c>
      <c r="C45" s="402" t="s">
        <v>802</v>
      </c>
      <c r="D45" s="402" t="s">
        <v>803</v>
      </c>
      <c r="E45" s="426" t="s">
        <v>804</v>
      </c>
      <c r="F45" s="402" t="s">
        <v>805</v>
      </c>
      <c r="G45" s="402" t="s">
        <v>806</v>
      </c>
      <c r="H45" s="402" t="s">
        <v>807</v>
      </c>
      <c r="I45" s="402" t="s">
        <v>808</v>
      </c>
      <c r="J45" s="402" t="s">
        <v>809</v>
      </c>
      <c r="K45" s="402" t="s">
        <v>810</v>
      </c>
      <c r="L45" s="402" t="s">
        <v>811</v>
      </c>
      <c r="M45" s="402" t="s">
        <v>812</v>
      </c>
      <c r="N45" s="402" t="s">
        <v>813</v>
      </c>
      <c r="O45" s="402" t="s">
        <v>814</v>
      </c>
      <c r="P45" s="402" t="s">
        <v>815</v>
      </c>
      <c r="Q45" s="402" t="s">
        <v>816</v>
      </c>
      <c r="R45" s="687" t="s">
        <v>817</v>
      </c>
    </row>
    <row r="46" spans="1:19" customHeight="1" ht="15.75">
      <c r="A46" s="688"/>
      <c r="B46" s="422" t="s">
        <v>818</v>
      </c>
      <c r="C46" s="422" t="s">
        <v>818</v>
      </c>
      <c r="D46" s="422" t="s">
        <v>818</v>
      </c>
      <c r="E46" s="423" t="s">
        <v>818</v>
      </c>
      <c r="F46" s="422" t="s">
        <v>818</v>
      </c>
      <c r="G46" s="422" t="s">
        <v>818</v>
      </c>
      <c r="H46" s="422" t="s">
        <v>818</v>
      </c>
      <c r="I46" s="422" t="s">
        <v>818</v>
      </c>
      <c r="J46" s="422" t="s">
        <v>818</v>
      </c>
      <c r="K46" s="422" t="s">
        <v>818</v>
      </c>
      <c r="L46" s="422" t="s">
        <v>818</v>
      </c>
      <c r="M46" s="689" t="s">
        <v>818</v>
      </c>
      <c r="N46" s="422" t="s">
        <v>818</v>
      </c>
      <c r="O46" s="422" t="s">
        <v>818</v>
      </c>
      <c r="P46" s="422" t="s">
        <v>818</v>
      </c>
      <c r="Q46" s="422" t="s">
        <v>819</v>
      </c>
      <c r="R46" s="690" t="s">
        <v>356</v>
      </c>
    </row>
    <row r="47" spans="1:19">
      <c r="A47" s="695" t="s">
        <v>839</v>
      </c>
      <c r="B47" s="399"/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76"/>
    </row>
    <row r="48" spans="1:19">
      <c r="A48" s="699" t="s">
        <v>842</v>
      </c>
      <c r="B48" s="467">
        <v>120000</v>
      </c>
      <c r="C48" s="409">
        <v>18000</v>
      </c>
      <c r="D48" s="409">
        <v>48000</v>
      </c>
      <c r="E48" s="409">
        <v>240000</v>
      </c>
      <c r="F48" s="409">
        <v>24000</v>
      </c>
      <c r="G48" s="409">
        <v>24000</v>
      </c>
      <c r="H48" s="409">
        <v>24000</v>
      </c>
      <c r="I48" s="409">
        <v>24000</v>
      </c>
      <c r="J48" s="409">
        <v>24000</v>
      </c>
      <c r="K48" s="409">
        <v>24000</v>
      </c>
      <c r="L48" s="409">
        <v>24000</v>
      </c>
      <c r="M48" s="409">
        <v>24000</v>
      </c>
      <c r="N48" s="409">
        <v>24000</v>
      </c>
      <c r="O48" s="409">
        <v>24000</v>
      </c>
      <c r="P48" s="409">
        <v>24000</v>
      </c>
      <c r="Q48" s="409">
        <v>0</v>
      </c>
      <c r="R48" s="693">
        <f>SUM(B48:Q48)</f>
        <v>690000</v>
      </c>
    </row>
    <row r="49" spans="1:19">
      <c r="A49" s="699" t="s">
        <v>146</v>
      </c>
      <c r="B49" s="467">
        <v>100000</v>
      </c>
      <c r="C49" s="409">
        <v>25000</v>
      </c>
      <c r="D49" s="409">
        <v>50000</v>
      </c>
      <c r="E49" s="409">
        <v>0</v>
      </c>
      <c r="F49" s="409">
        <v>25000</v>
      </c>
      <c r="G49" s="409">
        <v>25000</v>
      </c>
      <c r="H49" s="409">
        <v>25000</v>
      </c>
      <c r="I49" s="409">
        <v>25000</v>
      </c>
      <c r="J49" s="409">
        <v>30000</v>
      </c>
      <c r="K49" s="409">
        <v>30000</v>
      </c>
      <c r="L49" s="409">
        <v>27000</v>
      </c>
      <c r="M49" s="409">
        <v>25000</v>
      </c>
      <c r="N49" s="409">
        <v>25000</v>
      </c>
      <c r="O49" s="409">
        <v>35000</v>
      </c>
      <c r="P49" s="409">
        <v>25000</v>
      </c>
      <c r="Q49" s="409">
        <v>0</v>
      </c>
      <c r="R49" s="693">
        <f>SUM(B49:Q49)</f>
        <v>472000</v>
      </c>
    </row>
    <row r="50" spans="1:19">
      <c r="A50" s="699" t="s">
        <v>843</v>
      </c>
      <c r="B50" s="467">
        <v>51874.56</v>
      </c>
      <c r="C50" s="409">
        <v>0</v>
      </c>
      <c r="D50" s="409">
        <v>0</v>
      </c>
      <c r="E50" s="409">
        <v>0</v>
      </c>
      <c r="F50" s="409">
        <v>0</v>
      </c>
      <c r="G50" s="409">
        <v>0</v>
      </c>
      <c r="H50" s="409">
        <v>0</v>
      </c>
      <c r="I50" s="409">
        <v>0</v>
      </c>
      <c r="J50" s="409">
        <v>0</v>
      </c>
      <c r="K50" s="409">
        <v>0</v>
      </c>
      <c r="L50" s="409">
        <v>0</v>
      </c>
      <c r="M50" s="409">
        <v>0</v>
      </c>
      <c r="N50" s="409">
        <v>0</v>
      </c>
      <c r="O50" s="409">
        <v>0</v>
      </c>
      <c r="P50" s="409">
        <v>0</v>
      </c>
      <c r="Q50" s="409">
        <v>0</v>
      </c>
      <c r="R50" s="693">
        <f>SUM(B50:Q50)</f>
        <v>51874.56</v>
      </c>
    </row>
    <row r="51" spans="1:19">
      <c r="A51" s="699" t="s">
        <v>150</v>
      </c>
      <c r="B51" s="467">
        <v>0</v>
      </c>
      <c r="C51" s="409">
        <v>0</v>
      </c>
      <c r="D51" s="409">
        <v>0</v>
      </c>
      <c r="E51" s="409">
        <v>0</v>
      </c>
      <c r="F51" s="409">
        <v>0</v>
      </c>
      <c r="G51" s="409">
        <v>0</v>
      </c>
      <c r="H51" s="409">
        <v>0</v>
      </c>
      <c r="I51" s="409">
        <v>0</v>
      </c>
      <c r="J51" s="409">
        <v>80000</v>
      </c>
      <c r="K51" s="409">
        <v>0</v>
      </c>
      <c r="L51" s="409">
        <v>0</v>
      </c>
      <c r="M51" s="409">
        <v>0</v>
      </c>
      <c r="N51" s="409">
        <v>0</v>
      </c>
      <c r="O51" s="409">
        <v>0</v>
      </c>
      <c r="P51" s="409">
        <v>0</v>
      </c>
      <c r="Q51" s="409">
        <v>0</v>
      </c>
      <c r="R51" s="693">
        <f>SUM(B51:Q51)</f>
        <v>80000</v>
      </c>
    </row>
    <row r="52" spans="1:19">
      <c r="A52" s="699" t="s">
        <v>152</v>
      </c>
      <c r="B52" s="467">
        <v>350000</v>
      </c>
      <c r="C52" s="409">
        <v>0</v>
      </c>
      <c r="D52" s="409">
        <v>100000</v>
      </c>
      <c r="E52" s="409">
        <v>0</v>
      </c>
      <c r="F52" s="409">
        <v>0</v>
      </c>
      <c r="G52" s="409">
        <v>0</v>
      </c>
      <c r="H52" s="409">
        <v>0</v>
      </c>
      <c r="I52" s="409">
        <v>0</v>
      </c>
      <c r="J52" s="409">
        <v>0</v>
      </c>
      <c r="K52" s="409">
        <v>0</v>
      </c>
      <c r="L52" s="409">
        <v>0</v>
      </c>
      <c r="M52" s="409">
        <v>0</v>
      </c>
      <c r="N52" s="409">
        <v>0</v>
      </c>
      <c r="O52" s="409">
        <v>0</v>
      </c>
      <c r="P52" s="409">
        <v>0</v>
      </c>
      <c r="Q52" s="409">
        <v>0</v>
      </c>
      <c r="R52" s="693">
        <f>SUM(B52:Q52)</f>
        <v>450000</v>
      </c>
    </row>
    <row r="53" spans="1:19">
      <c r="A53" s="699" t="s">
        <v>154</v>
      </c>
      <c r="B53" s="467">
        <v>7500000</v>
      </c>
      <c r="C53" s="409">
        <v>0</v>
      </c>
      <c r="D53" s="409">
        <v>700000</v>
      </c>
      <c r="E53" s="409">
        <v>0</v>
      </c>
      <c r="F53" s="409">
        <v>0</v>
      </c>
      <c r="G53" s="409">
        <v>0</v>
      </c>
      <c r="H53" s="409">
        <v>0</v>
      </c>
      <c r="I53" s="409">
        <v>0</v>
      </c>
      <c r="J53" s="409">
        <v>0</v>
      </c>
      <c r="K53" s="409">
        <v>0</v>
      </c>
      <c r="L53" s="409">
        <v>0</v>
      </c>
      <c r="M53" s="409">
        <v>0</v>
      </c>
      <c r="N53" s="409">
        <v>0</v>
      </c>
      <c r="O53" s="409">
        <v>0</v>
      </c>
      <c r="P53" s="409">
        <v>0</v>
      </c>
      <c r="Q53" s="409">
        <v>0</v>
      </c>
      <c r="R53" s="693">
        <f>SUM(B53:Q53)</f>
        <v>8200000</v>
      </c>
    </row>
    <row r="54" spans="1:19">
      <c r="A54" s="699" t="s">
        <v>412</v>
      </c>
      <c r="B54" s="467">
        <v>0</v>
      </c>
      <c r="C54" s="409">
        <v>0</v>
      </c>
      <c r="D54" s="409">
        <v>0</v>
      </c>
      <c r="E54" s="409">
        <v>0</v>
      </c>
      <c r="F54" s="409">
        <v>0</v>
      </c>
      <c r="G54" s="409">
        <v>0</v>
      </c>
      <c r="H54" s="409">
        <v>0</v>
      </c>
      <c r="I54" s="409">
        <v>0</v>
      </c>
      <c r="J54" s="409">
        <v>0</v>
      </c>
      <c r="K54" s="409">
        <v>0</v>
      </c>
      <c r="L54" s="409">
        <v>0</v>
      </c>
      <c r="M54" s="409">
        <v>250000</v>
      </c>
      <c r="N54" s="409">
        <v>0</v>
      </c>
      <c r="O54" s="409">
        <v>152600</v>
      </c>
      <c r="P54" s="409">
        <v>0</v>
      </c>
      <c r="Q54" s="409">
        <v>0</v>
      </c>
      <c r="R54" s="693">
        <f>SUM(B54:Q54)</f>
        <v>402600</v>
      </c>
    </row>
    <row r="55" spans="1:19">
      <c r="A55" s="699" t="s">
        <v>844</v>
      </c>
      <c r="B55" s="467">
        <v>100000</v>
      </c>
      <c r="C55" s="409">
        <v>10000</v>
      </c>
      <c r="D55" s="409">
        <v>100000</v>
      </c>
      <c r="E55" s="409">
        <v>24500</v>
      </c>
      <c r="F55" s="409">
        <v>10000</v>
      </c>
      <c r="G55" s="409">
        <v>10000</v>
      </c>
      <c r="H55" s="409">
        <v>15000</v>
      </c>
      <c r="I55" s="409">
        <v>25000</v>
      </c>
      <c r="J55" s="409">
        <v>25000</v>
      </c>
      <c r="K55" s="409">
        <v>25000</v>
      </c>
      <c r="L55" s="409">
        <v>15000</v>
      </c>
      <c r="M55" s="409">
        <v>30000</v>
      </c>
      <c r="N55" s="409">
        <v>20000</v>
      </c>
      <c r="O55" s="409">
        <v>15000</v>
      </c>
      <c r="P55" s="409">
        <v>25000</v>
      </c>
      <c r="Q55" s="409">
        <v>0</v>
      </c>
      <c r="R55" s="693">
        <f>SUM(B55:Q55)</f>
        <v>449500</v>
      </c>
    </row>
    <row r="56" spans="1:19">
      <c r="A56" s="699" t="s">
        <v>845</v>
      </c>
      <c r="B56" s="467">
        <v>800000</v>
      </c>
      <c r="C56" s="409">
        <v>0</v>
      </c>
      <c r="D56" s="409">
        <v>50000</v>
      </c>
      <c r="E56" s="409">
        <v>0</v>
      </c>
      <c r="F56" s="409">
        <v>0</v>
      </c>
      <c r="G56" s="409">
        <v>0</v>
      </c>
      <c r="H56" s="409">
        <v>0</v>
      </c>
      <c r="I56" s="409">
        <v>0</v>
      </c>
      <c r="J56" s="409">
        <v>0</v>
      </c>
      <c r="K56" s="409">
        <v>0</v>
      </c>
      <c r="L56" s="409">
        <v>0</v>
      </c>
      <c r="M56" s="409">
        <v>50000</v>
      </c>
      <c r="N56" s="409">
        <v>0</v>
      </c>
      <c r="O56" s="409">
        <v>0</v>
      </c>
      <c r="P56" s="409">
        <v>0</v>
      </c>
      <c r="Q56" s="409">
        <v>0</v>
      </c>
      <c r="R56" s="693">
        <f>SUM(B56:Q56)</f>
        <v>900000</v>
      </c>
    </row>
    <row r="57" spans="1:19">
      <c r="A57" s="699" t="s">
        <v>162</v>
      </c>
      <c r="B57" s="467">
        <v>60000</v>
      </c>
      <c r="C57" s="409">
        <v>0</v>
      </c>
      <c r="D57" s="409">
        <v>50000</v>
      </c>
      <c r="E57" s="409">
        <v>0</v>
      </c>
      <c r="F57" s="409">
        <v>0</v>
      </c>
      <c r="G57" s="409">
        <v>0</v>
      </c>
      <c r="H57" s="409">
        <v>0</v>
      </c>
      <c r="I57" s="409">
        <v>0</v>
      </c>
      <c r="J57" s="409">
        <v>0</v>
      </c>
      <c r="K57" s="409">
        <v>70920</v>
      </c>
      <c r="L57" s="409">
        <v>0</v>
      </c>
      <c r="M57" s="409">
        <v>0</v>
      </c>
      <c r="N57" s="409">
        <v>0</v>
      </c>
      <c r="O57" s="409">
        <v>0</v>
      </c>
      <c r="P57" s="409">
        <v>0</v>
      </c>
      <c r="Q57" s="409">
        <v>0</v>
      </c>
      <c r="R57" s="693">
        <f>SUM(B57:Q57)</f>
        <v>180920</v>
      </c>
    </row>
    <row r="58" spans="1:19">
      <c r="A58" s="699" t="s">
        <v>164</v>
      </c>
      <c r="B58" s="467">
        <v>500000</v>
      </c>
      <c r="C58" s="409">
        <v>0</v>
      </c>
      <c r="D58" s="409">
        <v>0</v>
      </c>
      <c r="E58" s="409">
        <v>0</v>
      </c>
      <c r="F58" s="409">
        <v>0</v>
      </c>
      <c r="G58" s="409">
        <v>0</v>
      </c>
      <c r="H58" s="409">
        <v>0</v>
      </c>
      <c r="I58" s="409">
        <v>0</v>
      </c>
      <c r="J58" s="409">
        <v>0</v>
      </c>
      <c r="K58" s="409">
        <v>0</v>
      </c>
      <c r="L58" s="409">
        <v>0</v>
      </c>
      <c r="M58" s="409">
        <v>0</v>
      </c>
      <c r="N58" s="409">
        <v>0</v>
      </c>
      <c r="O58" s="409">
        <v>0</v>
      </c>
      <c r="P58" s="409">
        <v>0</v>
      </c>
      <c r="Q58" s="409">
        <v>0</v>
      </c>
      <c r="R58" s="693">
        <f>SUM(B58:Q58)</f>
        <v>500000</v>
      </c>
    </row>
    <row r="59" spans="1:19">
      <c r="A59" s="699" t="s">
        <v>166</v>
      </c>
      <c r="B59" s="467">
        <v>100000</v>
      </c>
      <c r="C59" s="409">
        <v>0</v>
      </c>
      <c r="D59" s="409">
        <v>30000</v>
      </c>
      <c r="E59" s="409">
        <v>0</v>
      </c>
      <c r="F59" s="409">
        <v>0</v>
      </c>
      <c r="G59" s="409">
        <v>0</v>
      </c>
      <c r="H59" s="409">
        <v>0</v>
      </c>
      <c r="I59" s="409">
        <v>0</v>
      </c>
      <c r="J59" s="409">
        <v>0</v>
      </c>
      <c r="K59" s="409">
        <v>0</v>
      </c>
      <c r="L59" s="409">
        <v>0</v>
      </c>
      <c r="M59" s="409">
        <v>0</v>
      </c>
      <c r="N59" s="409">
        <v>0</v>
      </c>
      <c r="O59" s="409">
        <v>0</v>
      </c>
      <c r="P59" s="409">
        <v>0</v>
      </c>
      <c r="Q59" s="409">
        <v>0</v>
      </c>
      <c r="R59" s="693">
        <f>SUM(B59:Q59)</f>
        <v>130000</v>
      </c>
    </row>
    <row r="60" spans="1:19">
      <c r="A60" s="699" t="s">
        <v>365</v>
      </c>
      <c r="B60" s="467">
        <v>0</v>
      </c>
      <c r="C60" s="409">
        <v>0</v>
      </c>
      <c r="D60" s="409">
        <v>200000</v>
      </c>
      <c r="E60" s="409">
        <v>0</v>
      </c>
      <c r="F60" s="409">
        <v>0</v>
      </c>
      <c r="G60" s="409">
        <v>0</v>
      </c>
      <c r="H60" s="409">
        <v>0</v>
      </c>
      <c r="I60" s="409">
        <v>0</v>
      </c>
      <c r="J60" s="409">
        <v>0</v>
      </c>
      <c r="K60" s="409">
        <v>0</v>
      </c>
      <c r="L60" s="409">
        <v>0</v>
      </c>
      <c r="M60" s="409">
        <v>0</v>
      </c>
      <c r="N60" s="409">
        <v>0</v>
      </c>
      <c r="O60" s="409">
        <v>0</v>
      </c>
      <c r="P60" s="409">
        <v>0</v>
      </c>
      <c r="Q60" s="409">
        <v>0</v>
      </c>
      <c r="R60" s="693">
        <f>SUM(B60:Q60)</f>
        <v>200000</v>
      </c>
    </row>
    <row r="61" spans="1:19">
      <c r="A61" s="699" t="s">
        <v>846</v>
      </c>
      <c r="B61" s="467">
        <v>4155153.26</v>
      </c>
      <c r="C61" s="409">
        <v>54360</v>
      </c>
      <c r="D61" s="409">
        <v>447640</v>
      </c>
      <c r="E61" s="409">
        <v>400000</v>
      </c>
      <c r="F61" s="409">
        <v>37700</v>
      </c>
      <c r="G61" s="409">
        <v>5000</v>
      </c>
      <c r="H61" s="409">
        <v>86000</v>
      </c>
      <c r="I61" s="409">
        <v>48665</v>
      </c>
      <c r="J61" s="409">
        <v>0</v>
      </c>
      <c r="K61" s="409">
        <v>31000</v>
      </c>
      <c r="L61" s="409">
        <v>8000</v>
      </c>
      <c r="M61" s="409">
        <v>406000</v>
      </c>
      <c r="N61" s="409">
        <v>363040</v>
      </c>
      <c r="O61" s="409">
        <v>61000</v>
      </c>
      <c r="P61" s="409">
        <v>41000</v>
      </c>
      <c r="Q61" s="409">
        <v>0</v>
      </c>
      <c r="R61" s="693">
        <f>SUM(B61:Q61)</f>
        <v>6144558.26</v>
      </c>
    </row>
    <row r="62" spans="1:19">
      <c r="A62" s="699" t="s">
        <v>171</v>
      </c>
      <c r="B62" s="467">
        <v>0</v>
      </c>
      <c r="C62" s="409">
        <v>0</v>
      </c>
      <c r="D62" s="409">
        <v>0</v>
      </c>
      <c r="E62" s="409">
        <v>0</v>
      </c>
      <c r="F62" s="409">
        <v>0</v>
      </c>
      <c r="G62" s="409">
        <v>0</v>
      </c>
      <c r="H62" s="409">
        <v>0</v>
      </c>
      <c r="I62" s="409">
        <v>0</v>
      </c>
      <c r="J62" s="409">
        <v>0</v>
      </c>
      <c r="K62" s="409">
        <v>0</v>
      </c>
      <c r="L62" s="409">
        <v>0</v>
      </c>
      <c r="M62" s="409">
        <v>0</v>
      </c>
      <c r="N62" s="409">
        <v>940000</v>
      </c>
      <c r="O62" s="409">
        <v>0</v>
      </c>
      <c r="P62" s="409">
        <v>0</v>
      </c>
      <c r="Q62" s="409">
        <v>0</v>
      </c>
      <c r="R62" s="693">
        <f>SUM(B62:Q62)</f>
        <v>940000</v>
      </c>
    </row>
    <row r="63" spans="1:19">
      <c r="A63" s="699" t="s">
        <v>847</v>
      </c>
      <c r="B63" s="467">
        <v>0</v>
      </c>
      <c r="C63" s="409">
        <v>0</v>
      </c>
      <c r="D63" s="409">
        <v>0</v>
      </c>
      <c r="E63" s="409">
        <v>0</v>
      </c>
      <c r="F63" s="409">
        <v>0</v>
      </c>
      <c r="G63" s="409">
        <v>0</v>
      </c>
      <c r="H63" s="409">
        <v>0</v>
      </c>
      <c r="I63" s="409">
        <v>0</v>
      </c>
      <c r="J63" s="409">
        <v>0</v>
      </c>
      <c r="K63" s="409">
        <v>0</v>
      </c>
      <c r="L63" s="409">
        <v>0</v>
      </c>
      <c r="M63" s="409">
        <v>0</v>
      </c>
      <c r="N63" s="409">
        <v>1000000</v>
      </c>
      <c r="O63" s="409">
        <v>0</v>
      </c>
      <c r="P63" s="409">
        <v>0</v>
      </c>
      <c r="Q63" s="409">
        <v>0</v>
      </c>
      <c r="R63" s="693">
        <f>SUM(B63:Q63)</f>
        <v>1000000</v>
      </c>
    </row>
    <row r="64" spans="1:19">
      <c r="A64" s="699" t="s">
        <v>848</v>
      </c>
      <c r="B64" s="467">
        <v>0</v>
      </c>
      <c r="C64" s="409">
        <v>0</v>
      </c>
      <c r="D64" s="409">
        <v>0</v>
      </c>
      <c r="E64" s="409">
        <v>0</v>
      </c>
      <c r="F64" s="409">
        <v>0</v>
      </c>
      <c r="G64" s="409">
        <v>0</v>
      </c>
      <c r="H64" s="409">
        <v>0</v>
      </c>
      <c r="I64" s="409">
        <v>0</v>
      </c>
      <c r="J64" s="409">
        <v>0</v>
      </c>
      <c r="K64" s="409">
        <v>0</v>
      </c>
      <c r="L64" s="409">
        <v>0</v>
      </c>
      <c r="M64" s="409">
        <v>0</v>
      </c>
      <c r="N64" s="409">
        <v>300000</v>
      </c>
      <c r="O64" s="409">
        <v>0</v>
      </c>
      <c r="P64" s="409">
        <v>0</v>
      </c>
      <c r="Q64" s="410">
        <v>0</v>
      </c>
      <c r="R64" s="693">
        <f>SUM(B64:Q64)</f>
        <v>300000</v>
      </c>
    </row>
    <row r="65" spans="1:19">
      <c r="A65" s="699" t="s">
        <v>185</v>
      </c>
      <c r="B65" s="467">
        <v>0</v>
      </c>
      <c r="C65" s="409">
        <v>0</v>
      </c>
      <c r="D65" s="409">
        <v>0</v>
      </c>
      <c r="E65" s="409">
        <v>0</v>
      </c>
      <c r="F65" s="409">
        <v>0</v>
      </c>
      <c r="G65" s="409">
        <v>0</v>
      </c>
      <c r="H65" s="409">
        <v>0</v>
      </c>
      <c r="I65" s="409">
        <v>0</v>
      </c>
      <c r="J65" s="409">
        <v>0</v>
      </c>
      <c r="K65" s="409">
        <v>0</v>
      </c>
      <c r="L65" s="409">
        <v>0</v>
      </c>
      <c r="M65" s="409">
        <v>0</v>
      </c>
      <c r="N65" s="409">
        <v>100000</v>
      </c>
      <c r="O65" s="409">
        <v>0</v>
      </c>
      <c r="P65" s="409">
        <v>0</v>
      </c>
      <c r="Q65" s="409">
        <v>0</v>
      </c>
      <c r="R65" s="693">
        <f>SUM(B65:Q65)</f>
        <v>100000</v>
      </c>
    </row>
    <row r="66" spans="1:19">
      <c r="A66" s="699" t="s">
        <v>849</v>
      </c>
      <c r="B66" s="467">
        <v>0</v>
      </c>
      <c r="C66" s="406">
        <v>0</v>
      </c>
      <c r="D66" s="406">
        <v>0</v>
      </c>
      <c r="E66" s="406">
        <v>0</v>
      </c>
      <c r="F66" s="406">
        <v>0</v>
      </c>
      <c r="G66" s="406">
        <v>0</v>
      </c>
      <c r="H66" s="406">
        <v>0</v>
      </c>
      <c r="I66" s="406">
        <v>0</v>
      </c>
      <c r="J66" s="406">
        <v>0</v>
      </c>
      <c r="K66" s="406">
        <v>0</v>
      </c>
      <c r="L66" s="406">
        <v>0</v>
      </c>
      <c r="M66" s="406">
        <v>0</v>
      </c>
      <c r="N66" s="406">
        <v>0</v>
      </c>
      <c r="O66" s="406">
        <v>30000</v>
      </c>
      <c r="P66" s="406">
        <v>0</v>
      </c>
      <c r="Q66" s="409">
        <v>0</v>
      </c>
      <c r="R66" s="693">
        <f>SUM(B66:Q66)</f>
        <v>30000</v>
      </c>
    </row>
    <row r="67" spans="1:19">
      <c r="A67" s="699" t="s">
        <v>850</v>
      </c>
      <c r="B67" s="467">
        <v>0</v>
      </c>
      <c r="C67" s="406">
        <v>0</v>
      </c>
      <c r="D67" s="406">
        <v>0</v>
      </c>
      <c r="E67" s="406">
        <v>0</v>
      </c>
      <c r="F67" s="406">
        <v>0</v>
      </c>
      <c r="G67" s="406">
        <v>0</v>
      </c>
      <c r="H67" s="406">
        <v>0</v>
      </c>
      <c r="I67" s="406">
        <v>0</v>
      </c>
      <c r="J67" s="406">
        <v>0</v>
      </c>
      <c r="K67" s="406">
        <v>0</v>
      </c>
      <c r="L67" s="406">
        <v>0</v>
      </c>
      <c r="M67" s="406">
        <v>0</v>
      </c>
      <c r="N67" s="406">
        <v>0</v>
      </c>
      <c r="O67" s="406">
        <v>120000</v>
      </c>
      <c r="P67" s="406">
        <v>0</v>
      </c>
      <c r="Q67" s="409">
        <v>0</v>
      </c>
      <c r="R67" s="693">
        <f>SUM(B67:Q67)</f>
        <v>120000</v>
      </c>
    </row>
    <row r="68" spans="1:19">
      <c r="A68" s="699" t="s">
        <v>851</v>
      </c>
      <c r="B68" s="467">
        <v>0</v>
      </c>
      <c r="C68" s="406">
        <v>0</v>
      </c>
      <c r="D68" s="406">
        <v>0</v>
      </c>
      <c r="E68" s="406">
        <v>0</v>
      </c>
      <c r="F68" s="406">
        <v>0</v>
      </c>
      <c r="G68" s="406">
        <v>0</v>
      </c>
      <c r="H68" s="406">
        <v>0</v>
      </c>
      <c r="I68" s="406">
        <v>0</v>
      </c>
      <c r="J68" s="406">
        <v>0</v>
      </c>
      <c r="K68" s="406">
        <v>0</v>
      </c>
      <c r="L68" s="406">
        <v>0</v>
      </c>
      <c r="M68" s="406">
        <v>0</v>
      </c>
      <c r="N68" s="406">
        <v>0</v>
      </c>
      <c r="O68" s="406">
        <v>900000</v>
      </c>
      <c r="P68" s="406">
        <v>0</v>
      </c>
      <c r="Q68" s="409">
        <v>0</v>
      </c>
      <c r="R68" s="693">
        <f>SUM(B68:Q68)</f>
        <v>900000</v>
      </c>
    </row>
    <row r="69" spans="1:19">
      <c r="A69" s="699" t="s">
        <v>852</v>
      </c>
      <c r="B69" s="467">
        <v>0</v>
      </c>
      <c r="C69" s="406">
        <v>0</v>
      </c>
      <c r="D69" s="406">
        <v>0</v>
      </c>
      <c r="E69" s="406">
        <v>0</v>
      </c>
      <c r="F69" s="406">
        <v>0</v>
      </c>
      <c r="G69" s="406">
        <v>0</v>
      </c>
      <c r="H69" s="406">
        <v>0</v>
      </c>
      <c r="I69" s="406">
        <v>0</v>
      </c>
      <c r="J69" s="406">
        <v>0</v>
      </c>
      <c r="K69" s="406">
        <v>0</v>
      </c>
      <c r="L69" s="406">
        <v>0</v>
      </c>
      <c r="M69" s="406">
        <v>0</v>
      </c>
      <c r="N69" s="406">
        <v>0</v>
      </c>
      <c r="O69" s="406">
        <v>500000</v>
      </c>
      <c r="P69" s="406">
        <v>0</v>
      </c>
      <c r="Q69" s="409">
        <v>0</v>
      </c>
      <c r="R69" s="693">
        <f>SUM(B69:Q69)</f>
        <v>500000</v>
      </c>
    </row>
    <row r="70" spans="1:19" customHeight="1" ht="15.75">
      <c r="A70" s="699" t="s">
        <v>853</v>
      </c>
      <c r="B70" s="467">
        <v>0</v>
      </c>
      <c r="C70" s="406">
        <v>0</v>
      </c>
      <c r="D70" s="406">
        <v>0</v>
      </c>
      <c r="E70" s="406">
        <v>0</v>
      </c>
      <c r="F70" s="406">
        <v>0</v>
      </c>
      <c r="G70" s="406">
        <v>0</v>
      </c>
      <c r="H70" s="406">
        <v>0</v>
      </c>
      <c r="I70" s="406">
        <v>0</v>
      </c>
      <c r="J70" s="406">
        <v>0</v>
      </c>
      <c r="K70" s="406">
        <v>0</v>
      </c>
      <c r="L70" s="406">
        <v>0</v>
      </c>
      <c r="M70" s="406">
        <v>0</v>
      </c>
      <c r="N70" s="406">
        <v>0</v>
      </c>
      <c r="O70" s="406">
        <v>1200000</v>
      </c>
      <c r="P70" s="406">
        <v>0</v>
      </c>
      <c r="Q70" s="700">
        <v>0</v>
      </c>
      <c r="R70" s="693">
        <f>SUM(B70:Q70)</f>
        <v>1200000</v>
      </c>
    </row>
    <row r="71" spans="1:19" customHeight="1" ht="15.75">
      <c r="A71" s="702" t="s">
        <v>854</v>
      </c>
      <c r="B71" s="696">
        <f>SUM(B48:B70)</f>
        <v>13837027.82</v>
      </c>
      <c r="C71" s="696">
        <f>SUM(C48:C70)</f>
        <v>107360</v>
      </c>
      <c r="D71" s="696">
        <f>SUM(D48:D70)</f>
        <v>1775640</v>
      </c>
      <c r="E71" s="696">
        <f>SUM(E48:E70)</f>
        <v>664500</v>
      </c>
      <c r="F71" s="696">
        <f>SUM(F48:F70)</f>
        <v>96700</v>
      </c>
      <c r="G71" s="696">
        <f>SUM(G48:G70)</f>
        <v>64000</v>
      </c>
      <c r="H71" s="696">
        <f>SUM(H48:H70)</f>
        <v>150000</v>
      </c>
      <c r="I71" s="696">
        <f>SUM(I48:I70)</f>
        <v>122665</v>
      </c>
      <c r="J71" s="696">
        <f>SUM(J48:J70)</f>
        <v>159000</v>
      </c>
      <c r="K71" s="696">
        <f>SUM(K48:K70)</f>
        <v>180920</v>
      </c>
      <c r="L71" s="696">
        <f>SUM(L48:L70)</f>
        <v>74000</v>
      </c>
      <c r="M71" s="696">
        <f>SUM(M48:M70)</f>
        <v>785000</v>
      </c>
      <c r="N71" s="696">
        <f>SUM(N48:N70)</f>
        <v>2772040</v>
      </c>
      <c r="O71" s="696">
        <f>SUM(O48:O70)</f>
        <v>3037600</v>
      </c>
      <c r="P71" s="696">
        <f>SUM(P48:P70)</f>
        <v>115000</v>
      </c>
      <c r="Q71" s="696">
        <f>SUM(Q48:Q70)</f>
        <v>0</v>
      </c>
      <c r="R71" s="698">
        <f>SUM(R48:R70)</f>
        <v>23941452.82</v>
      </c>
    </row>
    <row r="72" spans="1:19" customHeight="1" ht="15.75">
      <c r="A72" s="703" t="s">
        <v>855</v>
      </c>
      <c r="B72" s="704">
        <f>B41+B71</f>
        <v>25842027.82</v>
      </c>
      <c r="C72" s="704">
        <f>C41+C71</f>
        <v>267360</v>
      </c>
      <c r="D72" s="704">
        <f>D41+D71</f>
        <v>2725640</v>
      </c>
      <c r="E72" s="704">
        <f>E41+E71</f>
        <v>1994500</v>
      </c>
      <c r="F72" s="704">
        <f>F41+F71</f>
        <v>296700</v>
      </c>
      <c r="G72" s="704">
        <f>G41+G71</f>
        <v>270350</v>
      </c>
      <c r="H72" s="704">
        <f>H41+H71</f>
        <v>394690</v>
      </c>
      <c r="I72" s="704">
        <f>I41+I71</f>
        <v>362665</v>
      </c>
      <c r="J72" s="704">
        <f>J41+J71</f>
        <v>415605</v>
      </c>
      <c r="K72" s="704">
        <f>K41+K71</f>
        <v>590490</v>
      </c>
      <c r="L72" s="704">
        <f>L41+L71</f>
        <v>311997.5</v>
      </c>
      <c r="M72" s="704">
        <f>M41+M71</f>
        <v>4585000</v>
      </c>
      <c r="N72" s="704">
        <f>N41+N71</f>
        <v>3042040</v>
      </c>
      <c r="O72" s="704">
        <f>O41+O71</f>
        <v>3289600</v>
      </c>
      <c r="P72" s="704">
        <f>P41+P71</f>
        <v>305000</v>
      </c>
      <c r="Q72" s="704">
        <f>Q41+Q71</f>
        <v>0</v>
      </c>
      <c r="R72" s="698">
        <f>R41+R71</f>
        <v>44693665.32</v>
      </c>
    </row>
    <row r="73" spans="1:19">
      <c r="A73" s="695" t="s">
        <v>856</v>
      </c>
      <c r="B73" s="467"/>
      <c r="C73" s="409"/>
      <c r="D73" s="409"/>
      <c r="E73" s="409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76"/>
    </row>
    <row r="74" spans="1:19">
      <c r="A74" s="699" t="s">
        <v>857</v>
      </c>
      <c r="B74" s="467">
        <v>0</v>
      </c>
      <c r="C74" s="409">
        <v>0</v>
      </c>
      <c r="D74" s="409">
        <v>0</v>
      </c>
      <c r="E74" s="409">
        <v>0</v>
      </c>
      <c r="F74" s="409">
        <v>0</v>
      </c>
      <c r="G74" s="409">
        <v>0</v>
      </c>
      <c r="H74" s="409">
        <v>0</v>
      </c>
      <c r="I74" s="409">
        <v>0</v>
      </c>
      <c r="J74" s="409">
        <v>0</v>
      </c>
      <c r="K74" s="409">
        <v>0</v>
      </c>
      <c r="L74" s="409">
        <v>0</v>
      </c>
      <c r="M74" s="409">
        <v>0</v>
      </c>
      <c r="N74" s="409">
        <v>1800000</v>
      </c>
      <c r="O74" s="409">
        <v>0</v>
      </c>
      <c r="P74" s="409">
        <v>0</v>
      </c>
      <c r="Q74" s="409">
        <v>0</v>
      </c>
      <c r="R74" s="693">
        <f>SUM(B74:Q74)</f>
        <v>1800000</v>
      </c>
    </row>
    <row r="75" spans="1:19">
      <c r="A75" s="699" t="s">
        <v>858</v>
      </c>
      <c r="B75" s="467">
        <v>0</v>
      </c>
      <c r="C75" s="409">
        <v>0</v>
      </c>
      <c r="D75" s="409">
        <v>400000</v>
      </c>
      <c r="E75" s="409">
        <v>0</v>
      </c>
      <c r="F75" s="409">
        <v>0</v>
      </c>
      <c r="G75" s="409">
        <v>0</v>
      </c>
      <c r="H75" s="409">
        <v>0</v>
      </c>
      <c r="I75" s="409">
        <v>0</v>
      </c>
      <c r="J75" s="409">
        <v>0</v>
      </c>
      <c r="K75" s="409">
        <v>0</v>
      </c>
      <c r="L75" s="409">
        <v>0</v>
      </c>
      <c r="M75" s="409">
        <v>0</v>
      </c>
      <c r="N75" s="409">
        <v>0</v>
      </c>
      <c r="O75" s="409">
        <v>0</v>
      </c>
      <c r="P75" s="409">
        <v>0</v>
      </c>
      <c r="Q75" s="409">
        <v>0</v>
      </c>
      <c r="R75" s="693">
        <f>SUM(B75:Q75)</f>
        <v>400000</v>
      </c>
    </row>
    <row r="76" spans="1:19" customHeight="1" ht="15.75">
      <c r="A76" s="699" t="s">
        <v>208</v>
      </c>
      <c r="B76" s="705">
        <v>600000</v>
      </c>
      <c r="C76" s="700">
        <v>0</v>
      </c>
      <c r="D76" s="700">
        <v>200000</v>
      </c>
      <c r="E76" s="700">
        <v>0</v>
      </c>
      <c r="F76" s="700">
        <v>75000</v>
      </c>
      <c r="G76" s="700">
        <v>100000</v>
      </c>
      <c r="H76" s="700">
        <v>0</v>
      </c>
      <c r="I76" s="700">
        <v>90000</v>
      </c>
      <c r="J76" s="700">
        <v>70000</v>
      </c>
      <c r="K76" s="700">
        <v>90000</v>
      </c>
      <c r="L76" s="700">
        <v>55000</v>
      </c>
      <c r="M76" s="700">
        <v>500000</v>
      </c>
      <c r="N76" s="700">
        <v>450000</v>
      </c>
      <c r="O76" s="700">
        <v>230000</v>
      </c>
      <c r="P76" s="700">
        <v>91250</v>
      </c>
      <c r="Q76" s="700">
        <v>0</v>
      </c>
      <c r="R76" s="706">
        <f>SUM(B76:Q76)</f>
        <v>2551250</v>
      </c>
    </row>
    <row r="77" spans="1:19" customHeight="1" ht="15.75">
      <c r="A77" s="703" t="s">
        <v>712</v>
      </c>
      <c r="B77" s="707">
        <f>SUM(B74:B76)</f>
        <v>600000</v>
      </c>
      <c r="C77" s="707">
        <f>SUM(C74:C76)</f>
        <v>0</v>
      </c>
      <c r="D77" s="707">
        <f>SUM(D74:D76)</f>
        <v>600000</v>
      </c>
      <c r="E77" s="707">
        <f>SUM(E74:E76)</f>
        <v>0</v>
      </c>
      <c r="F77" s="707">
        <f>SUM(F74:F76)</f>
        <v>75000</v>
      </c>
      <c r="G77" s="707">
        <f>SUM(G74:G76)</f>
        <v>100000</v>
      </c>
      <c r="H77" s="707">
        <f>SUM(H74:H76)</f>
        <v>0</v>
      </c>
      <c r="I77" s="707">
        <f>SUM(I74:I76)</f>
        <v>90000</v>
      </c>
      <c r="J77" s="707">
        <f>SUM(J74:J76)</f>
        <v>70000</v>
      </c>
      <c r="K77" s="707">
        <f>SUM(K74:K76)</f>
        <v>90000</v>
      </c>
      <c r="L77" s="707">
        <f>SUM(L74:L76)</f>
        <v>55000</v>
      </c>
      <c r="M77" s="707">
        <f>SUM(M74:M76)</f>
        <v>500000</v>
      </c>
      <c r="N77" s="707">
        <f>SUM(N74:N76)</f>
        <v>2250000</v>
      </c>
      <c r="O77" s="707">
        <f>SUM(O74:O76)</f>
        <v>230000</v>
      </c>
      <c r="P77" s="707">
        <f>SUM(P74:P76)</f>
        <v>91250</v>
      </c>
      <c r="Q77" s="707">
        <f>SUM(Q74:Q76)</f>
        <v>0</v>
      </c>
      <c r="R77" s="698">
        <f>SUM(R74:R76)</f>
        <v>4751250</v>
      </c>
    </row>
    <row r="78" spans="1:19">
      <c r="A78" s="695" t="s">
        <v>859</v>
      </c>
      <c r="B78" s="399"/>
      <c r="C78" s="416"/>
      <c r="D78" s="416"/>
      <c r="E78" s="416"/>
      <c r="F78" s="416"/>
      <c r="G78" s="416"/>
      <c r="H78" s="416"/>
      <c r="I78" s="416"/>
      <c r="J78" s="416"/>
      <c r="K78" s="416"/>
      <c r="L78" s="416"/>
      <c r="M78" s="416"/>
      <c r="N78" s="416"/>
      <c r="O78" s="416"/>
      <c r="P78" s="416"/>
      <c r="Q78" s="416"/>
      <c r="R78" s="476"/>
    </row>
    <row r="79" spans="1:19">
      <c r="A79" s="699" t="s">
        <v>860</v>
      </c>
      <c r="B79" s="467">
        <v>0</v>
      </c>
      <c r="C79" s="409">
        <v>0</v>
      </c>
      <c r="D79" s="409">
        <v>0</v>
      </c>
      <c r="E79" s="409">
        <v>0</v>
      </c>
      <c r="F79" s="409">
        <v>0</v>
      </c>
      <c r="G79" s="409">
        <v>0</v>
      </c>
      <c r="H79" s="409">
        <v>0</v>
      </c>
      <c r="I79" s="409">
        <v>0</v>
      </c>
      <c r="J79" s="409">
        <v>0</v>
      </c>
      <c r="K79" s="409">
        <v>0</v>
      </c>
      <c r="L79" s="409">
        <v>0</v>
      </c>
      <c r="M79" s="409">
        <v>0</v>
      </c>
      <c r="N79" s="409">
        <v>0</v>
      </c>
      <c r="O79" s="467">
        <v>0</v>
      </c>
      <c r="P79" s="409">
        <v>0</v>
      </c>
      <c r="Q79" s="409">
        <v>34458787.24</v>
      </c>
      <c r="R79" s="693">
        <f>SUM(Q79)</f>
        <v>34458787.24</v>
      </c>
    </row>
    <row r="80" spans="1:19">
      <c r="A80" s="699" t="s">
        <v>630</v>
      </c>
      <c r="B80" s="467">
        <v>0</v>
      </c>
      <c r="C80" s="409">
        <v>0</v>
      </c>
      <c r="D80" s="409">
        <v>0</v>
      </c>
      <c r="E80" s="409">
        <v>0</v>
      </c>
      <c r="F80" s="409">
        <v>0</v>
      </c>
      <c r="G80" s="409">
        <v>0</v>
      </c>
      <c r="H80" s="409">
        <v>0</v>
      </c>
      <c r="I80" s="409">
        <v>0</v>
      </c>
      <c r="J80" s="409">
        <v>0</v>
      </c>
      <c r="K80" s="409">
        <v>0</v>
      </c>
      <c r="L80" s="409">
        <v>0</v>
      </c>
      <c r="M80" s="409">
        <v>0</v>
      </c>
      <c r="N80" s="409">
        <v>0</v>
      </c>
      <c r="O80" s="467">
        <v>0</v>
      </c>
      <c r="P80" s="409">
        <v>0</v>
      </c>
      <c r="Q80" s="409">
        <v>9274403.7</v>
      </c>
      <c r="R80" s="693">
        <f>SUM(Q80)</f>
        <v>9274403.7</v>
      </c>
    </row>
    <row r="81" spans="1:19">
      <c r="A81" s="699" t="s">
        <v>861</v>
      </c>
      <c r="B81" s="467">
        <v>0</v>
      </c>
      <c r="C81" s="409">
        <v>0</v>
      </c>
      <c r="D81" s="409">
        <v>0</v>
      </c>
      <c r="E81" s="409">
        <v>0</v>
      </c>
      <c r="F81" s="409">
        <v>0</v>
      </c>
      <c r="G81" s="409">
        <v>0</v>
      </c>
      <c r="H81" s="409">
        <v>0</v>
      </c>
      <c r="I81" s="409">
        <v>0</v>
      </c>
      <c r="J81" s="409">
        <v>0</v>
      </c>
      <c r="K81" s="409">
        <v>0</v>
      </c>
      <c r="L81" s="409">
        <v>0</v>
      </c>
      <c r="M81" s="409">
        <v>0</v>
      </c>
      <c r="N81" s="409">
        <v>0</v>
      </c>
      <c r="O81" s="467">
        <v>0</v>
      </c>
      <c r="P81" s="409">
        <v>0</v>
      </c>
      <c r="Q81" s="409">
        <v>450000</v>
      </c>
      <c r="R81" s="693">
        <f>SUM(Q81)</f>
        <v>450000</v>
      </c>
    </row>
    <row r="82" spans="1:19" customHeight="1" ht="15.75">
      <c r="A82" s="699" t="s">
        <v>631</v>
      </c>
      <c r="B82" s="467">
        <v>0</v>
      </c>
      <c r="C82" s="705">
        <v>0</v>
      </c>
      <c r="D82" s="705">
        <v>0</v>
      </c>
      <c r="E82" s="705">
        <v>0</v>
      </c>
      <c r="F82" s="705">
        <v>0</v>
      </c>
      <c r="G82" s="705">
        <v>0</v>
      </c>
      <c r="H82" s="705">
        <v>0</v>
      </c>
      <c r="I82" s="705">
        <v>0</v>
      </c>
      <c r="J82" s="705">
        <v>0</v>
      </c>
      <c r="K82" s="705">
        <v>0</v>
      </c>
      <c r="L82" s="705">
        <v>0</v>
      </c>
      <c r="M82" s="705">
        <v>0</v>
      </c>
      <c r="N82" s="700">
        <v>0</v>
      </c>
      <c r="O82" s="467">
        <v>0</v>
      </c>
      <c r="P82" s="409">
        <v>0</v>
      </c>
      <c r="Q82" s="409">
        <v>1719970.74</v>
      </c>
      <c r="R82" s="693">
        <f>SUM(Q82)</f>
        <v>1719970.74</v>
      </c>
    </row>
    <row r="83" spans="1:19" customHeight="1" ht="15.75">
      <c r="A83" s="695" t="s">
        <v>862</v>
      </c>
      <c r="B83" s="696">
        <f>SUM(B79:B82)</f>
        <v>0</v>
      </c>
      <c r="C83" s="696">
        <v>0</v>
      </c>
      <c r="D83" s="696">
        <v>0</v>
      </c>
      <c r="E83" s="696">
        <v>0</v>
      </c>
      <c r="F83" s="696">
        <v>0</v>
      </c>
      <c r="G83" s="696">
        <v>0</v>
      </c>
      <c r="H83" s="696">
        <v>0</v>
      </c>
      <c r="I83" s="696">
        <v>0</v>
      </c>
      <c r="J83" s="696">
        <v>0</v>
      </c>
      <c r="K83" s="696">
        <v>0</v>
      </c>
      <c r="L83" s="696">
        <v>0</v>
      </c>
      <c r="M83" s="696">
        <v>0</v>
      </c>
      <c r="N83" s="696">
        <v>0</v>
      </c>
      <c r="O83" s="696">
        <v>0</v>
      </c>
      <c r="P83" s="697">
        <f>SUM(P79:P82)</f>
        <v>0</v>
      </c>
      <c r="Q83" s="697">
        <f>SUM(Q79:Q82)</f>
        <v>45903161.68</v>
      </c>
      <c r="R83" s="708">
        <f>SUM(R79:R82)</f>
        <v>45903161.68</v>
      </c>
    </row>
    <row r="84" spans="1:19">
      <c r="A84" s="709"/>
      <c r="B84" s="710"/>
      <c r="C84" s="710"/>
      <c r="D84" s="710"/>
      <c r="E84" s="710"/>
      <c r="F84" s="710"/>
      <c r="G84" s="710"/>
      <c r="H84" s="710"/>
      <c r="I84" s="710"/>
      <c r="J84" s="710"/>
      <c r="K84" s="710"/>
      <c r="L84" s="710"/>
      <c r="M84" s="710"/>
      <c r="N84" s="710"/>
      <c r="O84" s="710"/>
      <c r="P84" s="710"/>
      <c r="Q84" s="710"/>
      <c r="R84" s="710"/>
    </row>
    <row r="85" spans="1:19">
      <c r="A85" s="711"/>
      <c r="B85" s="710"/>
      <c r="C85" s="710"/>
      <c r="D85" s="710"/>
      <c r="E85" s="710"/>
      <c r="F85" s="710"/>
      <c r="G85" s="710"/>
      <c r="H85" s="710"/>
      <c r="I85" s="710"/>
      <c r="J85" s="710"/>
      <c r="K85" s="710"/>
      <c r="L85" s="710"/>
      <c r="M85" s="710"/>
      <c r="N85" s="710"/>
      <c r="O85" s="710"/>
      <c r="P85" s="710"/>
      <c r="Q85" s="710"/>
      <c r="R85" s="710"/>
    </row>
    <row r="86" spans="1:19">
      <c r="A86" s="459"/>
      <c r="B86" s="712" t="s">
        <v>799</v>
      </c>
      <c r="C86" s="712"/>
      <c r="D86" s="712"/>
      <c r="E86" s="712"/>
      <c r="F86" s="712"/>
      <c r="G86" s="712"/>
      <c r="H86" s="712"/>
      <c r="I86" s="712"/>
      <c r="J86" s="712"/>
      <c r="K86" s="712"/>
      <c r="L86" s="712"/>
      <c r="M86" s="712"/>
      <c r="N86" s="712"/>
      <c r="O86" s="712"/>
      <c r="P86" s="712"/>
      <c r="Q86" s="712"/>
      <c r="R86" s="713"/>
    </row>
    <row r="87" spans="1:19">
      <c r="A87" s="686" t="s">
        <v>800</v>
      </c>
      <c r="B87" s="402" t="s">
        <v>801</v>
      </c>
      <c r="C87" s="402" t="s">
        <v>802</v>
      </c>
      <c r="D87" s="402" t="s">
        <v>803</v>
      </c>
      <c r="E87" s="426" t="s">
        <v>804</v>
      </c>
      <c r="F87" s="402" t="s">
        <v>805</v>
      </c>
      <c r="G87" s="402" t="s">
        <v>806</v>
      </c>
      <c r="H87" s="402" t="s">
        <v>807</v>
      </c>
      <c r="I87" s="402" t="s">
        <v>808</v>
      </c>
      <c r="J87" s="402" t="s">
        <v>809</v>
      </c>
      <c r="K87" s="402" t="s">
        <v>810</v>
      </c>
      <c r="L87" s="402" t="s">
        <v>811</v>
      </c>
      <c r="M87" s="402" t="s">
        <v>812</v>
      </c>
      <c r="N87" s="402" t="s">
        <v>813</v>
      </c>
      <c r="O87" s="402" t="s">
        <v>814</v>
      </c>
      <c r="P87" s="402" t="s">
        <v>815</v>
      </c>
      <c r="Q87" s="402" t="s">
        <v>816</v>
      </c>
      <c r="R87" s="686" t="s">
        <v>817</v>
      </c>
    </row>
    <row r="88" spans="1:19" customHeight="1" ht="15.75">
      <c r="A88" s="422"/>
      <c r="B88" s="422" t="s">
        <v>818</v>
      </c>
      <c r="C88" s="422" t="s">
        <v>818</v>
      </c>
      <c r="D88" s="422" t="s">
        <v>818</v>
      </c>
      <c r="E88" s="423" t="s">
        <v>818</v>
      </c>
      <c r="F88" s="422" t="s">
        <v>818</v>
      </c>
      <c r="G88" s="422" t="s">
        <v>818</v>
      </c>
      <c r="H88" s="422" t="s">
        <v>818</v>
      </c>
      <c r="I88" s="422" t="s">
        <v>818</v>
      </c>
      <c r="J88" s="422" t="s">
        <v>818</v>
      </c>
      <c r="K88" s="422" t="s">
        <v>818</v>
      </c>
      <c r="L88" s="422" t="s">
        <v>818</v>
      </c>
      <c r="M88" s="689" t="s">
        <v>818</v>
      </c>
      <c r="N88" s="422" t="s">
        <v>818</v>
      </c>
      <c r="O88" s="422" t="s">
        <v>818</v>
      </c>
      <c r="P88" s="422" t="s">
        <v>818</v>
      </c>
      <c r="Q88" s="422" t="s">
        <v>819</v>
      </c>
      <c r="R88" s="422" t="s">
        <v>356</v>
      </c>
    </row>
    <row r="89" spans="1:19">
      <c r="A89" s="714" t="s">
        <v>863</v>
      </c>
      <c r="B89" s="399"/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323"/>
    </row>
    <row r="90" spans="1:19">
      <c r="A90" s="715" t="s">
        <v>864</v>
      </c>
      <c r="B90" s="409">
        <v>0</v>
      </c>
      <c r="C90" s="409">
        <v>0</v>
      </c>
      <c r="D90" s="409">
        <v>0</v>
      </c>
      <c r="E90" s="409">
        <v>0</v>
      </c>
      <c r="F90" s="409">
        <v>0</v>
      </c>
      <c r="G90" s="409">
        <v>0</v>
      </c>
      <c r="H90" s="409">
        <v>0</v>
      </c>
      <c r="I90" s="409">
        <v>0</v>
      </c>
      <c r="J90" s="409">
        <v>0</v>
      </c>
      <c r="K90" s="409">
        <v>0</v>
      </c>
      <c r="L90" s="409">
        <v>0</v>
      </c>
      <c r="M90" s="409">
        <v>0</v>
      </c>
      <c r="N90" s="409">
        <v>0</v>
      </c>
      <c r="O90" s="409">
        <v>0</v>
      </c>
      <c r="P90" s="409">
        <v>0</v>
      </c>
      <c r="Q90" s="409">
        <v>1000000</v>
      </c>
      <c r="R90" s="410">
        <f>SUM(Q90)</f>
        <v>1000000</v>
      </c>
    </row>
    <row r="91" spans="1:19">
      <c r="A91" s="715" t="s">
        <v>865</v>
      </c>
      <c r="B91" s="409">
        <v>0</v>
      </c>
      <c r="C91" s="409">
        <v>0</v>
      </c>
      <c r="D91" s="409">
        <v>0</v>
      </c>
      <c r="E91" s="409">
        <v>0</v>
      </c>
      <c r="F91" s="409">
        <v>0</v>
      </c>
      <c r="G91" s="409">
        <v>0</v>
      </c>
      <c r="H91" s="409">
        <v>0</v>
      </c>
      <c r="I91" s="409">
        <v>0</v>
      </c>
      <c r="J91" s="409">
        <v>0</v>
      </c>
      <c r="K91" s="409">
        <v>0</v>
      </c>
      <c r="L91" s="409">
        <v>0</v>
      </c>
      <c r="M91" s="409">
        <v>0</v>
      </c>
      <c r="N91" s="409">
        <v>0</v>
      </c>
      <c r="O91" s="409">
        <v>0</v>
      </c>
      <c r="P91" s="409">
        <v>0</v>
      </c>
      <c r="Q91" s="409">
        <v>100000</v>
      </c>
      <c r="R91" s="410">
        <f>SUM(Q91)</f>
        <v>100000</v>
      </c>
    </row>
    <row r="92" spans="1:19">
      <c r="A92" s="715" t="s">
        <v>866</v>
      </c>
      <c r="B92" s="409">
        <v>0</v>
      </c>
      <c r="C92" s="409">
        <v>0</v>
      </c>
      <c r="D92" s="409">
        <v>0</v>
      </c>
      <c r="E92" s="409">
        <v>0</v>
      </c>
      <c r="F92" s="409">
        <v>0</v>
      </c>
      <c r="G92" s="409">
        <v>0</v>
      </c>
      <c r="H92" s="409">
        <v>0</v>
      </c>
      <c r="I92" s="409">
        <v>0</v>
      </c>
      <c r="J92" s="409">
        <v>0</v>
      </c>
      <c r="K92" s="409">
        <v>0</v>
      </c>
      <c r="L92" s="409">
        <v>0</v>
      </c>
      <c r="M92" s="409">
        <v>0</v>
      </c>
      <c r="N92" s="409">
        <v>0</v>
      </c>
      <c r="O92" s="409">
        <v>0</v>
      </c>
      <c r="P92" s="409">
        <v>0</v>
      </c>
      <c r="Q92" s="409">
        <v>200000</v>
      </c>
      <c r="R92" s="410">
        <f>SUM(Q92)</f>
        <v>200000</v>
      </c>
    </row>
    <row r="93" spans="1:19">
      <c r="A93" s="715" t="s">
        <v>867</v>
      </c>
      <c r="B93" s="409">
        <v>0</v>
      </c>
      <c r="C93" s="409">
        <v>0</v>
      </c>
      <c r="D93" s="409">
        <v>0</v>
      </c>
      <c r="E93" s="409">
        <v>0</v>
      </c>
      <c r="F93" s="409">
        <v>0</v>
      </c>
      <c r="G93" s="409">
        <v>0</v>
      </c>
      <c r="H93" s="409">
        <v>0</v>
      </c>
      <c r="I93" s="409">
        <v>0</v>
      </c>
      <c r="J93" s="409">
        <v>0</v>
      </c>
      <c r="K93" s="409">
        <v>0</v>
      </c>
      <c r="L93" s="409">
        <v>0</v>
      </c>
      <c r="M93" s="409">
        <v>0</v>
      </c>
      <c r="N93" s="409">
        <v>0</v>
      </c>
      <c r="O93" s="409">
        <v>0</v>
      </c>
      <c r="P93" s="409">
        <v>0</v>
      </c>
      <c r="Q93" s="409">
        <v>50000</v>
      </c>
      <c r="R93" s="410">
        <f>SUM(Q93)</f>
        <v>50000</v>
      </c>
    </row>
    <row r="94" spans="1:19">
      <c r="A94" s="715" t="s">
        <v>868</v>
      </c>
      <c r="B94" s="409">
        <v>0</v>
      </c>
      <c r="C94" s="409">
        <v>0</v>
      </c>
      <c r="D94" s="409">
        <v>0</v>
      </c>
      <c r="E94" s="409">
        <v>0</v>
      </c>
      <c r="F94" s="409">
        <v>0</v>
      </c>
      <c r="G94" s="409">
        <v>0</v>
      </c>
      <c r="H94" s="409">
        <v>0</v>
      </c>
      <c r="I94" s="409">
        <v>0</v>
      </c>
      <c r="J94" s="409">
        <v>0</v>
      </c>
      <c r="K94" s="409">
        <v>0</v>
      </c>
      <c r="L94" s="409">
        <v>0</v>
      </c>
      <c r="M94" s="409">
        <v>0</v>
      </c>
      <c r="N94" s="409">
        <v>0</v>
      </c>
      <c r="O94" s="409">
        <v>0</v>
      </c>
      <c r="P94" s="409">
        <v>0</v>
      </c>
      <c r="Q94" s="409">
        <v>200000</v>
      </c>
      <c r="R94" s="410">
        <f>SUM(Q94)</f>
        <v>200000</v>
      </c>
    </row>
    <row r="95" spans="1:19">
      <c r="A95" s="715" t="s">
        <v>869</v>
      </c>
      <c r="B95" s="409">
        <v>0</v>
      </c>
      <c r="C95" s="409">
        <v>0</v>
      </c>
      <c r="D95" s="409">
        <v>0</v>
      </c>
      <c r="E95" s="409">
        <v>0</v>
      </c>
      <c r="F95" s="409">
        <v>0</v>
      </c>
      <c r="G95" s="409">
        <v>0</v>
      </c>
      <c r="H95" s="409">
        <v>0</v>
      </c>
      <c r="I95" s="409">
        <v>0</v>
      </c>
      <c r="J95" s="409">
        <v>0</v>
      </c>
      <c r="K95" s="409">
        <v>0</v>
      </c>
      <c r="L95" s="409">
        <v>0</v>
      </c>
      <c r="M95" s="409">
        <v>0</v>
      </c>
      <c r="N95" s="409">
        <v>0</v>
      </c>
      <c r="O95" s="409">
        <v>0</v>
      </c>
      <c r="P95" s="409">
        <v>0</v>
      </c>
      <c r="Q95" s="409">
        <v>300000</v>
      </c>
      <c r="R95" s="410">
        <f>SUM(Q95)</f>
        <v>300000</v>
      </c>
    </row>
    <row r="96" spans="1:19">
      <c r="A96" s="715" t="s">
        <v>870</v>
      </c>
      <c r="B96" s="409">
        <v>0</v>
      </c>
      <c r="C96" s="409">
        <v>0</v>
      </c>
      <c r="D96" s="409">
        <v>0</v>
      </c>
      <c r="E96" s="409">
        <v>0</v>
      </c>
      <c r="F96" s="409">
        <v>0</v>
      </c>
      <c r="G96" s="409">
        <v>0</v>
      </c>
      <c r="H96" s="409">
        <v>0</v>
      </c>
      <c r="I96" s="409">
        <v>0</v>
      </c>
      <c r="J96" s="409">
        <v>0</v>
      </c>
      <c r="K96" s="409">
        <v>0</v>
      </c>
      <c r="L96" s="409">
        <v>0</v>
      </c>
      <c r="M96" s="409">
        <v>0</v>
      </c>
      <c r="N96" s="409">
        <v>0</v>
      </c>
      <c r="O96" s="409">
        <v>0</v>
      </c>
      <c r="P96" s="409">
        <v>0</v>
      </c>
      <c r="Q96" s="409">
        <v>800000</v>
      </c>
      <c r="R96" s="410">
        <f>SUM(Q96)</f>
        <v>800000</v>
      </c>
    </row>
    <row r="97" spans="1:19">
      <c r="A97" s="715" t="s">
        <v>871</v>
      </c>
      <c r="B97" s="409">
        <v>0</v>
      </c>
      <c r="C97" s="409">
        <v>0</v>
      </c>
      <c r="D97" s="409">
        <v>0</v>
      </c>
      <c r="E97" s="409">
        <v>0</v>
      </c>
      <c r="F97" s="409">
        <v>0</v>
      </c>
      <c r="G97" s="409">
        <v>0</v>
      </c>
      <c r="H97" s="409">
        <v>0</v>
      </c>
      <c r="I97" s="409">
        <v>0</v>
      </c>
      <c r="J97" s="409">
        <v>0</v>
      </c>
      <c r="K97" s="409">
        <v>0</v>
      </c>
      <c r="L97" s="409">
        <v>0</v>
      </c>
      <c r="M97" s="409">
        <v>0</v>
      </c>
      <c r="N97" s="409">
        <v>0</v>
      </c>
      <c r="O97" s="409">
        <v>0</v>
      </c>
      <c r="P97" s="409">
        <v>0</v>
      </c>
      <c r="Q97" s="409">
        <v>2000000</v>
      </c>
      <c r="R97" s="410">
        <f>SUM(Q97)</f>
        <v>2000000</v>
      </c>
    </row>
    <row r="98" spans="1:19">
      <c r="A98" s="715" t="s">
        <v>872</v>
      </c>
      <c r="B98" s="409">
        <v>0</v>
      </c>
      <c r="C98" s="409">
        <v>0</v>
      </c>
      <c r="D98" s="409">
        <v>0</v>
      </c>
      <c r="E98" s="409">
        <v>0</v>
      </c>
      <c r="F98" s="409">
        <v>0</v>
      </c>
      <c r="G98" s="409">
        <v>0</v>
      </c>
      <c r="H98" s="409">
        <v>0</v>
      </c>
      <c r="I98" s="409">
        <v>0</v>
      </c>
      <c r="J98" s="409">
        <v>0</v>
      </c>
      <c r="K98" s="409">
        <v>0</v>
      </c>
      <c r="L98" s="409">
        <v>0</v>
      </c>
      <c r="M98" s="409">
        <v>0</v>
      </c>
      <c r="N98" s="409">
        <v>0</v>
      </c>
      <c r="O98" s="409">
        <v>0</v>
      </c>
      <c r="P98" s="409">
        <v>0</v>
      </c>
      <c r="Q98" s="409">
        <v>1200000</v>
      </c>
      <c r="R98" s="410">
        <f>SUM(Q98)</f>
        <v>1200000</v>
      </c>
    </row>
    <row r="99" spans="1:19">
      <c r="A99" s="715" t="s">
        <v>873</v>
      </c>
      <c r="B99" s="409">
        <v>0</v>
      </c>
      <c r="C99" s="409">
        <v>0</v>
      </c>
      <c r="D99" s="409">
        <v>0</v>
      </c>
      <c r="E99" s="409">
        <v>0</v>
      </c>
      <c r="F99" s="409">
        <v>0</v>
      </c>
      <c r="G99" s="409">
        <v>0</v>
      </c>
      <c r="H99" s="409">
        <v>0</v>
      </c>
      <c r="I99" s="409">
        <v>0</v>
      </c>
      <c r="J99" s="409">
        <v>0</v>
      </c>
      <c r="K99" s="409">
        <v>0</v>
      </c>
      <c r="L99" s="409">
        <v>0</v>
      </c>
      <c r="M99" s="409">
        <v>0</v>
      </c>
      <c r="N99" s="409">
        <v>0</v>
      </c>
      <c r="O99" s="409">
        <v>0</v>
      </c>
      <c r="P99" s="409">
        <v>0</v>
      </c>
      <c r="Q99" s="409">
        <v>200000</v>
      </c>
      <c r="R99" s="410">
        <f>SUM(Q99)</f>
        <v>200000</v>
      </c>
    </row>
    <row r="100" spans="1:19">
      <c r="A100" s="715" t="s">
        <v>874</v>
      </c>
      <c r="B100" s="409">
        <v>0</v>
      </c>
      <c r="C100" s="409">
        <v>0</v>
      </c>
      <c r="D100" s="409">
        <v>0</v>
      </c>
      <c r="E100" s="409">
        <v>0</v>
      </c>
      <c r="F100" s="409">
        <v>0</v>
      </c>
      <c r="G100" s="409">
        <v>0</v>
      </c>
      <c r="H100" s="409">
        <v>0</v>
      </c>
      <c r="I100" s="409">
        <v>0</v>
      </c>
      <c r="J100" s="409">
        <v>0</v>
      </c>
      <c r="K100" s="409">
        <v>0</v>
      </c>
      <c r="L100" s="409">
        <v>0</v>
      </c>
      <c r="M100" s="409">
        <v>0</v>
      </c>
      <c r="N100" s="409">
        <v>0</v>
      </c>
      <c r="O100" s="409">
        <v>0</v>
      </c>
      <c r="P100" s="409">
        <v>0</v>
      </c>
      <c r="Q100" s="409">
        <v>200000</v>
      </c>
      <c r="R100" s="410">
        <f>SUM(Q100)</f>
        <v>200000</v>
      </c>
    </row>
    <row r="101" spans="1:19">
      <c r="A101" s="715" t="s">
        <v>875</v>
      </c>
      <c r="B101" s="409">
        <v>0</v>
      </c>
      <c r="C101" s="409">
        <v>0</v>
      </c>
      <c r="D101" s="409">
        <v>0</v>
      </c>
      <c r="E101" s="409">
        <v>0</v>
      </c>
      <c r="F101" s="409">
        <v>0</v>
      </c>
      <c r="G101" s="409">
        <v>0</v>
      </c>
      <c r="H101" s="409">
        <v>0</v>
      </c>
      <c r="I101" s="409">
        <v>0</v>
      </c>
      <c r="J101" s="409">
        <v>0</v>
      </c>
      <c r="K101" s="409">
        <v>0</v>
      </c>
      <c r="L101" s="409">
        <v>0</v>
      </c>
      <c r="M101" s="409">
        <v>0</v>
      </c>
      <c r="N101" s="409">
        <v>0</v>
      </c>
      <c r="O101" s="409">
        <v>0</v>
      </c>
      <c r="P101" s="409">
        <v>0</v>
      </c>
      <c r="Q101" s="409">
        <v>100000</v>
      </c>
      <c r="R101" s="410">
        <f>SUM(Q101)</f>
        <v>100000</v>
      </c>
    </row>
    <row r="102" spans="1:19">
      <c r="A102" s="715" t="s">
        <v>876</v>
      </c>
      <c r="B102" s="409">
        <v>0</v>
      </c>
      <c r="C102" s="409">
        <v>0</v>
      </c>
      <c r="D102" s="409">
        <v>0</v>
      </c>
      <c r="E102" s="409">
        <v>0</v>
      </c>
      <c r="F102" s="409">
        <v>0</v>
      </c>
      <c r="G102" s="409">
        <v>0</v>
      </c>
      <c r="H102" s="409">
        <v>0</v>
      </c>
      <c r="I102" s="409">
        <v>0</v>
      </c>
      <c r="J102" s="409">
        <v>0</v>
      </c>
      <c r="K102" s="409">
        <v>0</v>
      </c>
      <c r="L102" s="409">
        <v>0</v>
      </c>
      <c r="M102" s="409">
        <v>0</v>
      </c>
      <c r="N102" s="409">
        <v>0</v>
      </c>
      <c r="O102" s="409">
        <v>0</v>
      </c>
      <c r="P102" s="409">
        <v>0</v>
      </c>
      <c r="Q102" s="409">
        <v>200000</v>
      </c>
      <c r="R102" s="410">
        <f>SUM(Q102)</f>
        <v>200000</v>
      </c>
    </row>
    <row r="103" spans="1:19">
      <c r="A103" s="715" t="s">
        <v>877</v>
      </c>
      <c r="B103" s="409">
        <v>0</v>
      </c>
      <c r="C103" s="409">
        <v>0</v>
      </c>
      <c r="D103" s="409">
        <v>0</v>
      </c>
      <c r="E103" s="409">
        <v>0</v>
      </c>
      <c r="F103" s="409">
        <v>0</v>
      </c>
      <c r="G103" s="409">
        <v>0</v>
      </c>
      <c r="H103" s="409">
        <v>0</v>
      </c>
      <c r="I103" s="409">
        <v>0</v>
      </c>
      <c r="J103" s="409">
        <v>0</v>
      </c>
      <c r="K103" s="409">
        <v>0</v>
      </c>
      <c r="L103" s="409">
        <v>0</v>
      </c>
      <c r="M103" s="409">
        <v>0</v>
      </c>
      <c r="N103" s="409">
        <v>0</v>
      </c>
      <c r="O103" s="409">
        <v>0</v>
      </c>
      <c r="P103" s="409">
        <v>0</v>
      </c>
      <c r="Q103" s="409">
        <v>36000</v>
      </c>
      <c r="R103" s="410">
        <f>SUM(Q103)</f>
        <v>36000</v>
      </c>
    </row>
    <row r="104" spans="1:19">
      <c r="A104" s="715" t="s">
        <v>878</v>
      </c>
      <c r="B104" s="409">
        <v>0</v>
      </c>
      <c r="C104" s="409">
        <v>0</v>
      </c>
      <c r="D104" s="409">
        <v>0</v>
      </c>
      <c r="E104" s="409">
        <v>0</v>
      </c>
      <c r="F104" s="409">
        <v>0</v>
      </c>
      <c r="G104" s="409">
        <v>0</v>
      </c>
      <c r="H104" s="409">
        <v>0</v>
      </c>
      <c r="I104" s="409">
        <v>0</v>
      </c>
      <c r="J104" s="409">
        <v>0</v>
      </c>
      <c r="K104" s="409">
        <v>0</v>
      </c>
      <c r="L104" s="409">
        <v>0</v>
      </c>
      <c r="M104" s="409">
        <v>0</v>
      </c>
      <c r="N104" s="409">
        <v>0</v>
      </c>
      <c r="O104" s="409">
        <v>0</v>
      </c>
      <c r="P104" s="409">
        <v>0</v>
      </c>
      <c r="Q104" s="409">
        <v>60000</v>
      </c>
      <c r="R104" s="410">
        <f>SUM(Q104)</f>
        <v>60000</v>
      </c>
    </row>
    <row r="105" spans="1:19">
      <c r="A105" s="715" t="s">
        <v>879</v>
      </c>
      <c r="B105" s="409">
        <v>0</v>
      </c>
      <c r="C105" s="409">
        <v>0</v>
      </c>
      <c r="D105" s="409">
        <v>0</v>
      </c>
      <c r="E105" s="409">
        <v>0</v>
      </c>
      <c r="F105" s="409">
        <v>0</v>
      </c>
      <c r="G105" s="409">
        <v>0</v>
      </c>
      <c r="H105" s="409">
        <v>0</v>
      </c>
      <c r="I105" s="409">
        <v>0</v>
      </c>
      <c r="J105" s="409">
        <v>0</v>
      </c>
      <c r="K105" s="409">
        <v>0</v>
      </c>
      <c r="L105" s="409">
        <v>0</v>
      </c>
      <c r="M105" s="409">
        <v>0</v>
      </c>
      <c r="N105" s="409">
        <v>0</v>
      </c>
      <c r="O105" s="409">
        <v>0</v>
      </c>
      <c r="P105" s="409">
        <v>0</v>
      </c>
      <c r="Q105" s="409">
        <v>30000</v>
      </c>
      <c r="R105" s="410">
        <f>SUM(Q105)</f>
        <v>30000</v>
      </c>
    </row>
    <row r="106" spans="1:19">
      <c r="A106" s="715" t="s">
        <v>880</v>
      </c>
      <c r="B106" s="409">
        <v>0</v>
      </c>
      <c r="C106" s="409">
        <v>0</v>
      </c>
      <c r="D106" s="409">
        <v>0</v>
      </c>
      <c r="E106" s="409">
        <v>0</v>
      </c>
      <c r="F106" s="409">
        <v>0</v>
      </c>
      <c r="G106" s="409">
        <v>0</v>
      </c>
      <c r="H106" s="409">
        <v>0</v>
      </c>
      <c r="I106" s="409">
        <v>0</v>
      </c>
      <c r="J106" s="409">
        <v>0</v>
      </c>
      <c r="K106" s="409">
        <v>0</v>
      </c>
      <c r="L106" s="409">
        <v>0</v>
      </c>
      <c r="M106" s="409">
        <v>0</v>
      </c>
      <c r="N106" s="409">
        <v>0</v>
      </c>
      <c r="O106" s="409">
        <v>0</v>
      </c>
      <c r="P106" s="409">
        <v>0</v>
      </c>
      <c r="Q106" s="409">
        <v>50000</v>
      </c>
      <c r="R106" s="410">
        <f>SUM(Q106)</f>
        <v>50000</v>
      </c>
    </row>
    <row r="107" spans="1:19">
      <c r="A107" s="715" t="s">
        <v>881</v>
      </c>
      <c r="B107" s="409">
        <v>0</v>
      </c>
      <c r="C107" s="409">
        <v>0</v>
      </c>
      <c r="D107" s="409">
        <v>0</v>
      </c>
      <c r="E107" s="409">
        <v>0</v>
      </c>
      <c r="F107" s="409">
        <v>0</v>
      </c>
      <c r="G107" s="409">
        <v>0</v>
      </c>
      <c r="H107" s="409">
        <v>0</v>
      </c>
      <c r="I107" s="409">
        <v>0</v>
      </c>
      <c r="J107" s="409">
        <v>0</v>
      </c>
      <c r="K107" s="409">
        <v>0</v>
      </c>
      <c r="L107" s="409">
        <v>0</v>
      </c>
      <c r="M107" s="409">
        <v>0</v>
      </c>
      <c r="N107" s="409">
        <v>0</v>
      </c>
      <c r="O107" s="409">
        <v>0</v>
      </c>
      <c r="P107" s="409">
        <v>0</v>
      </c>
      <c r="Q107" s="409">
        <v>50000</v>
      </c>
      <c r="R107" s="410">
        <f>SUM(Q107)</f>
        <v>50000</v>
      </c>
    </row>
    <row r="108" spans="1:19">
      <c r="A108" s="715" t="s">
        <v>882</v>
      </c>
      <c r="B108" s="409">
        <v>0</v>
      </c>
      <c r="C108" s="409">
        <v>0</v>
      </c>
      <c r="D108" s="409">
        <v>0</v>
      </c>
      <c r="E108" s="409">
        <v>0</v>
      </c>
      <c r="F108" s="409">
        <v>0</v>
      </c>
      <c r="G108" s="409">
        <v>0</v>
      </c>
      <c r="H108" s="409">
        <v>0</v>
      </c>
      <c r="I108" s="409">
        <v>0</v>
      </c>
      <c r="J108" s="409">
        <v>0</v>
      </c>
      <c r="K108" s="409">
        <v>0</v>
      </c>
      <c r="L108" s="409">
        <v>0</v>
      </c>
      <c r="M108" s="409">
        <v>0</v>
      </c>
      <c r="N108" s="409">
        <v>0</v>
      </c>
      <c r="O108" s="409">
        <v>0</v>
      </c>
      <c r="P108" s="409">
        <v>0</v>
      </c>
      <c r="Q108" s="409">
        <v>30000</v>
      </c>
      <c r="R108" s="410">
        <f>SUM(Q108)</f>
        <v>30000</v>
      </c>
    </row>
    <row r="109" spans="1:19">
      <c r="A109" s="715" t="s">
        <v>883</v>
      </c>
      <c r="B109" s="409">
        <v>0</v>
      </c>
      <c r="C109" s="409">
        <v>0</v>
      </c>
      <c r="D109" s="409">
        <v>0</v>
      </c>
      <c r="E109" s="409">
        <v>0</v>
      </c>
      <c r="F109" s="409">
        <v>0</v>
      </c>
      <c r="G109" s="409">
        <v>0</v>
      </c>
      <c r="H109" s="409">
        <v>0</v>
      </c>
      <c r="I109" s="409">
        <v>0</v>
      </c>
      <c r="J109" s="409">
        <v>0</v>
      </c>
      <c r="K109" s="409">
        <v>0</v>
      </c>
      <c r="L109" s="409">
        <v>0</v>
      </c>
      <c r="M109" s="409">
        <v>0</v>
      </c>
      <c r="N109" s="409">
        <v>0</v>
      </c>
      <c r="O109" s="409">
        <v>0</v>
      </c>
      <c r="P109" s="409">
        <v>0</v>
      </c>
      <c r="Q109" s="409">
        <v>30000</v>
      </c>
      <c r="R109" s="410">
        <f>SUM(Q109)</f>
        <v>30000</v>
      </c>
    </row>
    <row r="110" spans="1:19">
      <c r="A110" s="715" t="s">
        <v>884</v>
      </c>
      <c r="B110" s="409">
        <v>0</v>
      </c>
      <c r="C110" s="409">
        <v>0</v>
      </c>
      <c r="D110" s="409">
        <v>0</v>
      </c>
      <c r="E110" s="409">
        <v>0</v>
      </c>
      <c r="F110" s="409">
        <v>0</v>
      </c>
      <c r="G110" s="409">
        <v>0</v>
      </c>
      <c r="H110" s="409">
        <v>0</v>
      </c>
      <c r="I110" s="409">
        <v>0</v>
      </c>
      <c r="J110" s="409">
        <v>0</v>
      </c>
      <c r="K110" s="409">
        <v>0</v>
      </c>
      <c r="L110" s="409">
        <v>0</v>
      </c>
      <c r="M110" s="409">
        <v>0</v>
      </c>
      <c r="N110" s="409">
        <v>0</v>
      </c>
      <c r="O110" s="409">
        <v>0</v>
      </c>
      <c r="P110" s="409">
        <v>0</v>
      </c>
      <c r="Q110" s="409">
        <v>352000</v>
      </c>
      <c r="R110" s="410">
        <f>SUM(Q110)</f>
        <v>352000</v>
      </c>
    </row>
    <row r="111" spans="1:19">
      <c r="A111" s="715" t="s">
        <v>885</v>
      </c>
      <c r="B111" s="409">
        <v>0</v>
      </c>
      <c r="C111" s="409">
        <v>0</v>
      </c>
      <c r="D111" s="409">
        <v>0</v>
      </c>
      <c r="E111" s="409">
        <v>0</v>
      </c>
      <c r="F111" s="409">
        <v>0</v>
      </c>
      <c r="G111" s="409">
        <v>0</v>
      </c>
      <c r="H111" s="409">
        <v>0</v>
      </c>
      <c r="I111" s="409">
        <v>0</v>
      </c>
      <c r="J111" s="409">
        <v>0</v>
      </c>
      <c r="K111" s="409">
        <v>0</v>
      </c>
      <c r="L111" s="409">
        <v>0</v>
      </c>
      <c r="M111" s="409">
        <v>0</v>
      </c>
      <c r="N111" s="409">
        <v>0</v>
      </c>
      <c r="O111" s="409">
        <v>0</v>
      </c>
      <c r="P111" s="409">
        <v>0</v>
      </c>
      <c r="Q111" s="409">
        <v>2000000</v>
      </c>
      <c r="R111" s="410">
        <f>SUM(Q111)</f>
        <v>2000000</v>
      </c>
    </row>
    <row r="112" spans="1:19">
      <c r="A112" s="715" t="s">
        <v>886</v>
      </c>
      <c r="B112" s="409">
        <v>0</v>
      </c>
      <c r="C112" s="409">
        <v>0</v>
      </c>
      <c r="D112" s="409">
        <v>0</v>
      </c>
      <c r="E112" s="409">
        <v>0</v>
      </c>
      <c r="F112" s="409">
        <v>0</v>
      </c>
      <c r="G112" s="409">
        <v>0</v>
      </c>
      <c r="H112" s="409">
        <v>0</v>
      </c>
      <c r="I112" s="409">
        <v>0</v>
      </c>
      <c r="J112" s="409">
        <v>0</v>
      </c>
      <c r="K112" s="409">
        <v>0</v>
      </c>
      <c r="L112" s="409">
        <v>0</v>
      </c>
      <c r="M112" s="409">
        <v>0</v>
      </c>
      <c r="N112" s="409">
        <v>0</v>
      </c>
      <c r="O112" s="409">
        <v>0</v>
      </c>
      <c r="P112" s="409">
        <v>0</v>
      </c>
      <c r="Q112" s="409">
        <v>1000000</v>
      </c>
      <c r="R112" s="410">
        <f>SUM(Q112)</f>
        <v>1000000</v>
      </c>
    </row>
    <row r="113" spans="1:19">
      <c r="A113" s="715" t="s">
        <v>887</v>
      </c>
      <c r="B113" s="409">
        <v>0</v>
      </c>
      <c r="C113" s="409">
        <v>0</v>
      </c>
      <c r="D113" s="409">
        <v>0</v>
      </c>
      <c r="E113" s="409">
        <v>0</v>
      </c>
      <c r="F113" s="409">
        <v>0</v>
      </c>
      <c r="G113" s="409">
        <v>0</v>
      </c>
      <c r="H113" s="409">
        <v>0</v>
      </c>
      <c r="I113" s="409">
        <v>0</v>
      </c>
      <c r="J113" s="409">
        <v>0</v>
      </c>
      <c r="K113" s="409">
        <v>0</v>
      </c>
      <c r="L113" s="409">
        <v>0</v>
      </c>
      <c r="M113" s="409">
        <v>0</v>
      </c>
      <c r="N113" s="409">
        <v>0</v>
      </c>
      <c r="O113" s="409">
        <v>0</v>
      </c>
      <c r="P113" s="409">
        <v>0</v>
      </c>
      <c r="Q113" s="409">
        <v>600000</v>
      </c>
      <c r="R113" s="410">
        <f>SUM(Q113)</f>
        <v>600000</v>
      </c>
    </row>
    <row r="114" spans="1:19">
      <c r="A114" s="715" t="s">
        <v>888</v>
      </c>
      <c r="B114" s="409">
        <v>0</v>
      </c>
      <c r="C114" s="409">
        <v>0</v>
      </c>
      <c r="D114" s="409">
        <v>0</v>
      </c>
      <c r="E114" s="409">
        <v>0</v>
      </c>
      <c r="F114" s="409">
        <v>0</v>
      </c>
      <c r="G114" s="409">
        <v>0</v>
      </c>
      <c r="H114" s="409">
        <v>0</v>
      </c>
      <c r="I114" s="409">
        <v>0</v>
      </c>
      <c r="J114" s="409">
        <v>0</v>
      </c>
      <c r="K114" s="409">
        <v>0</v>
      </c>
      <c r="L114" s="409">
        <v>0</v>
      </c>
      <c r="M114" s="409">
        <v>0</v>
      </c>
      <c r="N114" s="409">
        <v>0</v>
      </c>
      <c r="O114" s="409">
        <v>0</v>
      </c>
      <c r="P114" s="409">
        <v>0</v>
      </c>
      <c r="Q114" s="409">
        <v>200000</v>
      </c>
      <c r="R114" s="410">
        <f>SUM(Q114)</f>
        <v>200000</v>
      </c>
    </row>
    <row r="115" spans="1:19">
      <c r="A115" s="715" t="s">
        <v>889</v>
      </c>
      <c r="B115" s="409">
        <v>0</v>
      </c>
      <c r="C115" s="409">
        <v>0</v>
      </c>
      <c r="D115" s="409">
        <v>0</v>
      </c>
      <c r="E115" s="409">
        <v>0</v>
      </c>
      <c r="F115" s="409">
        <v>0</v>
      </c>
      <c r="G115" s="409">
        <v>0</v>
      </c>
      <c r="H115" s="409">
        <v>0</v>
      </c>
      <c r="I115" s="409">
        <v>0</v>
      </c>
      <c r="J115" s="409">
        <v>0</v>
      </c>
      <c r="K115" s="409">
        <v>0</v>
      </c>
      <c r="L115" s="409">
        <v>0</v>
      </c>
      <c r="M115" s="409">
        <v>0</v>
      </c>
      <c r="N115" s="409">
        <v>0</v>
      </c>
      <c r="O115" s="409">
        <v>0</v>
      </c>
      <c r="P115" s="409">
        <v>0</v>
      </c>
      <c r="Q115" s="409">
        <v>150000</v>
      </c>
      <c r="R115" s="410">
        <f>SUM(Q115)</f>
        <v>150000</v>
      </c>
    </row>
    <row r="116" spans="1:19">
      <c r="A116" s="715" t="s">
        <v>890</v>
      </c>
      <c r="B116" s="409">
        <v>0</v>
      </c>
      <c r="C116" s="409">
        <v>0</v>
      </c>
      <c r="D116" s="409">
        <v>0</v>
      </c>
      <c r="E116" s="409">
        <v>0</v>
      </c>
      <c r="F116" s="409">
        <v>0</v>
      </c>
      <c r="G116" s="409">
        <v>0</v>
      </c>
      <c r="H116" s="409">
        <v>0</v>
      </c>
      <c r="I116" s="409">
        <v>0</v>
      </c>
      <c r="J116" s="409">
        <v>0</v>
      </c>
      <c r="K116" s="409">
        <v>0</v>
      </c>
      <c r="L116" s="409">
        <v>0</v>
      </c>
      <c r="M116" s="409">
        <v>0</v>
      </c>
      <c r="N116" s="409">
        <v>0</v>
      </c>
      <c r="O116" s="409">
        <v>0</v>
      </c>
      <c r="P116" s="409">
        <v>0</v>
      </c>
      <c r="Q116" s="409">
        <v>150000</v>
      </c>
      <c r="R116" s="410">
        <f>SUM(Q116)</f>
        <v>150000</v>
      </c>
    </row>
    <row r="117" spans="1:19">
      <c r="A117" s="715" t="s">
        <v>891</v>
      </c>
      <c r="B117" s="409">
        <v>0</v>
      </c>
      <c r="C117" s="409">
        <v>0</v>
      </c>
      <c r="D117" s="409">
        <v>0</v>
      </c>
      <c r="E117" s="409">
        <v>0</v>
      </c>
      <c r="F117" s="409">
        <v>0</v>
      </c>
      <c r="G117" s="409">
        <v>0</v>
      </c>
      <c r="H117" s="409">
        <v>0</v>
      </c>
      <c r="I117" s="409">
        <v>0</v>
      </c>
      <c r="J117" s="409">
        <v>0</v>
      </c>
      <c r="K117" s="409">
        <v>0</v>
      </c>
      <c r="L117" s="409">
        <v>0</v>
      </c>
      <c r="M117" s="409">
        <v>0</v>
      </c>
      <c r="N117" s="409">
        <v>0</v>
      </c>
      <c r="O117" s="409">
        <v>0</v>
      </c>
      <c r="P117" s="409">
        <v>0</v>
      </c>
      <c r="Q117" s="409">
        <v>1200000</v>
      </c>
      <c r="R117" s="410">
        <f>SUM(Q117)</f>
        <v>1200000</v>
      </c>
    </row>
    <row r="118" spans="1:19">
      <c r="A118" s="715" t="s">
        <v>892</v>
      </c>
      <c r="B118" s="409">
        <v>0</v>
      </c>
      <c r="C118" s="409">
        <v>0</v>
      </c>
      <c r="D118" s="409">
        <v>0</v>
      </c>
      <c r="E118" s="409">
        <v>0</v>
      </c>
      <c r="F118" s="409">
        <v>0</v>
      </c>
      <c r="G118" s="409">
        <v>0</v>
      </c>
      <c r="H118" s="409">
        <v>0</v>
      </c>
      <c r="I118" s="409">
        <v>0</v>
      </c>
      <c r="J118" s="409">
        <v>0</v>
      </c>
      <c r="K118" s="409">
        <v>0</v>
      </c>
      <c r="L118" s="409">
        <v>0</v>
      </c>
      <c r="M118" s="409">
        <v>0</v>
      </c>
      <c r="N118" s="409">
        <v>0</v>
      </c>
      <c r="O118" s="409">
        <v>0</v>
      </c>
      <c r="P118" s="409">
        <v>0</v>
      </c>
      <c r="Q118" s="409">
        <v>21000</v>
      </c>
      <c r="R118" s="410">
        <f>SUM(Q118)</f>
        <v>21000</v>
      </c>
    </row>
    <row r="119" spans="1:19">
      <c r="A119" s="715" t="s">
        <v>893</v>
      </c>
      <c r="B119" s="409">
        <v>0</v>
      </c>
      <c r="C119" s="409">
        <v>0</v>
      </c>
      <c r="D119" s="409">
        <v>0</v>
      </c>
      <c r="E119" s="409">
        <v>0</v>
      </c>
      <c r="F119" s="409">
        <v>0</v>
      </c>
      <c r="G119" s="409">
        <v>0</v>
      </c>
      <c r="H119" s="409">
        <v>0</v>
      </c>
      <c r="I119" s="409">
        <v>0</v>
      </c>
      <c r="J119" s="409">
        <v>0</v>
      </c>
      <c r="K119" s="409">
        <v>0</v>
      </c>
      <c r="L119" s="409">
        <v>0</v>
      </c>
      <c r="M119" s="409">
        <v>0</v>
      </c>
      <c r="N119" s="409">
        <v>0</v>
      </c>
      <c r="O119" s="409">
        <v>0</v>
      </c>
      <c r="P119" s="409">
        <v>0</v>
      </c>
      <c r="Q119" s="409">
        <v>500000</v>
      </c>
      <c r="R119" s="410">
        <f>SUM(Q119)</f>
        <v>500000</v>
      </c>
    </row>
    <row r="120" spans="1:19">
      <c r="A120" s="715" t="s">
        <v>894</v>
      </c>
      <c r="B120" s="409">
        <v>0</v>
      </c>
      <c r="C120" s="409">
        <v>0</v>
      </c>
      <c r="D120" s="409">
        <v>0</v>
      </c>
      <c r="E120" s="409">
        <v>0</v>
      </c>
      <c r="F120" s="409">
        <v>0</v>
      </c>
      <c r="G120" s="409">
        <v>0</v>
      </c>
      <c r="H120" s="409">
        <v>0</v>
      </c>
      <c r="I120" s="409">
        <v>0</v>
      </c>
      <c r="J120" s="409">
        <v>0</v>
      </c>
      <c r="K120" s="409">
        <v>0</v>
      </c>
      <c r="L120" s="409">
        <v>0</v>
      </c>
      <c r="M120" s="409">
        <v>0</v>
      </c>
      <c r="N120" s="409">
        <v>0</v>
      </c>
      <c r="O120" s="409">
        <v>0</v>
      </c>
      <c r="P120" s="409">
        <v>0</v>
      </c>
      <c r="Q120" s="409">
        <v>1000000</v>
      </c>
      <c r="R120" s="410">
        <f>SUM(Q120)</f>
        <v>1000000</v>
      </c>
    </row>
    <row r="121" spans="1:19">
      <c r="A121" s="715" t="s">
        <v>895</v>
      </c>
      <c r="B121" s="409">
        <v>0</v>
      </c>
      <c r="C121" s="409">
        <v>0</v>
      </c>
      <c r="D121" s="409">
        <v>0</v>
      </c>
      <c r="E121" s="409">
        <v>0</v>
      </c>
      <c r="F121" s="409">
        <v>0</v>
      </c>
      <c r="G121" s="409">
        <v>0</v>
      </c>
      <c r="H121" s="409">
        <v>0</v>
      </c>
      <c r="I121" s="409">
        <v>0</v>
      </c>
      <c r="J121" s="409">
        <v>0</v>
      </c>
      <c r="K121" s="409">
        <v>0</v>
      </c>
      <c r="L121" s="409">
        <v>0</v>
      </c>
      <c r="M121" s="409">
        <v>0</v>
      </c>
      <c r="N121" s="409">
        <v>0</v>
      </c>
      <c r="O121" s="409">
        <v>0</v>
      </c>
      <c r="P121" s="409">
        <v>0</v>
      </c>
      <c r="Q121" s="409">
        <v>2000000</v>
      </c>
      <c r="R121" s="410">
        <f>SUM(Q121)</f>
        <v>2000000</v>
      </c>
    </row>
    <row r="122" spans="1:19">
      <c r="A122" s="715" t="s">
        <v>896</v>
      </c>
      <c r="B122" s="409">
        <v>0</v>
      </c>
      <c r="C122" s="409">
        <v>0</v>
      </c>
      <c r="D122" s="409">
        <v>0</v>
      </c>
      <c r="E122" s="409">
        <v>0</v>
      </c>
      <c r="F122" s="409">
        <v>0</v>
      </c>
      <c r="G122" s="409">
        <v>0</v>
      </c>
      <c r="H122" s="409">
        <v>0</v>
      </c>
      <c r="I122" s="409">
        <v>0</v>
      </c>
      <c r="J122" s="409">
        <v>0</v>
      </c>
      <c r="K122" s="409">
        <v>0</v>
      </c>
      <c r="L122" s="409">
        <v>0</v>
      </c>
      <c r="M122" s="409">
        <v>0</v>
      </c>
      <c r="N122" s="409">
        <v>0</v>
      </c>
      <c r="O122" s="409">
        <v>0</v>
      </c>
      <c r="P122" s="409">
        <v>0</v>
      </c>
      <c r="Q122" s="409">
        <v>20000</v>
      </c>
      <c r="R122" s="410">
        <f>SUM(Q122)</f>
        <v>20000</v>
      </c>
    </row>
    <row r="123" spans="1:19">
      <c r="A123" s="715" t="s">
        <v>897</v>
      </c>
      <c r="B123" s="409">
        <v>0</v>
      </c>
      <c r="C123" s="409">
        <v>0</v>
      </c>
      <c r="D123" s="409">
        <v>0</v>
      </c>
      <c r="E123" s="409">
        <v>0</v>
      </c>
      <c r="F123" s="409">
        <v>0</v>
      </c>
      <c r="G123" s="409">
        <v>0</v>
      </c>
      <c r="H123" s="409">
        <v>0</v>
      </c>
      <c r="I123" s="409">
        <v>0</v>
      </c>
      <c r="J123" s="409">
        <v>0</v>
      </c>
      <c r="K123" s="409">
        <v>0</v>
      </c>
      <c r="L123" s="409">
        <v>0</v>
      </c>
      <c r="M123" s="409">
        <v>0</v>
      </c>
      <c r="N123" s="409">
        <v>0</v>
      </c>
      <c r="O123" s="409">
        <v>0</v>
      </c>
      <c r="P123" s="409">
        <v>0</v>
      </c>
      <c r="Q123" s="409">
        <v>500000</v>
      </c>
      <c r="R123" s="410">
        <f>SUM(Q123)</f>
        <v>500000</v>
      </c>
    </row>
    <row r="124" spans="1:19">
      <c r="A124" s="715" t="s">
        <v>898</v>
      </c>
      <c r="B124" s="409">
        <v>0</v>
      </c>
      <c r="C124" s="409">
        <v>0</v>
      </c>
      <c r="D124" s="409">
        <v>0</v>
      </c>
      <c r="E124" s="409">
        <v>0</v>
      </c>
      <c r="F124" s="409">
        <v>0</v>
      </c>
      <c r="G124" s="409">
        <v>0</v>
      </c>
      <c r="H124" s="409">
        <v>0</v>
      </c>
      <c r="I124" s="409">
        <v>0</v>
      </c>
      <c r="J124" s="409">
        <v>0</v>
      </c>
      <c r="K124" s="409">
        <v>0</v>
      </c>
      <c r="L124" s="409">
        <v>0</v>
      </c>
      <c r="M124" s="409">
        <v>0</v>
      </c>
      <c r="N124" s="409">
        <v>0</v>
      </c>
      <c r="O124" s="409">
        <v>0</v>
      </c>
      <c r="P124" s="409">
        <v>0</v>
      </c>
      <c r="Q124" s="409">
        <v>52800</v>
      </c>
      <c r="R124" s="410">
        <f>SUM(Q124)</f>
        <v>52800</v>
      </c>
    </row>
    <row r="125" spans="1:19">
      <c r="A125" s="715" t="s">
        <v>899</v>
      </c>
      <c r="B125" s="409">
        <v>0</v>
      </c>
      <c r="C125" s="409">
        <v>0</v>
      </c>
      <c r="D125" s="409">
        <v>0</v>
      </c>
      <c r="E125" s="409">
        <v>0</v>
      </c>
      <c r="F125" s="409">
        <v>0</v>
      </c>
      <c r="G125" s="409">
        <v>0</v>
      </c>
      <c r="H125" s="409">
        <v>0</v>
      </c>
      <c r="I125" s="409">
        <v>0</v>
      </c>
      <c r="J125" s="409">
        <v>0</v>
      </c>
      <c r="K125" s="409">
        <v>0</v>
      </c>
      <c r="L125" s="409">
        <v>0</v>
      </c>
      <c r="M125" s="409">
        <v>0</v>
      </c>
      <c r="N125" s="409">
        <v>0</v>
      </c>
      <c r="O125" s="409">
        <v>0</v>
      </c>
      <c r="P125" s="409">
        <v>0</v>
      </c>
      <c r="Q125" s="409">
        <v>150000</v>
      </c>
      <c r="R125" s="410">
        <f>SUM(Q125)</f>
        <v>150000</v>
      </c>
    </row>
    <row r="126" spans="1:19" customHeight="1" ht="14.25">
      <c r="A126" s="715" t="s">
        <v>900</v>
      </c>
      <c r="B126" s="409">
        <v>0</v>
      </c>
      <c r="C126" s="409">
        <v>0</v>
      </c>
      <c r="D126" s="409">
        <v>0</v>
      </c>
      <c r="E126" s="409">
        <v>0</v>
      </c>
      <c r="F126" s="409">
        <v>0</v>
      </c>
      <c r="G126" s="409">
        <v>0</v>
      </c>
      <c r="H126" s="409">
        <v>0</v>
      </c>
      <c r="I126" s="409">
        <v>0</v>
      </c>
      <c r="J126" s="409">
        <v>0</v>
      </c>
      <c r="K126" s="409">
        <v>0</v>
      </c>
      <c r="L126" s="409">
        <v>0</v>
      </c>
      <c r="M126" s="409">
        <v>0</v>
      </c>
      <c r="N126" s="409">
        <v>0</v>
      </c>
      <c r="O126" s="409">
        <v>0</v>
      </c>
      <c r="P126" s="409">
        <v>0</v>
      </c>
      <c r="Q126" s="409">
        <v>300000</v>
      </c>
      <c r="R126" s="410">
        <f>SUM(Q126)</f>
        <v>300000</v>
      </c>
    </row>
    <row r="127" spans="1:19" customHeight="1" ht="15.75">
      <c r="A127" s="714" t="s">
        <v>901</v>
      </c>
      <c r="B127" s="697">
        <f>SUM(B90:B126)</f>
        <v>0</v>
      </c>
      <c r="C127" s="697">
        <f>SUM(C90:C126)</f>
        <v>0</v>
      </c>
      <c r="D127" s="697">
        <f>SUM(D90:D126)</f>
        <v>0</v>
      </c>
      <c r="E127" s="697">
        <f>SUM(E90:E126)</f>
        <v>0</v>
      </c>
      <c r="F127" s="697">
        <f>SUM(F90:F126)</f>
        <v>0</v>
      </c>
      <c r="G127" s="697">
        <f>SUM(G90:G126)</f>
        <v>0</v>
      </c>
      <c r="H127" s="697">
        <f>SUM(H90:H126)</f>
        <v>0</v>
      </c>
      <c r="I127" s="697">
        <f>SUM(I90:I126)</f>
        <v>0</v>
      </c>
      <c r="J127" s="697">
        <f>SUM(J90:J126)</f>
        <v>0</v>
      </c>
      <c r="K127" s="697">
        <f>SUM(K90:K126)</f>
        <v>0</v>
      </c>
      <c r="L127" s="697">
        <f>SUM(L90:L126)</f>
        <v>0</v>
      </c>
      <c r="M127" s="697">
        <f>SUM(M90:M126)</f>
        <v>0</v>
      </c>
      <c r="N127" s="697">
        <f>SUM(N90:N126)</f>
        <v>0</v>
      </c>
      <c r="O127" s="697">
        <f>SUM(O90:O126)</f>
        <v>0</v>
      </c>
      <c r="P127" s="697">
        <f>SUM(P90:P126)</f>
        <v>0</v>
      </c>
      <c r="Q127" s="697">
        <f>SUM(Q90:Q126)</f>
        <v>17031800</v>
      </c>
      <c r="R127" s="697">
        <f>SUM(R90:R126)</f>
        <v>17031800</v>
      </c>
    </row>
    <row r="128" spans="1:19">
      <c r="A128" s="432" t="s">
        <v>902</v>
      </c>
      <c r="B128" s="716">
        <f>B127</f>
        <v>0</v>
      </c>
      <c r="C128" s="716">
        <f>C127</f>
        <v>0</v>
      </c>
      <c r="D128" s="716">
        <f>D127</f>
        <v>0</v>
      </c>
      <c r="E128" s="716">
        <f>E127</f>
        <v>0</v>
      </c>
      <c r="F128" s="716">
        <f>F127</f>
        <v>0</v>
      </c>
      <c r="G128" s="716">
        <f>G127</f>
        <v>0</v>
      </c>
      <c r="H128" s="716">
        <f>H127</f>
        <v>0</v>
      </c>
      <c r="I128" s="716">
        <f>I127</f>
        <v>0</v>
      </c>
      <c r="J128" s="716">
        <f>J127</f>
        <v>0</v>
      </c>
      <c r="K128" s="716">
        <f>K127</f>
        <v>0</v>
      </c>
      <c r="L128" s="716">
        <f>L127</f>
        <v>0</v>
      </c>
      <c r="M128" s="716">
        <f>M127</f>
        <v>0</v>
      </c>
      <c r="N128" s="716">
        <f>N127</f>
        <v>0</v>
      </c>
      <c r="O128" s="716">
        <f>O127</f>
        <v>0</v>
      </c>
      <c r="P128" s="716">
        <f>P127</f>
        <v>0</v>
      </c>
      <c r="Q128" s="716">
        <f>Q127</f>
        <v>17031800</v>
      </c>
      <c r="R128" s="716">
        <f>R66+R127</f>
        <v>17061800</v>
      </c>
    </row>
    <row r="129" spans="1:19">
      <c r="A129" s="458"/>
      <c r="B129" s="717" t="s">
        <v>799</v>
      </c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2"/>
      <c r="P129" s="712"/>
      <c r="Q129" s="712"/>
      <c r="R129" s="713"/>
    </row>
    <row r="130" spans="1:19">
      <c r="A130" s="686" t="s">
        <v>800</v>
      </c>
      <c r="B130" s="686" t="s">
        <v>801</v>
      </c>
      <c r="C130" s="686" t="s">
        <v>802</v>
      </c>
      <c r="D130" s="686" t="s">
        <v>803</v>
      </c>
      <c r="E130" s="718" t="s">
        <v>804</v>
      </c>
      <c r="F130" s="686" t="s">
        <v>805</v>
      </c>
      <c r="G130" s="686" t="s">
        <v>806</v>
      </c>
      <c r="H130" s="686" t="s">
        <v>807</v>
      </c>
      <c r="I130" s="686" t="s">
        <v>808</v>
      </c>
      <c r="J130" s="686" t="s">
        <v>809</v>
      </c>
      <c r="K130" s="686" t="s">
        <v>810</v>
      </c>
      <c r="L130" s="686" t="s">
        <v>811</v>
      </c>
      <c r="M130" s="686" t="s">
        <v>812</v>
      </c>
      <c r="N130" s="686" t="s">
        <v>813</v>
      </c>
      <c r="O130" s="686" t="s">
        <v>814</v>
      </c>
      <c r="P130" s="686" t="s">
        <v>815</v>
      </c>
      <c r="Q130" s="686" t="s">
        <v>816</v>
      </c>
      <c r="R130" s="686" t="s">
        <v>817</v>
      </c>
    </row>
    <row r="131" spans="1:19" customHeight="1" ht="15.75">
      <c r="A131" s="422"/>
      <c r="B131" s="422" t="s">
        <v>818</v>
      </c>
      <c r="C131" s="422" t="s">
        <v>818</v>
      </c>
      <c r="D131" s="422" t="s">
        <v>818</v>
      </c>
      <c r="E131" s="423" t="s">
        <v>818</v>
      </c>
      <c r="F131" s="422" t="s">
        <v>818</v>
      </c>
      <c r="G131" s="422" t="s">
        <v>818</v>
      </c>
      <c r="H131" s="422" t="s">
        <v>818</v>
      </c>
      <c r="I131" s="422" t="s">
        <v>818</v>
      </c>
      <c r="J131" s="422" t="s">
        <v>818</v>
      </c>
      <c r="K131" s="422" t="s">
        <v>818</v>
      </c>
      <c r="L131" s="422" t="s">
        <v>818</v>
      </c>
      <c r="M131" s="689" t="s">
        <v>818</v>
      </c>
      <c r="N131" s="422" t="s">
        <v>818</v>
      </c>
      <c r="O131" s="422" t="s">
        <v>818</v>
      </c>
      <c r="P131" s="422" t="s">
        <v>818</v>
      </c>
      <c r="Q131" s="422" t="s">
        <v>819</v>
      </c>
      <c r="R131" s="422" t="s">
        <v>356</v>
      </c>
    </row>
    <row r="132" spans="1:19" customHeight="1" ht="14.25">
      <c r="A132" s="714" t="s">
        <v>863</v>
      </c>
      <c r="B132" s="409"/>
      <c r="C132" s="406"/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10"/>
      <c r="P132" s="409"/>
      <c r="Q132" s="409"/>
      <c r="R132" s="410"/>
    </row>
    <row r="133" spans="1:19">
      <c r="A133" s="715" t="s">
        <v>903</v>
      </c>
      <c r="B133" s="409">
        <v>0</v>
      </c>
      <c r="C133" s="409">
        <v>0</v>
      </c>
      <c r="D133" s="409">
        <v>0</v>
      </c>
      <c r="E133" s="409">
        <v>0</v>
      </c>
      <c r="F133" s="409">
        <v>0</v>
      </c>
      <c r="G133" s="409">
        <v>0</v>
      </c>
      <c r="H133" s="409">
        <v>0</v>
      </c>
      <c r="I133" s="409">
        <v>0</v>
      </c>
      <c r="J133" s="409">
        <v>0</v>
      </c>
      <c r="K133" s="409">
        <v>0</v>
      </c>
      <c r="L133" s="409">
        <v>0</v>
      </c>
      <c r="M133" s="409">
        <v>0</v>
      </c>
      <c r="N133" s="409">
        <v>0</v>
      </c>
      <c r="O133" s="409">
        <v>0</v>
      </c>
      <c r="P133" s="409">
        <v>0</v>
      </c>
      <c r="Q133" s="409">
        <v>500000</v>
      </c>
      <c r="R133" s="410">
        <f>SUM(Q133)</f>
        <v>500000</v>
      </c>
    </row>
    <row r="134" spans="1:19">
      <c r="A134" s="715" t="s">
        <v>904</v>
      </c>
      <c r="B134" s="406">
        <v>0</v>
      </c>
      <c r="C134" s="406">
        <v>0</v>
      </c>
      <c r="D134" s="409">
        <v>0</v>
      </c>
      <c r="E134" s="409">
        <v>0</v>
      </c>
      <c r="F134" s="409">
        <v>0</v>
      </c>
      <c r="G134" s="409">
        <v>0</v>
      </c>
      <c r="H134" s="409">
        <v>0</v>
      </c>
      <c r="I134" s="409">
        <v>0</v>
      </c>
      <c r="J134" s="409">
        <v>0</v>
      </c>
      <c r="K134" s="409">
        <v>0</v>
      </c>
      <c r="L134" s="409">
        <v>0</v>
      </c>
      <c r="M134" s="409">
        <v>0</v>
      </c>
      <c r="N134" s="409">
        <v>0</v>
      </c>
      <c r="O134" s="410">
        <v>0</v>
      </c>
      <c r="P134" s="409">
        <v>0</v>
      </c>
      <c r="Q134" s="409">
        <v>100000</v>
      </c>
      <c r="R134" s="410">
        <f>SUM(Q134)</f>
        <v>100000</v>
      </c>
    </row>
    <row r="135" spans="1:19" customHeight="1" ht="14.25">
      <c r="A135" s="715" t="s">
        <v>905</v>
      </c>
      <c r="B135" s="409">
        <v>0</v>
      </c>
      <c r="C135" s="409">
        <v>0</v>
      </c>
      <c r="D135" s="409">
        <v>0</v>
      </c>
      <c r="E135" s="409">
        <v>0</v>
      </c>
      <c r="F135" s="409">
        <v>0</v>
      </c>
      <c r="G135" s="409">
        <v>0</v>
      </c>
      <c r="H135" s="409">
        <v>0</v>
      </c>
      <c r="I135" s="409">
        <v>0</v>
      </c>
      <c r="J135" s="409">
        <v>0</v>
      </c>
      <c r="K135" s="409">
        <v>0</v>
      </c>
      <c r="L135" s="409">
        <v>0</v>
      </c>
      <c r="M135" s="409">
        <v>0</v>
      </c>
      <c r="N135" s="409">
        <v>0</v>
      </c>
      <c r="O135" s="409">
        <v>0</v>
      </c>
      <c r="P135" s="409">
        <v>0</v>
      </c>
      <c r="Q135" s="409">
        <v>250000</v>
      </c>
      <c r="R135" s="410">
        <f>SUM(Q135)</f>
        <v>250000</v>
      </c>
    </row>
    <row r="136" spans="1:19">
      <c r="A136" s="715" t="s">
        <v>906</v>
      </c>
      <c r="B136" s="406">
        <v>0</v>
      </c>
      <c r="C136" s="406">
        <v>0</v>
      </c>
      <c r="D136" s="409">
        <v>0</v>
      </c>
      <c r="E136" s="409">
        <v>0</v>
      </c>
      <c r="F136" s="409">
        <v>0</v>
      </c>
      <c r="G136" s="409">
        <v>0</v>
      </c>
      <c r="H136" s="409">
        <v>0</v>
      </c>
      <c r="I136" s="409">
        <v>0</v>
      </c>
      <c r="J136" s="409">
        <v>0</v>
      </c>
      <c r="K136" s="409">
        <v>0</v>
      </c>
      <c r="L136" s="409">
        <v>0</v>
      </c>
      <c r="M136" s="409">
        <v>0</v>
      </c>
      <c r="N136" s="409">
        <v>0</v>
      </c>
      <c r="O136" s="410">
        <v>0</v>
      </c>
      <c r="P136" s="409">
        <v>0</v>
      </c>
      <c r="Q136" s="409">
        <v>500000</v>
      </c>
      <c r="R136" s="410">
        <f>SUM(Q136)</f>
        <v>500000</v>
      </c>
    </row>
    <row r="137" spans="1:19">
      <c r="A137" s="715" t="s">
        <v>907</v>
      </c>
      <c r="B137" s="406">
        <v>0</v>
      </c>
      <c r="C137" s="406">
        <v>0</v>
      </c>
      <c r="D137" s="409">
        <v>0</v>
      </c>
      <c r="E137" s="409">
        <v>0</v>
      </c>
      <c r="F137" s="409">
        <v>0</v>
      </c>
      <c r="G137" s="409">
        <v>0</v>
      </c>
      <c r="H137" s="409">
        <v>0</v>
      </c>
      <c r="I137" s="409">
        <v>0</v>
      </c>
      <c r="J137" s="409">
        <v>0</v>
      </c>
      <c r="K137" s="409">
        <v>0</v>
      </c>
      <c r="L137" s="409">
        <v>0</v>
      </c>
      <c r="M137" s="409">
        <v>0</v>
      </c>
      <c r="N137" s="409">
        <v>0</v>
      </c>
      <c r="O137" s="410">
        <v>0</v>
      </c>
      <c r="P137" s="409">
        <v>0</v>
      </c>
      <c r="Q137" s="409">
        <v>200000</v>
      </c>
      <c r="R137" s="410">
        <f>SUM(Q137)</f>
        <v>200000</v>
      </c>
    </row>
    <row r="138" spans="1:19" customHeight="1" ht="15.75">
      <c r="A138" s="715" t="s">
        <v>908</v>
      </c>
      <c r="B138" s="406">
        <v>0</v>
      </c>
      <c r="C138" s="406">
        <v>0</v>
      </c>
      <c r="D138" s="409">
        <v>0</v>
      </c>
      <c r="E138" s="409">
        <v>0</v>
      </c>
      <c r="F138" s="409">
        <v>0</v>
      </c>
      <c r="G138" s="409">
        <v>0</v>
      </c>
      <c r="H138" s="409">
        <v>0</v>
      </c>
      <c r="I138" s="409">
        <v>0</v>
      </c>
      <c r="J138" s="409">
        <v>0</v>
      </c>
      <c r="K138" s="409">
        <v>0</v>
      </c>
      <c r="L138" s="409">
        <v>0</v>
      </c>
      <c r="M138" s="409">
        <v>0</v>
      </c>
      <c r="N138" s="409">
        <v>0</v>
      </c>
      <c r="O138" s="410">
        <v>0</v>
      </c>
      <c r="P138" s="409">
        <v>0</v>
      </c>
      <c r="Q138" s="409">
        <v>1000000</v>
      </c>
      <c r="R138" s="410">
        <f>SUM(Q138)</f>
        <v>1000000</v>
      </c>
    </row>
    <row r="139" spans="1:19" customHeight="1" ht="15.75">
      <c r="A139" s="714" t="s">
        <v>901</v>
      </c>
      <c r="B139" s="697">
        <f>SUM(B90:B138)</f>
        <v>0</v>
      </c>
      <c r="C139" s="697">
        <f>SUM(C90:C134)</f>
        <v>0</v>
      </c>
      <c r="D139" s="697">
        <f>SUM(D90:D134)</f>
        <v>0</v>
      </c>
      <c r="E139" s="697">
        <f>SUM(E90:E134)</f>
        <v>0</v>
      </c>
      <c r="F139" s="697">
        <f>SUM(F90:F134)</f>
        <v>0</v>
      </c>
      <c r="G139" s="697">
        <f>SUM(G90:G134)</f>
        <v>0</v>
      </c>
      <c r="H139" s="697">
        <f>SUM(H90:H134)</f>
        <v>0</v>
      </c>
      <c r="I139" s="697">
        <f>SUM(I90:I134)</f>
        <v>0</v>
      </c>
      <c r="J139" s="697">
        <f>SUM(J90:J134)</f>
        <v>0</v>
      </c>
      <c r="K139" s="697">
        <f>SUM(K90:K134)</f>
        <v>0</v>
      </c>
      <c r="L139" s="697">
        <f>SUM(L90:L134)</f>
        <v>0</v>
      </c>
      <c r="M139" s="697">
        <f>SUM(M90:M134)</f>
        <v>0</v>
      </c>
      <c r="N139" s="697">
        <f>SUM(N90:N134)</f>
        <v>0</v>
      </c>
      <c r="O139" s="697">
        <f>SUM(O90:O134)</f>
        <v>0</v>
      </c>
      <c r="P139" s="697">
        <f>SUM(P90:P134)</f>
        <v>0</v>
      </c>
      <c r="Q139" s="697">
        <f>SUM(Q133:Q138)</f>
        <v>2550000</v>
      </c>
      <c r="R139" s="719">
        <f>SUM(R133:R138)</f>
        <v>2550000</v>
      </c>
    </row>
    <row r="140" spans="1:19" customHeight="1" ht="15.75">
      <c r="A140" s="419" t="s">
        <v>909</v>
      </c>
      <c r="B140" s="697">
        <f>B127+B139</f>
        <v>0</v>
      </c>
      <c r="C140" s="697">
        <f>C127+C139</f>
        <v>0</v>
      </c>
      <c r="D140" s="697">
        <f>D127+D139</f>
        <v>0</v>
      </c>
      <c r="E140" s="697">
        <f>E127+E139</f>
        <v>0</v>
      </c>
      <c r="F140" s="697">
        <f>F127+F139</f>
        <v>0</v>
      </c>
      <c r="G140" s="697">
        <f>G127+G139</f>
        <v>0</v>
      </c>
      <c r="H140" s="697">
        <f>H127+H139</f>
        <v>0</v>
      </c>
      <c r="I140" s="697">
        <f>I127+I139</f>
        <v>0</v>
      </c>
      <c r="J140" s="697">
        <f>J127+J139</f>
        <v>0</v>
      </c>
      <c r="K140" s="697">
        <f>K127+K139</f>
        <v>0</v>
      </c>
      <c r="L140" s="697">
        <f>L127+L139</f>
        <v>0</v>
      </c>
      <c r="M140" s="697">
        <f>M127+M139</f>
        <v>0</v>
      </c>
      <c r="N140" s="697">
        <f>N127+N139</f>
        <v>0</v>
      </c>
      <c r="O140" s="697">
        <f>O127+O139</f>
        <v>0</v>
      </c>
      <c r="P140" s="697">
        <f>P127+P139</f>
        <v>0</v>
      </c>
      <c r="Q140" s="697">
        <f>Q83+Q128+Q139</f>
        <v>65484961.68</v>
      </c>
      <c r="R140" s="719">
        <f>R127+R139</f>
        <v>19581800</v>
      </c>
    </row>
    <row r="141" spans="1:19" customHeight="1" ht="15.75">
      <c r="A141" s="720" t="s">
        <v>319</v>
      </c>
      <c r="B141" s="721">
        <f>B28+B72+B77+B140</f>
        <v>34986807.82</v>
      </c>
      <c r="C141" s="721">
        <f>C28+C72+C77+C140</f>
        <v>1917852</v>
      </c>
      <c r="D141" s="721">
        <f>D28+D72+D77+D140</f>
        <v>7888044</v>
      </c>
      <c r="E141" s="721">
        <f>E28+E72+E77+E140</f>
        <v>20264360</v>
      </c>
      <c r="F141" s="721">
        <f>F28+F72+F77+F140</f>
        <v>2328627</v>
      </c>
      <c r="G141" s="721">
        <f>G28+G72+G77+G140</f>
        <v>2251384</v>
      </c>
      <c r="H141" s="721">
        <f>H28+H72+H77+H140</f>
        <v>2899444</v>
      </c>
      <c r="I141" s="721">
        <f>I28+I72+I77+I140</f>
        <v>3005875</v>
      </c>
      <c r="J141" s="721">
        <f>J28+J72+J77+J140</f>
        <v>3495518</v>
      </c>
      <c r="K141" s="721">
        <f>K28+K72+K77+K140</f>
        <v>5101202</v>
      </c>
      <c r="L141" s="721">
        <f>L28+L72+L77+L140</f>
        <v>2986111.5</v>
      </c>
      <c r="M141" s="721">
        <f>M28+M72+M77+M140</f>
        <v>15691446</v>
      </c>
      <c r="N141" s="721">
        <f>N28+N72+N77+N140</f>
        <v>8451046</v>
      </c>
      <c r="O141" s="721">
        <f>O28+O72+O77+O140</f>
        <v>6361577</v>
      </c>
      <c r="P141" s="721">
        <f>P28+P72+P77+P140</f>
        <v>2373818</v>
      </c>
      <c r="Q141" s="721">
        <f>Q140</f>
        <v>65484961.68</v>
      </c>
      <c r="R141" s="721">
        <f>SUM(B141:Q141)</f>
        <v>185488074</v>
      </c>
    </row>
    <row r="142" spans="1:19" customHeight="1" ht="15.75">
      <c r="A142" s="451"/>
      <c r="B142" s="710"/>
      <c r="C142" s="710"/>
      <c r="D142" s="710"/>
      <c r="E142" s="710"/>
      <c r="F142" s="710"/>
      <c r="G142" s="710"/>
      <c r="H142" s="710"/>
      <c r="I142" s="710"/>
      <c r="J142" s="710"/>
      <c r="K142" s="710"/>
      <c r="L142" s="710"/>
      <c r="M142" s="710"/>
      <c r="N142" s="710"/>
      <c r="O142" s="710"/>
      <c r="P142" s="710"/>
      <c r="Q142" s="710"/>
      <c r="R142" s="710"/>
    </row>
    <row r="143" spans="1:19">
      <c r="A143" s="451"/>
      <c r="B143" s="710"/>
      <c r="C143" s="710"/>
      <c r="D143" s="710"/>
      <c r="E143" s="710"/>
      <c r="F143" s="710"/>
      <c r="G143" s="710"/>
      <c r="H143" s="710"/>
      <c r="I143" s="710"/>
      <c r="J143" s="710"/>
      <c r="K143" s="710"/>
      <c r="L143" s="710"/>
      <c r="M143" s="710"/>
      <c r="N143" s="710"/>
      <c r="O143" s="710"/>
      <c r="P143" s="710"/>
      <c r="Q143" s="710"/>
      <c r="R143" s="710"/>
    </row>
    <row r="144" spans="1:19">
      <c r="A144" s="451"/>
      <c r="B144" s="710"/>
      <c r="C144" s="710"/>
      <c r="D144" s="710"/>
      <c r="E144" s="710"/>
      <c r="F144" s="710"/>
      <c r="G144" s="710"/>
      <c r="H144" s="710"/>
      <c r="I144" s="710"/>
      <c r="J144" s="710"/>
      <c r="K144" s="710"/>
      <c r="L144" s="710"/>
      <c r="M144" s="710"/>
      <c r="N144" s="710"/>
      <c r="O144" s="710"/>
      <c r="P144" s="710"/>
      <c r="Q144" s="710"/>
      <c r="R144" s="710"/>
    </row>
    <row r="145" spans="1:19">
      <c r="A145" s="451"/>
      <c r="B145" s="710"/>
      <c r="C145" s="710"/>
      <c r="D145" s="710"/>
      <c r="E145" s="710"/>
      <c r="F145" s="710"/>
      <c r="G145" s="710"/>
      <c r="H145" s="710"/>
      <c r="I145" s="710"/>
      <c r="J145" s="710"/>
      <c r="K145" s="710"/>
      <c r="L145" s="710"/>
      <c r="M145" s="710"/>
      <c r="N145" s="710"/>
      <c r="O145" s="710"/>
      <c r="P145" s="710"/>
      <c r="Q145" s="710"/>
      <c r="R145" s="710"/>
    </row>
    <row r="146" spans="1:19" customHeight="1" ht="12.75" s="270" customFormat="1">
      <c r="A146" s="270" t="s">
        <v>371</v>
      </c>
      <c r="H146" s="412" t="s">
        <v>373</v>
      </c>
      <c r="I146" s="412"/>
      <c r="J146" s="412"/>
    </row>
    <row r="147" spans="1:19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399"/>
      <c r="Q147" s="399"/>
    </row>
    <row r="148" spans="1:19" customHeight="1" ht="15.75" s="575" customFormat="1">
      <c r="A148" s="183" t="s">
        <v>374</v>
      </c>
      <c r="B148" s="183"/>
      <c r="C148" s="183"/>
      <c r="I148" s="183" t="s">
        <v>326</v>
      </c>
      <c r="J148" s="183"/>
      <c r="K148" s="183"/>
      <c r="L148" s="183"/>
      <c r="M148" s="183"/>
      <c r="N148" s="183"/>
    </row>
    <row r="149" spans="1:19" customHeight="1" ht="15.75" s="575" customFormat="1">
      <c r="A149" s="722" t="s">
        <v>375</v>
      </c>
      <c r="B149" s="722"/>
      <c r="C149" s="722"/>
      <c r="I149" s="722" t="s">
        <v>327</v>
      </c>
      <c r="J149" s="722"/>
      <c r="K149" s="722"/>
      <c r="L149" s="722"/>
      <c r="M149" s="722"/>
      <c r="N149" s="722"/>
    </row>
    <row r="150" spans="1:19">
      <c r="A150" s="377"/>
      <c r="B150" s="377"/>
      <c r="I150" s="377"/>
      <c r="J150" s="377"/>
      <c r="K150" s="377"/>
      <c r="L150" s="377"/>
    </row>
    <row r="151" spans="1:19">
      <c r="A151" s="377"/>
      <c r="B151" s="377"/>
      <c r="I151" s="377"/>
      <c r="J151" s="377"/>
      <c r="K151" s="377"/>
      <c r="L151" s="377"/>
    </row>
    <row r="152" spans="1:19">
      <c r="A152" s="377"/>
      <c r="B152" s="377"/>
      <c r="I152" s="377"/>
      <c r="J152" s="377"/>
      <c r="K152" s="377"/>
      <c r="L152" s="377"/>
    </row>
    <row r="153" spans="1:19">
      <c r="A153" s="377"/>
      <c r="B153" s="377"/>
      <c r="I153" s="377"/>
      <c r="J153" s="377"/>
      <c r="K153" s="377"/>
      <c r="L153" s="377"/>
    </row>
    <row r="154" spans="1:19">
      <c r="A154" s="377"/>
      <c r="B154" s="377"/>
      <c r="I154" s="377"/>
      <c r="J154" s="377"/>
      <c r="K154" s="377"/>
      <c r="L154" s="377"/>
    </row>
    <row r="155" spans="1:19">
      <c r="A155" s="377"/>
      <c r="B155" s="377"/>
      <c r="I155" s="377"/>
      <c r="J155" s="377"/>
      <c r="K155" s="377"/>
      <c r="L155" s="377"/>
    </row>
    <row r="156" spans="1:19">
      <c r="A156" s="377"/>
      <c r="B156" s="377"/>
      <c r="I156" s="377"/>
      <c r="J156" s="377"/>
      <c r="K156" s="377"/>
      <c r="L156" s="377"/>
    </row>
    <row r="157" spans="1:19">
      <c r="A157" s="377"/>
      <c r="B157" s="377"/>
      <c r="I157" s="377"/>
      <c r="J157" s="377"/>
      <c r="K157" s="377"/>
      <c r="L157" s="377"/>
    </row>
    <row r="158" spans="1:19">
      <c r="A158" s="377"/>
      <c r="B158" s="377"/>
      <c r="I158" s="377"/>
      <c r="J158" s="377"/>
      <c r="K158" s="377"/>
      <c r="L158" s="377"/>
    </row>
    <row r="159" spans="1:19">
      <c r="A159" s="377"/>
      <c r="B159" s="377"/>
      <c r="I159" s="377"/>
      <c r="J159" s="377"/>
      <c r="K159" s="377"/>
      <c r="L159" s="377"/>
    </row>
    <row r="160" spans="1:19">
      <c r="A160" s="377"/>
      <c r="B160" s="377"/>
      <c r="I160" s="377"/>
      <c r="J160" s="377"/>
      <c r="K160" s="377"/>
      <c r="L160" s="377"/>
    </row>
    <row r="161" spans="1:19">
      <c r="A161" s="377"/>
      <c r="B161" s="377"/>
      <c r="I161" s="377"/>
      <c r="J161" s="377"/>
      <c r="K161" s="377"/>
      <c r="L161" s="377"/>
    </row>
    <row r="162" spans="1:19">
      <c r="A162" s="377"/>
      <c r="B162" s="377"/>
      <c r="I162" s="377"/>
      <c r="J162" s="377"/>
      <c r="K162" s="377"/>
      <c r="L162" s="377"/>
    </row>
    <row r="163" spans="1:19">
      <c r="A163" s="377"/>
      <c r="B163" s="377"/>
      <c r="I163" s="377"/>
      <c r="J163" s="377"/>
      <c r="K163" s="377"/>
      <c r="L163" s="377"/>
    </row>
    <row r="164" spans="1:19">
      <c r="A164" s="377"/>
      <c r="B164" s="377"/>
      <c r="I164" s="377"/>
      <c r="J164" s="377"/>
      <c r="K164" s="377"/>
      <c r="L164" s="377"/>
    </row>
    <row r="165" spans="1:19">
      <c r="A165" s="377"/>
      <c r="B165" s="377"/>
      <c r="I165" s="377"/>
      <c r="J165" s="377"/>
      <c r="K165" s="377"/>
      <c r="L165" s="377"/>
    </row>
    <row r="166" spans="1:19">
      <c r="A166" s="377"/>
      <c r="B166" s="377"/>
      <c r="I166" s="377"/>
      <c r="J166" s="377"/>
      <c r="K166" s="377"/>
      <c r="L166" s="377"/>
    </row>
    <row r="167" spans="1:19">
      <c r="A167" s="377"/>
      <c r="B167" s="377"/>
      <c r="I167" s="377"/>
      <c r="J167" s="377"/>
      <c r="K167" s="377"/>
      <c r="L167" s="377"/>
    </row>
    <row r="168" spans="1:19">
      <c r="A168" s="377"/>
      <c r="B168" s="377"/>
      <c r="I168" s="377"/>
      <c r="J168" s="377"/>
      <c r="K168" s="377"/>
      <c r="L168" s="377"/>
    </row>
    <row r="169" spans="1:19">
      <c r="A169" s="377"/>
      <c r="B169" s="377"/>
      <c r="I169" s="377"/>
      <c r="J169" s="377"/>
      <c r="K169" s="377"/>
      <c r="L169" s="377"/>
    </row>
    <row r="170" spans="1:19">
      <c r="A170" s="377"/>
      <c r="B170" s="377"/>
      <c r="I170" s="377"/>
      <c r="J170" s="377"/>
      <c r="K170" s="377"/>
      <c r="L170" s="377"/>
    </row>
    <row r="171" spans="1:19">
      <c r="A171" s="377"/>
      <c r="B171" s="377"/>
      <c r="I171" s="377"/>
      <c r="J171" s="377"/>
      <c r="K171" s="377"/>
      <c r="L171" s="377"/>
    </row>
    <row r="172" spans="1:19" customHeight="1" ht="21">
      <c r="A172" s="351" t="s">
        <v>797</v>
      </c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</row>
    <row r="173" spans="1:19" customHeight="1" ht="18.75">
      <c r="A173" s="503" t="s">
        <v>798</v>
      </c>
      <c r="B173" s="503"/>
      <c r="C173" s="503"/>
      <c r="D173" s="503"/>
      <c r="E173" s="503"/>
      <c r="F173" s="503"/>
      <c r="G173" s="503"/>
      <c r="H173" s="503"/>
      <c r="I173" s="503"/>
      <c r="J173" s="503"/>
      <c r="K173" s="503"/>
      <c r="L173" s="503"/>
      <c r="M173" s="503"/>
      <c r="N173" s="503"/>
      <c r="O173" s="503"/>
      <c r="P173" s="503"/>
      <c r="Q173" s="503"/>
    </row>
    <row r="174" spans="1:19" customHeight="1" ht="19.5">
      <c r="A174" s="682" t="s">
        <v>328</v>
      </c>
      <c r="B174" s="682"/>
      <c r="C174" s="682"/>
      <c r="D174" s="682"/>
      <c r="E174" s="682"/>
      <c r="F174" s="682"/>
      <c r="G174" s="682"/>
      <c r="H174" s="682"/>
      <c r="I174" s="682"/>
      <c r="J174" s="682"/>
      <c r="K174" s="682"/>
      <c r="L174" s="682"/>
      <c r="M174" s="682"/>
      <c r="N174" s="682"/>
      <c r="O174" s="682"/>
      <c r="P174" s="682"/>
      <c r="Q174" s="682"/>
    </row>
    <row r="175" spans="1:19">
      <c r="A175" s="723"/>
      <c r="B175" s="375" t="s">
        <v>799</v>
      </c>
      <c r="C175" s="684"/>
      <c r="D175" s="684"/>
      <c r="E175" s="684"/>
      <c r="F175" s="684"/>
      <c r="G175" s="684"/>
      <c r="H175" s="684"/>
      <c r="I175" s="684"/>
      <c r="J175" s="684"/>
      <c r="K175" s="684"/>
      <c r="L175" s="684"/>
      <c r="M175" s="684"/>
      <c r="N175" s="684"/>
      <c r="O175" s="684"/>
      <c r="P175" s="684"/>
      <c r="Q175" s="685"/>
    </row>
    <row r="176" spans="1:19">
      <c r="A176" s="724" t="s">
        <v>800</v>
      </c>
      <c r="B176" s="402"/>
      <c r="C176" s="402"/>
      <c r="D176" s="426"/>
      <c r="E176" s="402"/>
      <c r="F176" s="402"/>
      <c r="G176" s="402" t="s">
        <v>910</v>
      </c>
      <c r="H176" s="402"/>
      <c r="I176" s="402" t="s">
        <v>911</v>
      </c>
      <c r="J176" s="402"/>
      <c r="K176" s="402" t="s">
        <v>912</v>
      </c>
      <c r="L176" s="402"/>
      <c r="M176" s="402"/>
      <c r="N176" s="402"/>
      <c r="O176" s="402"/>
      <c r="P176" s="402"/>
      <c r="Q176" s="420" t="s">
        <v>817</v>
      </c>
    </row>
    <row r="177" spans="1:19" customHeight="1" ht="15.75">
      <c r="A177" s="725"/>
      <c r="B177" s="422"/>
      <c r="C177" s="422"/>
      <c r="D177" s="423"/>
      <c r="E177" s="422"/>
      <c r="F177" s="422"/>
      <c r="G177" s="422" t="s">
        <v>913</v>
      </c>
      <c r="H177" s="422"/>
      <c r="I177" s="422" t="s">
        <v>914</v>
      </c>
      <c r="J177" s="422"/>
      <c r="K177" s="422" t="s">
        <v>915</v>
      </c>
      <c r="L177" s="689"/>
      <c r="M177" s="422"/>
      <c r="N177" s="422"/>
      <c r="O177" s="422"/>
      <c r="P177" s="422"/>
      <c r="Q177" s="690" t="s">
        <v>356</v>
      </c>
    </row>
    <row r="178" spans="1:19">
      <c r="A178" s="726" t="s">
        <v>820</v>
      </c>
      <c r="B178" s="399"/>
      <c r="C178" s="416"/>
      <c r="D178" s="416"/>
      <c r="E178" s="416"/>
      <c r="F178" s="416"/>
      <c r="G178" s="416"/>
      <c r="H178" s="416"/>
      <c r="I178" s="416"/>
      <c r="J178" s="416"/>
      <c r="K178" s="416"/>
      <c r="L178" s="416"/>
      <c r="M178" s="416"/>
      <c r="N178" s="416"/>
      <c r="O178" s="416"/>
      <c r="P178" s="416"/>
      <c r="Q178" s="727"/>
    </row>
    <row r="179" spans="1:19">
      <c r="A179" s="703" t="s">
        <v>821</v>
      </c>
      <c r="B179" s="399"/>
      <c r="C179" s="403"/>
      <c r="D179" s="403"/>
      <c r="E179" s="403"/>
      <c r="F179" s="403"/>
      <c r="G179" s="403"/>
      <c r="H179" s="403"/>
      <c r="I179" s="403"/>
      <c r="J179" s="403"/>
      <c r="K179" s="403"/>
      <c r="L179" s="403"/>
      <c r="M179" s="403"/>
      <c r="N179" s="403"/>
      <c r="O179" s="403"/>
      <c r="P179" s="403"/>
      <c r="Q179" s="407"/>
    </row>
    <row r="180" spans="1:19">
      <c r="A180" s="691" t="s">
        <v>822</v>
      </c>
      <c r="B180" s="399"/>
      <c r="C180" s="403"/>
      <c r="D180" s="403"/>
      <c r="E180" s="403"/>
      <c r="F180" s="403"/>
      <c r="G180" s="409">
        <v>1385130</v>
      </c>
      <c r="H180" s="403"/>
      <c r="I180" s="409">
        <v>336264</v>
      </c>
      <c r="J180" s="403"/>
      <c r="K180" s="409">
        <v>564052</v>
      </c>
      <c r="L180" s="403"/>
      <c r="M180" s="409"/>
      <c r="N180" s="403"/>
      <c r="O180" s="403"/>
      <c r="P180" s="403"/>
      <c r="Q180" s="407">
        <f>SUM(G180:P180)</f>
        <v>2285446</v>
      </c>
    </row>
    <row r="181" spans="1:19">
      <c r="A181" s="691" t="s">
        <v>823</v>
      </c>
      <c r="B181" s="399"/>
      <c r="C181" s="403"/>
      <c r="D181" s="403"/>
      <c r="E181" s="403"/>
      <c r="F181" s="403"/>
      <c r="G181" s="409">
        <v>240000</v>
      </c>
      <c r="H181" s="403"/>
      <c r="I181" s="409">
        <v>48000</v>
      </c>
      <c r="J181" s="403"/>
      <c r="K181" s="409">
        <v>96000</v>
      </c>
      <c r="L181" s="403"/>
      <c r="M181" s="409"/>
      <c r="N181" s="403"/>
      <c r="O181" s="403"/>
      <c r="P181" s="403"/>
      <c r="Q181" s="407">
        <f>SUM(G181:P181)</f>
        <v>384000</v>
      </c>
    </row>
    <row r="182" spans="1:19">
      <c r="A182" s="691" t="s">
        <v>826</v>
      </c>
      <c r="B182" s="399"/>
      <c r="C182" s="403"/>
      <c r="D182" s="403"/>
      <c r="E182" s="403"/>
      <c r="F182" s="403"/>
      <c r="G182" s="409">
        <v>70000</v>
      </c>
      <c r="H182" s="403"/>
      <c r="I182" s="409">
        <v>14000</v>
      </c>
      <c r="J182" s="403"/>
      <c r="K182" s="409">
        <v>28000</v>
      </c>
      <c r="L182" s="403"/>
      <c r="M182" s="409"/>
      <c r="N182" s="403"/>
      <c r="O182" s="403"/>
      <c r="P182" s="403"/>
      <c r="Q182" s="407">
        <f>SUM(G182:P182)</f>
        <v>112000</v>
      </c>
    </row>
    <row r="183" spans="1:19">
      <c r="A183" s="691" t="s">
        <v>829</v>
      </c>
      <c r="B183" s="399"/>
      <c r="C183" s="403"/>
      <c r="D183" s="403"/>
      <c r="E183" s="403"/>
      <c r="F183" s="403"/>
      <c r="G183" s="409">
        <v>50000</v>
      </c>
      <c r="H183" s="403"/>
      <c r="I183" s="409">
        <v>10000</v>
      </c>
      <c r="J183" s="403"/>
      <c r="K183" s="409">
        <v>20000</v>
      </c>
      <c r="L183" s="403"/>
      <c r="M183" s="409"/>
      <c r="N183" s="403"/>
      <c r="O183" s="403"/>
      <c r="P183" s="403"/>
      <c r="Q183" s="407">
        <f>SUM(G183:P183)</f>
        <v>80000</v>
      </c>
    </row>
    <row r="184" spans="1:19">
      <c r="A184" s="691" t="s">
        <v>916</v>
      </c>
      <c r="B184" s="399"/>
      <c r="C184" s="403"/>
      <c r="D184" s="403"/>
      <c r="E184" s="403"/>
      <c r="F184" s="403"/>
      <c r="G184" s="409">
        <v>200000</v>
      </c>
      <c r="H184" s="403"/>
      <c r="I184" s="409">
        <v>40000</v>
      </c>
      <c r="J184" s="403"/>
      <c r="K184" s="409">
        <v>80000</v>
      </c>
      <c r="L184" s="403"/>
      <c r="M184" s="409"/>
      <c r="N184" s="403"/>
      <c r="O184" s="403"/>
      <c r="P184" s="403"/>
      <c r="Q184" s="407">
        <f>SUM(G184:P184)</f>
        <v>320000</v>
      </c>
    </row>
    <row r="185" spans="1:19">
      <c r="A185" s="691" t="s">
        <v>832</v>
      </c>
      <c r="B185" s="399"/>
      <c r="C185" s="403"/>
      <c r="D185" s="403"/>
      <c r="E185" s="403"/>
      <c r="F185" s="403"/>
      <c r="G185" s="409">
        <v>118417</v>
      </c>
      <c r="H185" s="403"/>
      <c r="I185" s="409">
        <v>28802</v>
      </c>
      <c r="J185" s="403"/>
      <c r="K185" s="409">
        <v>48215</v>
      </c>
      <c r="L185" s="403"/>
      <c r="M185" s="409"/>
      <c r="N185" s="403"/>
      <c r="O185" s="403"/>
      <c r="P185" s="403"/>
      <c r="Q185" s="407">
        <f>SUM(G185:P185)</f>
        <v>195434</v>
      </c>
    </row>
    <row r="186" spans="1:19">
      <c r="A186" s="691" t="s">
        <v>833</v>
      </c>
      <c r="B186" s="399"/>
      <c r="C186" s="403"/>
      <c r="D186" s="403"/>
      <c r="E186" s="403"/>
      <c r="F186" s="403"/>
      <c r="G186" s="409">
        <v>50000</v>
      </c>
      <c r="H186" s="403"/>
      <c r="I186" s="409">
        <v>10000</v>
      </c>
      <c r="J186" s="403"/>
      <c r="K186" s="409">
        <v>20000</v>
      </c>
      <c r="L186" s="403"/>
      <c r="M186" s="409"/>
      <c r="N186" s="403"/>
      <c r="O186" s="403"/>
      <c r="P186" s="403"/>
      <c r="Q186" s="407">
        <f>SUM(G186:P186)</f>
        <v>80000</v>
      </c>
    </row>
    <row r="187" spans="1:19">
      <c r="A187" s="691" t="s">
        <v>834</v>
      </c>
      <c r="B187" s="399"/>
      <c r="C187" s="403"/>
      <c r="D187" s="403"/>
      <c r="E187" s="403"/>
      <c r="F187" s="403"/>
      <c r="G187" s="409">
        <v>113943</v>
      </c>
      <c r="H187" s="403"/>
      <c r="I187" s="409">
        <v>27632</v>
      </c>
      <c r="J187" s="403"/>
      <c r="K187" s="409">
        <v>46366</v>
      </c>
      <c r="L187" s="403"/>
      <c r="M187" s="409"/>
      <c r="N187" s="403"/>
      <c r="O187" s="403"/>
      <c r="P187" s="403"/>
      <c r="Q187" s="407">
        <f>SUM(G187:P187)</f>
        <v>187941</v>
      </c>
    </row>
    <row r="188" spans="1:19">
      <c r="A188" s="691" t="s">
        <v>835</v>
      </c>
      <c r="B188" s="399"/>
      <c r="C188" s="403"/>
      <c r="D188" s="403"/>
      <c r="E188" s="403"/>
      <c r="F188" s="403"/>
      <c r="G188" s="409">
        <v>166218</v>
      </c>
      <c r="H188" s="403"/>
      <c r="I188" s="409">
        <v>40352</v>
      </c>
      <c r="J188" s="403"/>
      <c r="K188" s="409">
        <v>67687</v>
      </c>
      <c r="L188" s="403"/>
      <c r="M188" s="409"/>
      <c r="N188" s="403"/>
      <c r="O188" s="403"/>
      <c r="P188" s="403"/>
      <c r="Q188" s="407">
        <f>SUM(G188:P188)</f>
        <v>274257</v>
      </c>
    </row>
    <row r="189" spans="1:19">
      <c r="A189" s="691" t="s">
        <v>836</v>
      </c>
      <c r="B189" s="399"/>
      <c r="C189" s="403"/>
      <c r="D189" s="403"/>
      <c r="E189" s="403"/>
      <c r="F189" s="403"/>
      <c r="G189" s="409">
        <v>24000</v>
      </c>
      <c r="H189" s="403"/>
      <c r="I189" s="409">
        <v>4800</v>
      </c>
      <c r="J189" s="403"/>
      <c r="K189" s="409">
        <v>9600</v>
      </c>
      <c r="L189" s="403"/>
      <c r="M189" s="409"/>
      <c r="N189" s="403"/>
      <c r="O189" s="403"/>
      <c r="P189" s="403"/>
      <c r="Q189" s="407">
        <f>SUM(G189:P189)</f>
        <v>38400</v>
      </c>
    </row>
    <row r="190" spans="1:19">
      <c r="A190" s="691" t="s">
        <v>837</v>
      </c>
      <c r="B190" s="399"/>
      <c r="C190" s="403"/>
      <c r="D190" s="403"/>
      <c r="E190" s="403"/>
      <c r="F190" s="403"/>
      <c r="G190" s="409">
        <v>34629</v>
      </c>
      <c r="H190" s="403"/>
      <c r="I190" s="409">
        <v>8407</v>
      </c>
      <c r="J190" s="403"/>
      <c r="K190" s="409">
        <v>14102</v>
      </c>
      <c r="L190" s="403"/>
      <c r="M190" s="409"/>
      <c r="N190" s="403"/>
      <c r="O190" s="403"/>
      <c r="P190" s="403"/>
      <c r="Q190" s="407">
        <f>SUM(G190:P190)</f>
        <v>57138</v>
      </c>
    </row>
    <row r="191" spans="1:19">
      <c r="A191" s="691" t="s">
        <v>838</v>
      </c>
      <c r="B191" s="399"/>
      <c r="C191" s="403"/>
      <c r="D191" s="403"/>
      <c r="E191" s="403"/>
      <c r="F191" s="403"/>
      <c r="G191" s="409">
        <v>12000</v>
      </c>
      <c r="H191" s="403"/>
      <c r="I191" s="409">
        <v>2400</v>
      </c>
      <c r="J191" s="403"/>
      <c r="K191" s="409">
        <v>4800</v>
      </c>
      <c r="L191" s="403"/>
      <c r="M191" s="409"/>
      <c r="N191" s="403"/>
      <c r="O191" s="403"/>
      <c r="P191" s="403"/>
      <c r="Q191" s="407">
        <f>SUM(G191:P191)</f>
        <v>19200</v>
      </c>
    </row>
    <row r="192" spans="1:19" customHeight="1" ht="15.75">
      <c r="A192" s="691" t="s">
        <v>917</v>
      </c>
      <c r="B192" s="399"/>
      <c r="C192" s="403"/>
      <c r="D192" s="403"/>
      <c r="E192" s="403"/>
      <c r="F192" s="403"/>
      <c r="G192" s="409">
        <v>70000</v>
      </c>
      <c r="H192" s="403"/>
      <c r="I192" s="409">
        <v>14000</v>
      </c>
      <c r="J192" s="403"/>
      <c r="K192" s="409">
        <v>28000</v>
      </c>
      <c r="L192" s="403"/>
      <c r="M192" s="409"/>
      <c r="N192" s="403"/>
      <c r="O192" s="403"/>
      <c r="P192" s="403"/>
      <c r="Q192" s="407">
        <f>SUM(G192:P192)</f>
        <v>112000</v>
      </c>
    </row>
    <row r="193" spans="1:19" customHeight="1" ht="15.75">
      <c r="A193" s="695" t="s">
        <v>120</v>
      </c>
      <c r="B193" s="728"/>
      <c r="C193" s="729"/>
      <c r="D193" s="729"/>
      <c r="E193" s="729"/>
      <c r="F193" s="729"/>
      <c r="G193" s="697">
        <f>SUM(G180:G192)</f>
        <v>2534337</v>
      </c>
      <c r="H193" s="729"/>
      <c r="I193" s="697">
        <f>SUM(I180:I192)</f>
        <v>584657</v>
      </c>
      <c r="J193" s="729"/>
      <c r="K193" s="697">
        <f>SUM(K180:K192)</f>
        <v>1026822</v>
      </c>
      <c r="L193" s="729"/>
      <c r="M193" s="697"/>
      <c r="N193" s="729"/>
      <c r="O193" s="729"/>
      <c r="P193" s="729"/>
      <c r="Q193" s="698">
        <f>SUM(G193:P193)</f>
        <v>4145816</v>
      </c>
    </row>
    <row r="194" spans="1:19">
      <c r="A194" s="695" t="s">
        <v>839</v>
      </c>
      <c r="B194" s="399"/>
      <c r="C194" s="403"/>
      <c r="D194" s="403"/>
      <c r="E194" s="403"/>
      <c r="F194" s="403"/>
      <c r="G194" s="409"/>
      <c r="H194" s="403"/>
      <c r="I194" s="409"/>
      <c r="J194" s="403"/>
      <c r="K194" s="409"/>
      <c r="L194" s="403"/>
      <c r="M194" s="409"/>
      <c r="N194" s="403"/>
      <c r="O194" s="403"/>
      <c r="P194" s="403"/>
      <c r="Q194" s="407"/>
    </row>
    <row r="195" spans="1:19">
      <c r="A195" s="699" t="s">
        <v>126</v>
      </c>
      <c r="B195" s="399"/>
      <c r="C195" s="403"/>
      <c r="D195" s="403"/>
      <c r="E195" s="403"/>
      <c r="F195" s="403"/>
      <c r="G195" s="409">
        <v>50000</v>
      </c>
      <c r="H195" s="403"/>
      <c r="I195" s="409">
        <v>0</v>
      </c>
      <c r="J195" s="403"/>
      <c r="K195" s="409">
        <v>50000</v>
      </c>
      <c r="L195" s="403"/>
      <c r="M195" s="409"/>
      <c r="N195" s="403"/>
      <c r="O195" s="403"/>
      <c r="P195" s="403"/>
      <c r="Q195" s="407">
        <f>SUM(G195:P195)</f>
        <v>100000</v>
      </c>
    </row>
    <row r="196" spans="1:19">
      <c r="A196" s="699" t="s">
        <v>154</v>
      </c>
      <c r="B196" s="399"/>
      <c r="C196" s="403"/>
      <c r="D196" s="403"/>
      <c r="E196" s="403"/>
      <c r="F196" s="403"/>
      <c r="G196" s="409">
        <v>850000</v>
      </c>
      <c r="H196" s="403"/>
      <c r="I196" s="409">
        <v>0</v>
      </c>
      <c r="J196" s="403"/>
      <c r="K196" s="409">
        <v>1600000</v>
      </c>
      <c r="L196" s="403"/>
      <c r="M196" s="409"/>
      <c r="N196" s="403"/>
      <c r="O196" s="403"/>
      <c r="P196" s="403"/>
      <c r="Q196" s="407">
        <f>SUM(G196:P196)</f>
        <v>2450000</v>
      </c>
    </row>
    <row r="197" spans="1:19">
      <c r="A197" s="699" t="s">
        <v>344</v>
      </c>
      <c r="B197" s="399"/>
      <c r="C197" s="403"/>
      <c r="D197" s="403"/>
      <c r="E197" s="403"/>
      <c r="F197" s="403"/>
      <c r="G197" s="409">
        <v>50000</v>
      </c>
      <c r="H197" s="403"/>
      <c r="I197" s="409">
        <v>50000</v>
      </c>
      <c r="J197" s="403"/>
      <c r="K197" s="409">
        <v>200000</v>
      </c>
      <c r="L197" s="403"/>
      <c r="M197" s="409"/>
      <c r="N197" s="403"/>
      <c r="O197" s="403"/>
      <c r="P197" s="403"/>
      <c r="Q197" s="407">
        <f>SUM(G197:P197)</f>
        <v>300000</v>
      </c>
    </row>
    <row r="198" spans="1:19" customHeight="1" ht="15.75">
      <c r="A198" s="699" t="s">
        <v>846</v>
      </c>
      <c r="B198" s="730"/>
      <c r="C198" s="405"/>
      <c r="D198" s="405"/>
      <c r="E198" s="405"/>
      <c r="F198" s="405"/>
      <c r="G198" s="700">
        <v>15663</v>
      </c>
      <c r="H198" s="405"/>
      <c r="I198" s="700">
        <v>65343</v>
      </c>
      <c r="J198" s="405"/>
      <c r="K198" s="700">
        <v>223178</v>
      </c>
      <c r="L198" s="405"/>
      <c r="M198" s="409"/>
      <c r="N198" s="405"/>
      <c r="O198" s="405"/>
      <c r="P198" s="405"/>
      <c r="Q198" s="407">
        <f>SUM(G198:P198)</f>
        <v>304184</v>
      </c>
    </row>
    <row r="199" spans="1:19" customHeight="1" ht="15.75">
      <c r="A199" s="703" t="s">
        <v>918</v>
      </c>
      <c r="B199" s="728"/>
      <c r="C199" s="729"/>
      <c r="D199" s="729"/>
      <c r="E199" s="729"/>
      <c r="F199" s="729"/>
      <c r="G199" s="697">
        <f>SUM(G195:G198)</f>
        <v>965663</v>
      </c>
      <c r="H199" s="729"/>
      <c r="I199" s="697">
        <f>SUM(I195:I198)</f>
        <v>115343</v>
      </c>
      <c r="J199" s="729"/>
      <c r="K199" s="697">
        <f>SUM(K195:K198)</f>
        <v>2073178</v>
      </c>
      <c r="L199" s="729"/>
      <c r="M199" s="697"/>
      <c r="N199" s="731"/>
      <c r="O199" s="731"/>
      <c r="P199" s="731"/>
      <c r="Q199" s="698">
        <f>SUM(Q195:Q198)</f>
        <v>3154184</v>
      </c>
    </row>
    <row r="200" spans="1:19">
      <c r="A200" s="695" t="s">
        <v>856</v>
      </c>
      <c r="B200" s="467"/>
      <c r="C200" s="409"/>
      <c r="D200" s="409"/>
      <c r="E200" s="409"/>
      <c r="F200" s="409"/>
      <c r="G200" s="409"/>
      <c r="H200" s="409"/>
      <c r="I200" s="409"/>
      <c r="J200" s="409"/>
      <c r="K200" s="409"/>
      <c r="L200" s="409"/>
      <c r="M200" s="409"/>
      <c r="N200" s="409"/>
      <c r="O200" s="409"/>
      <c r="P200" s="409"/>
      <c r="Q200" s="407"/>
      <c r="R200" s="475"/>
    </row>
    <row r="201" spans="1:19" customHeight="1" ht="15.75">
      <c r="A201" s="699" t="s">
        <v>208</v>
      </c>
      <c r="B201" s="705"/>
      <c r="C201" s="700"/>
      <c r="D201" s="700"/>
      <c r="E201" s="700"/>
      <c r="F201" s="700"/>
      <c r="G201" s="700">
        <v>0</v>
      </c>
      <c r="H201" s="700"/>
      <c r="I201" s="700">
        <v>0</v>
      </c>
      <c r="J201" s="700"/>
      <c r="K201" s="700">
        <v>300000</v>
      </c>
      <c r="L201" s="700"/>
      <c r="M201" s="700"/>
      <c r="N201" s="700"/>
      <c r="O201" s="700"/>
      <c r="P201" s="700"/>
      <c r="Q201" s="408">
        <f>SUM(G201:P201)</f>
        <v>300000</v>
      </c>
      <c r="R201" s="467"/>
    </row>
    <row r="202" spans="1:19" customHeight="1" ht="15.75">
      <c r="A202" s="703" t="s">
        <v>712</v>
      </c>
      <c r="B202" s="707">
        <f>SUM(B201:B201)</f>
        <v>0</v>
      </c>
      <c r="C202" s="707">
        <f>SUM(C201:C201)</f>
        <v>0</v>
      </c>
      <c r="D202" s="707">
        <f>SUM(D201:D201)</f>
        <v>0</v>
      </c>
      <c r="E202" s="707">
        <f>SUM(E201:E201)</f>
        <v>0</v>
      </c>
      <c r="F202" s="707">
        <f>SUM(F201:F201)</f>
        <v>0</v>
      </c>
      <c r="G202" s="707">
        <f>SUM(G201:G201)</f>
        <v>0</v>
      </c>
      <c r="H202" s="707">
        <f>SUM(H201:H201)</f>
        <v>0</v>
      </c>
      <c r="I202" s="707">
        <f>SUM(I201:I201)</f>
        <v>0</v>
      </c>
      <c r="J202" s="707"/>
      <c r="K202" s="707">
        <f>SUM(K201:K201)</f>
        <v>300000</v>
      </c>
      <c r="L202" s="707">
        <f>SUM(L201:L201)</f>
        <v>0</v>
      </c>
      <c r="M202" s="707">
        <f>SUM(M201:M201)</f>
        <v>0</v>
      </c>
      <c r="N202" s="707">
        <f>SUM(N201:N201)</f>
        <v>0</v>
      </c>
      <c r="O202" s="707">
        <f>SUM(O201:O201)</f>
        <v>0</v>
      </c>
      <c r="P202" s="707">
        <f>SUM(P201:P201)</f>
        <v>0</v>
      </c>
      <c r="Q202" s="732">
        <f>SUM(Q201:Q201)</f>
        <v>300000</v>
      </c>
      <c r="R202" s="710"/>
    </row>
    <row r="203" spans="1:19" customHeight="1" ht="15.75">
      <c r="A203" s="733" t="s">
        <v>319</v>
      </c>
      <c r="B203" s="729"/>
      <c r="C203" s="729"/>
      <c r="D203" s="729"/>
      <c r="E203" s="729"/>
      <c r="F203" s="729"/>
      <c r="G203" s="697">
        <f>G193+G199+G202</f>
        <v>3500000</v>
      </c>
      <c r="H203" s="729"/>
      <c r="I203" s="697">
        <f>I193+I199+I202</f>
        <v>700000</v>
      </c>
      <c r="J203" s="729"/>
      <c r="K203" s="697">
        <f>K193+K199+K202</f>
        <v>3400000</v>
      </c>
      <c r="L203" s="729"/>
      <c r="M203" s="697"/>
      <c r="N203" s="729"/>
      <c r="O203" s="729"/>
      <c r="P203" s="729"/>
      <c r="Q203" s="698">
        <f>SUM(G203:P203)</f>
        <v>7600000</v>
      </c>
    </row>
    <row r="204" spans="1:19">
      <c r="A204" s="711"/>
      <c r="B204" s="451"/>
      <c r="C204" s="451"/>
      <c r="D204" s="451"/>
      <c r="E204" s="451"/>
      <c r="F204" s="451"/>
      <c r="G204" s="710"/>
      <c r="H204" s="451"/>
      <c r="I204" s="710"/>
      <c r="J204" s="451"/>
      <c r="K204" s="710"/>
      <c r="L204" s="451"/>
      <c r="M204" s="710"/>
      <c r="N204" s="451"/>
      <c r="O204" s="451"/>
      <c r="P204" s="451"/>
      <c r="Q204" s="710"/>
    </row>
    <row r="205" spans="1:19">
      <c r="A205" t="s">
        <v>919</v>
      </c>
      <c r="I205" t="s">
        <v>325</v>
      </c>
    </row>
    <row r="206" spans="1:19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</row>
    <row r="207" spans="1:19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</row>
    <row r="209" spans="1:19" customHeight="1" ht="15.75" s="575" customFormat="1">
      <c r="A209" s="183" t="s">
        <v>374</v>
      </c>
      <c r="B209" s="183"/>
      <c r="C209" s="183"/>
      <c r="K209" s="183" t="s">
        <v>326</v>
      </c>
      <c r="L209" s="183"/>
      <c r="M209" s="183"/>
      <c r="N209" s="183"/>
      <c r="O209" s="183"/>
    </row>
    <row r="210" spans="1:19" customHeight="1" ht="15.75" s="575" customFormat="1">
      <c r="A210" s="722" t="s">
        <v>375</v>
      </c>
      <c r="B210" s="722"/>
      <c r="C210" s="722"/>
      <c r="K210" s="722" t="s">
        <v>327</v>
      </c>
      <c r="L210" s="722"/>
      <c r="M210" s="722"/>
      <c r="N210" s="722"/>
      <c r="O210" s="722"/>
    </row>
    <row r="214" spans="1:19">
      <c r="B214" t="s">
        <v>920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C210"/>
    <mergeCell ref="K210:O210"/>
    <mergeCell ref="A172:Q172"/>
    <mergeCell ref="A173:Q173"/>
    <mergeCell ref="A174:Q174"/>
    <mergeCell ref="B175:Q175"/>
    <mergeCell ref="A209:C209"/>
    <mergeCell ref="K209:O209"/>
    <mergeCell ref="B129:R129"/>
    <mergeCell ref="H146:J146"/>
    <mergeCell ref="A148:C148"/>
    <mergeCell ref="I148:N148"/>
    <mergeCell ref="A149:C149"/>
    <mergeCell ref="I149:N149"/>
    <mergeCell ref="A1:R1"/>
    <mergeCell ref="A2:R2"/>
    <mergeCell ref="A3:R3"/>
    <mergeCell ref="B4:R4"/>
    <mergeCell ref="B44:R44"/>
    <mergeCell ref="B86:R8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LBP 1</vt:lpstr>
      <vt:lpstr>LBP 2</vt:lpstr>
      <vt:lpstr>LBP 5</vt:lpstr>
      <vt:lpstr>LBP 6</vt:lpstr>
      <vt:lpstr>LBP 7</vt:lpstr>
      <vt:lpstr>COMPARATIVE</vt:lpstr>
      <vt:lpstr>BUDGET PER DEPT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Natavio</dc:creator>
  <cp:lastModifiedBy>Ana Natavio</cp:lastModifiedBy>
  <dcterms:created xsi:type="dcterms:W3CDTF">2025-03-04T16:29:01+08:00</dcterms:created>
  <dcterms:modified xsi:type="dcterms:W3CDTF">2025-03-04T16:38:39+08:00</dcterms:modified>
  <dc:title/>
  <dc:description/>
  <dc:subject/>
  <cp:keywords/>
  <cp:category/>
</cp:coreProperties>
</file>