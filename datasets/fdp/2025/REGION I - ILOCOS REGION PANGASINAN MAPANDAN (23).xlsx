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orm 7 - DFU (2)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<sst xmlns="http://schemas.openxmlformats.org/spreadsheetml/2006/main" uniqueCount="52">
  <si>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</si>
  <si>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</si>
  <si>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</si>
  <si>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</si>
  <si>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</si>
  <si>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</si>
  <si>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</si>
  <si>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</si>
  <si>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</si>
  <si>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</si>
  <si>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</si>
  <si>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</si>
  <si>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</si>
  <si>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</si>
  <si>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</si>
  <si>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</si>
  <si>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</si>
  <si>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</si>
  <si>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</si>
  <si>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Construction of Perimeter Fence, Backfilling and Concreting of Super Rural Health Unit's Ground</t>
  </si>
  <si>
    <t>Brgy. Torres, Mapandan</t>
  </si>
  <si>
    <t>COMPLETED</t>
  </si>
  <si>
    <t>Construction of Cross/Drainage Canal along Gondol Street , Primicias</t>
  </si>
  <si>
    <t>Brgy. Primicias, Mapandan</t>
  </si>
  <si>
    <t>Improvement/Extension of Office for MDRRM Command Center at Brgy. Poblacion</t>
  </si>
  <si>
    <t>Brgy. Poblacion, Mapandan</t>
  </si>
  <si>
    <t>NOT YET PAID</t>
  </si>
  <si>
    <t>Improvement/Re-painting of Roof of the Mapandan Municipal Hall</t>
  </si>
  <si>
    <t>Re-conctruction of Drainage Canal along Pico Avenue at Brgy. Coral</t>
  </si>
  <si>
    <t>Brgy. Coral, Mapandan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</si>
  <si>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</si>
  <si>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</si>
  <si>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</si>
  <si>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</si>
  <si>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</si>
  <si>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LGU payment of Loan</t>
  </si>
  <si>
    <t>Mapandan, Pangasinan</t>
  </si>
  <si>
    <t>Additional Illumination of Mapandan Town Plaza Phase 2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</si>
  <si>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</si>
  <si>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</si>
  <si>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</si>
  <si>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ANA MARICRIS B. NATAVIO</t>
  </si>
  <si>
    <r>
      <t xml:space="preserve">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 RUTH B. SOTTO , CPA</t>
    </r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</si>
  <si>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HON. KARL CHRISTIAN F. VEGA</t>
    </r>
  </si>
  <si>
    <t xml:space="preserve">                         Local Budget Officer</t>
  </si>
  <si>
    <t xml:space="preserve">                       Municipal Accountant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</si>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</sst>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</borders>
  <cellStyleXfs count="1">
    <xf numFmtId="0" fontId="0" fillId="0" borderId="0"/>
  </cellStyleXfs>
  <cellXfs count="6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15" applyFont="1" applyNumberFormat="0" applyFill="0" applyBorder="1" applyAlignment="1">
      <alignment horizontal="center" vertical="center" textRotation="0" wrapText="tru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358589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B9F82F-F916-4D30-B92B-1685B250D37B}"/>
            </a:ext>
          </a:extLst>
        </xdr:cNvPr>
        <xdr:cNvCxnSpPr/>
      </xdr:nvCxnSpPr>
      <xdr:spPr>
        <a:xfrm>
          <a:off x="5356412" y="8068236"/>
          <a:ext cx="251758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50AE94-9E73-42E1-900C-1830FDFE1ED2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DA7E057-06AE-42E0-AB87-8B75AC7F28B9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91109</xdr:rowOff>
    </xdr:from>
    <xdr:to>
      <xdr:col>0</xdr:col>
      <xdr:colOff>2459935</xdr:colOff>
      <xdr:row>32</xdr:row>
      <xdr:rowOff>164353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5C1EE07-5AFC-4073-A1A0-C86989678146}"/>
            </a:ext>
          </a:extLst>
        </xdr:cNvPr>
        <xdr:cNvSpPr txBox="1"/>
      </xdr:nvSpPr>
      <xdr:spPr>
        <a:xfrm>
          <a:off x="481854" y="7006259"/>
          <a:ext cx="1978081" cy="2732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A6E23F-BA1A-49C4-BFE1-670EF4859A35}"/>
            </a:ext>
          </a:extLst>
        </xdr:cNvPr>
        <xdr:cNvSpPr txBox="1"/>
      </xdr:nvSpPr>
      <xdr:spPr>
        <a:xfrm>
          <a:off x="9745568" y="6989856"/>
          <a:ext cx="2302437" cy="297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5C4ED6-C958-45C8-BEAA-E55E7D7723E4}"/>
            </a:ext>
          </a:extLst>
        </xdr:cNvPr>
        <xdr:cNvSpPr txBox="1"/>
      </xdr:nvSpPr>
      <xdr:spPr>
        <a:xfrm>
          <a:off x="5796990" y="6997328"/>
          <a:ext cx="1217332" cy="2896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59A2AD9-52CE-4DCD-9ACA-0164CAF5B626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1" workbookViewId="0" zoomScale="115" zoomScaleNormal="115" showGridLines="true" showRowColHeaders="1">
      <selection activeCell="I22" sqref="I22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6" t="s">
        <v>7</v>
      </c>
      <c r="B9" s="58" t="s">
        <v>8</v>
      </c>
      <c r="C9" s="58" t="s">
        <v>9</v>
      </c>
      <c r="D9" s="58" t="s">
        <v>10</v>
      </c>
      <c r="E9" s="54" t="s">
        <v>11</v>
      </c>
      <c r="F9" s="58" t="s">
        <v>12</v>
      </c>
      <c r="G9" s="58"/>
      <c r="H9" s="54" t="s">
        <v>13</v>
      </c>
      <c r="I9" s="51" t="s">
        <v>14</v>
      </c>
    </row>
    <row r="10" spans="1:12">
      <c r="A10" s="57"/>
      <c r="B10" s="55"/>
      <c r="C10" s="55"/>
      <c r="D10" s="55"/>
      <c r="E10" s="55"/>
      <c r="F10" s="59" t="s">
        <v>15</v>
      </c>
      <c r="G10" s="59" t="s">
        <v>16</v>
      </c>
      <c r="H10" s="55"/>
      <c r="I10" s="52"/>
    </row>
    <row r="11" spans="1:12">
      <c r="A11" s="57"/>
      <c r="B11" s="55"/>
      <c r="C11" s="55"/>
      <c r="D11" s="55"/>
      <c r="E11" s="55"/>
      <c r="F11" s="55"/>
      <c r="G11" s="55"/>
      <c r="H11" s="55"/>
      <c r="I11" s="52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5">
      <c r="A14" s="31" t="s">
        <v>19</v>
      </c>
      <c r="B14" s="18" t="s">
        <v>20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21</v>
      </c>
    </row>
    <row r="15" spans="1:12">
      <c r="A15" s="31" t="s">
        <v>22</v>
      </c>
      <c r="B15" s="18" t="s">
        <v>23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21</v>
      </c>
    </row>
    <row r="16" spans="1:12" customHeight="1" ht="31.5">
      <c r="A16" s="31" t="s">
        <v>24</v>
      </c>
      <c r="B16" s="18" t="s">
        <v>25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26</v>
      </c>
    </row>
    <row r="17" spans="1:12">
      <c r="A17" s="31" t="s">
        <v>27</v>
      </c>
      <c r="B17" s="18" t="s">
        <v>25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21</v>
      </c>
    </row>
    <row r="18" spans="1:12">
      <c r="A18" s="33" t="s">
        <v>28</v>
      </c>
      <c r="B18" s="18" t="s">
        <v>29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21</v>
      </c>
    </row>
    <row r="19" spans="1:12" customHeight="1" ht="31.5">
      <c r="A19" s="31" t="s">
        <v>30</v>
      </c>
      <c r="B19" s="18" t="s">
        <v>25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21</v>
      </c>
    </row>
    <row r="20" spans="1:12">
      <c r="A20" s="33" t="s">
        <v>31</v>
      </c>
      <c r="B20" s="18" t="s">
        <v>25</v>
      </c>
      <c r="C20" s="19">
        <v>300000</v>
      </c>
      <c r="D20" s="20">
        <v>45536</v>
      </c>
      <c r="E20" s="20">
        <v>45566</v>
      </c>
      <c r="F20" s="26">
        <v>1</v>
      </c>
      <c r="G20" s="23">
        <v>0</v>
      </c>
      <c r="H20" s="24"/>
      <c r="I20" s="32" t="s">
        <v>26</v>
      </c>
    </row>
    <row r="21" spans="1:12">
      <c r="A21" s="33" t="s">
        <v>32</v>
      </c>
      <c r="B21" s="18" t="s">
        <v>25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26</v>
      </c>
    </row>
    <row r="22" spans="1:12">
      <c r="A22" s="34" t="s">
        <v>33</v>
      </c>
      <c r="B22" s="18" t="s">
        <v>34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21</v>
      </c>
    </row>
    <row r="23" spans="1:12">
      <c r="A23" s="35" t="s">
        <v>35</v>
      </c>
      <c r="B23" s="25" t="s">
        <v>36</v>
      </c>
      <c r="C23" s="19">
        <v>21176026.09</v>
      </c>
      <c r="D23" s="20">
        <v>45292</v>
      </c>
      <c r="E23" s="20">
        <v>45627</v>
      </c>
      <c r="F23" s="26">
        <v>0.99911399</v>
      </c>
      <c r="G23" s="23">
        <v>20536864.25</v>
      </c>
      <c r="H23" s="24"/>
      <c r="I23" s="32" t="s">
        <v>21</v>
      </c>
    </row>
    <row r="24" spans="1:12" customHeight="1" ht="15.6">
      <c r="A24" s="36" t="s">
        <v>37</v>
      </c>
      <c r="B24" s="18" t="s">
        <v>25</v>
      </c>
      <c r="C24" s="27">
        <v>571506.51</v>
      </c>
      <c r="D24" s="20">
        <v>45425</v>
      </c>
      <c r="E24" s="20">
        <v>45460</v>
      </c>
      <c r="F24" s="26">
        <v>0.99911399</v>
      </c>
      <c r="G24" s="23">
        <v>568293.91</v>
      </c>
      <c r="H24" s="28"/>
      <c r="I24" s="32" t="s">
        <v>21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5">
      <c r="A26" s="37" t="s">
        <v>38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9.5" s="49" customFormat="1">
      <c r="A27" s="43" t="s">
        <v>39</v>
      </c>
      <c r="B27" s="44"/>
      <c r="C27" s="45">
        <f>SUM(C12:C26)</f>
        <v>28947532.6</v>
      </c>
      <c r="D27" s="44"/>
      <c r="E27" s="44"/>
      <c r="F27" s="46">
        <f>G27/C27</f>
        <v>0.92578145952239</v>
      </c>
      <c r="G27" s="50">
        <f>SUM(G14:G26)</f>
        <v>26799088.98</v>
      </c>
      <c r="H27" s="44"/>
      <c r="I27" s="47"/>
      <c r="J27" s="48"/>
      <c r="K27" s="48"/>
    </row>
    <row r="29" spans="1:12">
      <c r="A29" s="5" t="s">
        <v>40</v>
      </c>
    </row>
    <row r="33" spans="1:12">
      <c r="A33" s="8" t="s">
        <v>41</v>
      </c>
      <c r="B33" s="5" t="s">
        <v>42</v>
      </c>
      <c r="E33" s="5" t="s">
        <v>43</v>
      </c>
    </row>
    <row r="34" spans="1:12">
      <c r="A34" s="16" t="s">
        <v>44</v>
      </c>
      <c r="B34" s="16" t="s">
        <v>45</v>
      </c>
      <c r="F34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0" workbookViewId="0" zoomScale="115" zoomScaleNormal="115" showGridLines="true" showRowColHeaders="1">
      <selection activeCell="F20" sqref="F20"/>
    </sheetView>
  </sheetViews>
  <sheetFormatPr defaultRowHeight="14.4" defaultColWidth="9.140625" outlineLevelRow="0" outlineLevelCol="0"/>
  <cols>
    <col min="1" max="1" width="72.7109375" customWidth="true" style="5"/>
    <col min="2" max="2" width="25.42578125" customWidth="true" style="5"/>
    <col min="3" max="3" width="19" customWidth="true" style="5"/>
    <col min="4" max="4" width="15.85546875" customWidth="true" style="5"/>
    <col min="5" max="5" width="19.7109375" customWidth="true" style="5"/>
    <col min="6" max="6" width="12.85546875" customWidth="true" style="5"/>
    <col min="7" max="7" width="16.5703125" customWidth="true" style="5"/>
    <col min="8" max="8" width="7" customWidth="true" style="5"/>
    <col min="9" max="9" width="20.1406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53" t="s">
        <v>1</v>
      </c>
      <c r="B3" s="53"/>
      <c r="C3" s="53"/>
      <c r="D3" s="53"/>
      <c r="E3" s="53"/>
      <c r="F3" s="53"/>
      <c r="G3" s="53"/>
      <c r="H3" s="53"/>
      <c r="I3" s="5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56" t="s">
        <v>7</v>
      </c>
      <c r="B9" s="58" t="s">
        <v>8</v>
      </c>
      <c r="C9" s="58" t="s">
        <v>9</v>
      </c>
      <c r="D9" s="58" t="s">
        <v>10</v>
      </c>
      <c r="E9" s="54" t="s">
        <v>11</v>
      </c>
      <c r="F9" s="58" t="s">
        <v>12</v>
      </c>
      <c r="G9" s="58"/>
      <c r="H9" s="54" t="s">
        <v>13</v>
      </c>
      <c r="I9" s="51" t="s">
        <v>14</v>
      </c>
    </row>
    <row r="10" spans="1:12">
      <c r="A10" s="57"/>
      <c r="B10" s="55"/>
      <c r="C10" s="55"/>
      <c r="D10" s="55"/>
      <c r="E10" s="55"/>
      <c r="F10" s="59" t="s">
        <v>15</v>
      </c>
      <c r="G10" s="59" t="s">
        <v>16</v>
      </c>
      <c r="H10" s="55"/>
      <c r="I10" s="52"/>
    </row>
    <row r="11" spans="1:12">
      <c r="A11" s="57"/>
      <c r="B11" s="55"/>
      <c r="C11" s="55"/>
      <c r="D11" s="55"/>
      <c r="E11" s="55"/>
      <c r="F11" s="55"/>
      <c r="G11" s="55"/>
      <c r="H11" s="55"/>
      <c r="I11" s="52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5">
      <c r="A14" s="31" t="s">
        <v>19</v>
      </c>
      <c r="B14" s="18" t="s">
        <v>20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21</v>
      </c>
    </row>
    <row r="15" spans="1:12">
      <c r="A15" s="31" t="s">
        <v>22</v>
      </c>
      <c r="B15" s="18" t="s">
        <v>23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21</v>
      </c>
    </row>
    <row r="16" spans="1:12" customHeight="1" ht="31.5">
      <c r="A16" s="31" t="s">
        <v>24</v>
      </c>
      <c r="B16" s="18" t="s">
        <v>25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26</v>
      </c>
    </row>
    <row r="17" spans="1:12">
      <c r="A17" s="31" t="s">
        <v>27</v>
      </c>
      <c r="B17" s="18" t="s">
        <v>25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21</v>
      </c>
    </row>
    <row r="18" spans="1:12">
      <c r="A18" s="33" t="s">
        <v>28</v>
      </c>
      <c r="B18" s="18" t="s">
        <v>29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21</v>
      </c>
    </row>
    <row r="19" spans="1:12" customHeight="1" ht="31.5">
      <c r="A19" s="31" t="s">
        <v>30</v>
      </c>
      <c r="B19" s="18" t="s">
        <v>25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21</v>
      </c>
    </row>
    <row r="20" spans="1:12">
      <c r="A20" s="33" t="s">
        <v>31</v>
      </c>
      <c r="B20" s="18" t="s">
        <v>25</v>
      </c>
      <c r="C20" s="19">
        <v>300000</v>
      </c>
      <c r="D20" s="20">
        <v>45536</v>
      </c>
      <c r="E20" s="20">
        <v>45566</v>
      </c>
      <c r="F20" s="26">
        <v>0.99857178</v>
      </c>
      <c r="G20" s="23">
        <v>298000</v>
      </c>
      <c r="H20" s="24"/>
      <c r="I20" s="32" t="s">
        <v>21</v>
      </c>
    </row>
    <row r="21" spans="1:12">
      <c r="A21" s="33" t="s">
        <v>32</v>
      </c>
      <c r="B21" s="18" t="s">
        <v>25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26</v>
      </c>
    </row>
    <row r="22" spans="1:12">
      <c r="A22" s="34" t="s">
        <v>33</v>
      </c>
      <c r="B22" s="18" t="s">
        <v>34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21</v>
      </c>
    </row>
    <row r="23" spans="1:12">
      <c r="A23" s="35" t="s">
        <v>35</v>
      </c>
      <c r="B23" s="25" t="s">
        <v>36</v>
      </c>
      <c r="C23" s="19">
        <v>21176026.09</v>
      </c>
      <c r="D23" s="20">
        <v>45292</v>
      </c>
      <c r="E23" s="20">
        <v>45627</v>
      </c>
      <c r="F23" s="26">
        <v>1</v>
      </c>
      <c r="G23" s="23">
        <v>20560750.94</v>
      </c>
      <c r="H23" s="24"/>
      <c r="I23" s="32" t="s">
        <v>21</v>
      </c>
    </row>
    <row r="24" spans="1:12" customHeight="1" ht="15.6">
      <c r="A24" s="36" t="s">
        <v>37</v>
      </c>
      <c r="B24" s="18" t="s">
        <v>25</v>
      </c>
      <c r="C24" s="27">
        <v>571506.51</v>
      </c>
      <c r="D24" s="20">
        <v>45425</v>
      </c>
      <c r="E24" s="20">
        <v>45460</v>
      </c>
      <c r="F24" s="26">
        <v>1</v>
      </c>
      <c r="G24" s="23">
        <v>568293.91</v>
      </c>
      <c r="H24" s="28"/>
      <c r="I24" s="32" t="s">
        <v>21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5">
      <c r="A26" s="37" t="s">
        <v>38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9.5" s="49" customFormat="1">
      <c r="A27" s="43" t="s">
        <v>39</v>
      </c>
      <c r="B27" s="44"/>
      <c r="C27" s="45">
        <f>SUM(C12:C26)</f>
        <v>28947532.6</v>
      </c>
      <c r="D27" s="44"/>
      <c r="E27" s="44"/>
      <c r="F27" s="46">
        <f>G27/C27</f>
        <v>0.93690111847391</v>
      </c>
      <c r="G27" s="50">
        <f>SUM(G14:G26)</f>
        <v>27120975.67</v>
      </c>
      <c r="H27" s="44"/>
      <c r="I27" s="47"/>
      <c r="J27" s="48"/>
      <c r="K27" s="48"/>
    </row>
    <row r="29" spans="1:12">
      <c r="A29" s="5" t="s">
        <v>40</v>
      </c>
    </row>
    <row r="34" spans="1:12">
      <c r="A34" s="16" t="s">
        <v>44</v>
      </c>
      <c r="B34" s="16" t="s">
        <v>45</v>
      </c>
      <c r="F34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47</v>
      </c>
    </row>
    <row r="3" spans="1:1">
      <c r="A3" t="s">
        <v>48</v>
      </c>
    </row>
    <row r="5" spans="1:1">
      <c r="A5" t="s">
        <v>49</v>
      </c>
    </row>
    <row r="6" spans="1:1">
      <c r="A6" s="1" t="s">
        <v>50</v>
      </c>
    </row>
    <row r="9" spans="1:1">
      <c r="A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7 - DFU</vt:lpstr>
      <vt:lpstr>Form 7 - DFU (2)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Ana Natavio</cp:lastModifiedBy>
  <dcterms:created xsi:type="dcterms:W3CDTF">2015-06-06T02:17:20+08:00</dcterms:created>
  <dcterms:modified xsi:type="dcterms:W3CDTF">2025-02-13T16:54:40+08:00</dcterms:modified>
  <dc:title/>
  <dc:description/>
  <dc:subject/>
  <cp:keywords/>
  <cp:category/>
</cp:coreProperties>
</file>