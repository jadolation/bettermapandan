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<sst xmlns="http://schemas.openxmlformats.org/spreadsheetml/2006/main" uniqueCount="59">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</sst>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#,##0.000000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7" numFmtId="164" fillId="2" borderId="0" applyFont="1" applyNumberFormat="1" applyFill="0" applyBorder="0" applyAlignment="0">
      <alignment horizontal="general" vertical="bottom" textRotation="0" wrapText="false" shrinkToFit="false"/>
    </xf>
    <xf xfId="0" fontId="7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930798</xdr:colOff>
      <xdr:row>58</xdr:row>
      <xdr:rowOff>177239</xdr:rowOff>
    </xdr:from>
    <xdr:to>
      <xdr:col>5</xdr:col>
      <xdr:colOff>443193</xdr:colOff>
      <xdr:row>58</xdr:row>
      <xdr:rowOff>179854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CAF13EF-AFC8-4D95-992B-EB7B8C1D7FE1}"/>
            </a:ext>
          </a:extLst>
        </xdr:cNvPr>
        <xdr:cNvCxnSpPr/>
      </xdr:nvCxnSpPr>
      <xdr:spPr>
        <a:xfrm>
          <a:off x="5407548" y="11226239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C14" sqref="C14:E14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8" customWidth="true" style="0"/>
    <col min="8" max="8" width="16" customWidth="true" style="34"/>
    <col min="9" max="9" width="14.28515625" customWidth="true" style="34"/>
    <col min="10" max="10" width="14.28515625" customWidth="true" style="34"/>
    <col min="11" max="11" width="14.28515625" customWidth="true" style="44"/>
    <col min="12" max="12" width="15" customWidth="true" style="34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5"/>
      <c r="I2" s="35"/>
      <c r="J2" s="35"/>
      <c r="K2" s="45"/>
      <c r="L2" s="35"/>
    </row>
    <row r="3" spans="1:13" s="6" customFormat="1">
      <c r="A3" s="3"/>
      <c r="H3" s="35"/>
      <c r="I3" s="35"/>
      <c r="J3" s="35"/>
      <c r="K3" s="45"/>
      <c r="L3" s="35"/>
    </row>
    <row r="4" spans="1:13">
      <c r="A4" s="41" t="s">
        <v>2</v>
      </c>
      <c r="B4" s="41"/>
      <c r="C4" s="41"/>
      <c r="D4" s="41"/>
      <c r="E4" s="41"/>
      <c r="F4" s="41"/>
      <c r="G4" s="41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2024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4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  <c r="H11" s="34" t="s">
        <v>12</v>
      </c>
      <c r="I11" s="34" t="s">
        <v>13</v>
      </c>
      <c r="J11" s="36" t="s">
        <v>14</v>
      </c>
    </row>
    <row r="12" spans="1:13">
      <c r="A12" s="14"/>
      <c r="C12" s="37" t="s">
        <v>15</v>
      </c>
      <c r="D12" s="37"/>
      <c r="E12" s="37"/>
      <c r="F12" s="23">
        <v>2248060.71</v>
      </c>
      <c r="G12" s="15"/>
      <c r="H12" s="36">
        <v>1168535.43</v>
      </c>
      <c r="I12" s="36">
        <v>1079525.28</v>
      </c>
    </row>
    <row r="13" spans="1:13">
      <c r="A13" s="14"/>
      <c r="C13" s="37" t="s">
        <v>16</v>
      </c>
      <c r="D13" s="37"/>
      <c r="E13" s="37"/>
      <c r="F13" s="23">
        <v>36746896</v>
      </c>
      <c r="G13" s="15"/>
      <c r="H13" s="36">
        <v>36746896</v>
      </c>
      <c r="I13" s="34">
        <v>0</v>
      </c>
    </row>
    <row r="14" spans="1:13">
      <c r="A14" s="14"/>
      <c r="C14" s="37" t="s">
        <v>17</v>
      </c>
      <c r="D14" s="37"/>
      <c r="E14" s="37"/>
      <c r="F14" s="23">
        <v>3192926.62</v>
      </c>
      <c r="G14" s="15"/>
      <c r="H14" s="36">
        <v>3192926.62</v>
      </c>
      <c r="I14" s="34">
        <v>0</v>
      </c>
    </row>
    <row r="15" spans="1:13">
      <c r="A15" s="14"/>
      <c r="C15" s="37" t="s">
        <v>18</v>
      </c>
      <c r="D15" s="37"/>
      <c r="E15" s="37"/>
      <c r="F15" s="23">
        <v>4919.8</v>
      </c>
      <c r="G15" s="15"/>
      <c r="H15" s="36">
        <v>4721.53</v>
      </c>
      <c r="I15" s="36">
        <v>198.27</v>
      </c>
    </row>
    <row r="16" spans="1:13">
      <c r="A16" s="14"/>
      <c r="C16" s="37" t="s">
        <v>19</v>
      </c>
      <c r="D16" s="37"/>
      <c r="E16" s="37"/>
      <c r="F16" s="23">
        <v>0</v>
      </c>
      <c r="G16" s="15"/>
      <c r="H16" s="34">
        <v>0</v>
      </c>
    </row>
    <row r="17" spans="1:13">
      <c r="A17" s="14"/>
      <c r="C17" s="37" t="s">
        <v>20</v>
      </c>
      <c r="D17" s="37"/>
      <c r="E17" s="37"/>
      <c r="F17" s="23">
        <v>7348351.74</v>
      </c>
      <c r="G17" s="15"/>
      <c r="H17" s="36">
        <v>181763.44</v>
      </c>
      <c r="J17" s="36">
        <v>7166588.3</v>
      </c>
    </row>
    <row r="18" spans="1:13">
      <c r="A18" s="14"/>
      <c r="C18" s="37" t="s">
        <v>21</v>
      </c>
      <c r="D18" s="37"/>
      <c r="E18" s="37"/>
      <c r="F18" s="26">
        <f>SUM(F12:F17)</f>
        <v>49541154.87</v>
      </c>
      <c r="G18" s="15"/>
    </row>
    <row r="19" spans="1:13">
      <c r="A19" s="14"/>
      <c r="B19" s="5" t="s">
        <v>22</v>
      </c>
      <c r="F19" s="25"/>
      <c r="G19" s="15"/>
    </row>
    <row r="20" spans="1:13">
      <c r="A20" s="14"/>
      <c r="C20" s="5" t="s">
        <v>23</v>
      </c>
      <c r="F20" s="25"/>
      <c r="G20" s="15"/>
    </row>
    <row r="21" spans="1:13">
      <c r="A21" s="14"/>
      <c r="C21" s="5" t="s">
        <v>24</v>
      </c>
      <c r="F21" s="23">
        <v>21046647.04</v>
      </c>
      <c r="G21" s="15"/>
      <c r="H21" s="36">
        <v>20726908.82</v>
      </c>
      <c r="I21" s="36">
        <f>299789.22</f>
        <v>299789.22</v>
      </c>
    </row>
    <row r="22" spans="1:13">
      <c r="A22" s="14"/>
      <c r="C22" s="5" t="s">
        <v>25</v>
      </c>
      <c r="F22" s="23">
        <v>20095591.72</v>
      </c>
      <c r="G22" s="15"/>
      <c r="H22" s="36">
        <v>20095591.72</v>
      </c>
      <c r="I22" s="34">
        <v>0</v>
      </c>
    </row>
    <row r="23" spans="1:13">
      <c r="A23" s="14"/>
      <c r="C23" s="5" t="s">
        <v>26</v>
      </c>
      <c r="F23" s="23">
        <v>1648586.83</v>
      </c>
      <c r="G23" s="15"/>
      <c r="H23" s="36">
        <v>1648547.18</v>
      </c>
      <c r="I23" s="36">
        <v>39.65</v>
      </c>
    </row>
    <row r="24" spans="1:13">
      <c r="A24" s="14"/>
      <c r="C24" s="5" t="s">
        <v>27</v>
      </c>
      <c r="F24" s="23">
        <v>2827303.42</v>
      </c>
      <c r="G24" s="15"/>
      <c r="H24" s="34">
        <v>0</v>
      </c>
      <c r="I24" s="34">
        <v>0</v>
      </c>
      <c r="J24" s="36">
        <v>2827303.42</v>
      </c>
    </row>
    <row r="25" spans="1:13">
      <c r="A25" s="14"/>
      <c r="C25" s="5" t="s">
        <v>28</v>
      </c>
      <c r="F25" s="24">
        <f>SUM(F21:F24)</f>
        <v>45618129.01</v>
      </c>
      <c r="G25" s="15"/>
    </row>
    <row r="26" spans="1:13">
      <c r="A26" s="14"/>
      <c r="B26" s="5" t="s">
        <v>29</v>
      </c>
      <c r="F26" s="26">
        <f>+F18-F25</f>
        <v>3923025.86</v>
      </c>
      <c r="G26" s="15"/>
    </row>
    <row r="27" spans="1:13">
      <c r="A27" s="14"/>
      <c r="F27" s="23"/>
      <c r="G27" s="15"/>
    </row>
    <row r="28" spans="1:13">
      <c r="A28" s="14" t="s">
        <v>30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37" t="s">
        <v>31</v>
      </c>
      <c r="D30" s="37"/>
      <c r="E30" s="37"/>
      <c r="F30" s="23">
        <v>0</v>
      </c>
      <c r="G30" s="15"/>
    </row>
    <row r="31" spans="1:13">
      <c r="A31" s="14"/>
      <c r="C31" s="37" t="s">
        <v>32</v>
      </c>
      <c r="D31" s="37"/>
      <c r="E31" s="37"/>
      <c r="F31" s="23">
        <v>0</v>
      </c>
      <c r="G31" s="15"/>
    </row>
    <row r="32" spans="1:13">
      <c r="A32" s="14"/>
      <c r="C32" s="37" t="s">
        <v>33</v>
      </c>
      <c r="D32" s="37"/>
      <c r="E32" s="37"/>
      <c r="F32" s="23">
        <v>0</v>
      </c>
      <c r="G32" s="15"/>
    </row>
    <row r="33" spans="1:13">
      <c r="A33" s="14"/>
      <c r="C33" s="37" t="s">
        <v>21</v>
      </c>
      <c r="D33" s="37"/>
      <c r="E33" s="37"/>
      <c r="F33" s="24">
        <f>SUM(F30:F32)</f>
        <v>0</v>
      </c>
      <c r="G33" s="15"/>
    </row>
    <row r="34" spans="1:13">
      <c r="A34" s="14"/>
      <c r="B34" s="5" t="s">
        <v>22</v>
      </c>
      <c r="F34" s="25"/>
      <c r="G34" s="15"/>
    </row>
    <row r="35" spans="1:13">
      <c r="A35" s="14"/>
      <c r="C35" s="37" t="s">
        <v>34</v>
      </c>
      <c r="D35" s="37"/>
      <c r="E35" s="37"/>
      <c r="F35" s="23">
        <v>7670275.27</v>
      </c>
      <c r="G35" s="15"/>
      <c r="H35" s="36">
        <v>7690224.27</v>
      </c>
      <c r="I35" s="36">
        <v>0</v>
      </c>
    </row>
    <row r="36" spans="1:13">
      <c r="A36" s="14"/>
      <c r="C36" s="37" t="s">
        <v>35</v>
      </c>
      <c r="D36" s="37"/>
      <c r="E36" s="37"/>
      <c r="F36" s="23">
        <v>0</v>
      </c>
      <c r="G36" s="15"/>
    </row>
    <row r="37" spans="1:13">
      <c r="A37" s="14"/>
      <c r="C37" s="37" t="s">
        <v>36</v>
      </c>
      <c r="D37" s="37"/>
      <c r="E37" s="37"/>
      <c r="F37" s="23">
        <v>0</v>
      </c>
      <c r="G37" s="15"/>
    </row>
    <row r="38" spans="1:13">
      <c r="A38" s="14"/>
      <c r="C38" s="37" t="s">
        <v>28</v>
      </c>
      <c r="D38" s="37"/>
      <c r="E38" s="37"/>
      <c r="F38" s="24">
        <f>SUM(F35:F37)</f>
        <v>7670275.27</v>
      </c>
      <c r="G38" s="15"/>
    </row>
    <row r="39" spans="1:13">
      <c r="A39" s="14"/>
      <c r="B39" s="37" t="s">
        <v>37</v>
      </c>
      <c r="C39" s="37"/>
      <c r="D39" s="37"/>
      <c r="E39" s="37"/>
      <c r="F39" s="26">
        <f>+F33-F38</f>
        <v>-7670275.27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39" t="s">
        <v>38</v>
      </c>
      <c r="B41" s="40"/>
      <c r="C41" s="40"/>
      <c r="D41" s="40"/>
      <c r="E41" s="40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37" t="s">
        <v>39</v>
      </c>
      <c r="D43" s="37"/>
      <c r="E43" s="37"/>
      <c r="F43" s="23">
        <v>0</v>
      </c>
      <c r="G43" s="15"/>
    </row>
    <row r="44" spans="1:13">
      <c r="A44" s="14"/>
      <c r="C44" s="37" t="s">
        <v>40</v>
      </c>
      <c r="D44" s="37"/>
      <c r="E44" s="37"/>
      <c r="F44" s="23">
        <v>0</v>
      </c>
      <c r="G44" s="15"/>
    </row>
    <row r="45" spans="1:13">
      <c r="A45" s="14"/>
      <c r="C45" s="37" t="s">
        <v>41</v>
      </c>
      <c r="D45" s="37"/>
      <c r="E45" s="37"/>
      <c r="F45" s="24">
        <f>SUM(F43:F44)</f>
        <v>0</v>
      </c>
      <c r="G45" s="15"/>
    </row>
    <row r="46" spans="1:13">
      <c r="A46" s="14"/>
      <c r="B46" s="5" t="s">
        <v>22</v>
      </c>
      <c r="F46" s="25"/>
      <c r="G46" s="15"/>
    </row>
    <row r="47" spans="1:13">
      <c r="A47" s="14"/>
      <c r="C47" s="37" t="s">
        <v>42</v>
      </c>
      <c r="D47" s="37"/>
      <c r="E47" s="37"/>
      <c r="F47" s="23"/>
      <c r="G47" s="15"/>
    </row>
    <row r="48" spans="1:13">
      <c r="A48" s="14"/>
      <c r="C48" s="37" t="s">
        <v>43</v>
      </c>
      <c r="D48" s="37"/>
      <c r="E48" s="37"/>
      <c r="F48" s="23">
        <v>3443122.92</v>
      </c>
      <c r="G48" s="15"/>
      <c r="H48" s="36">
        <v>3443122.92</v>
      </c>
    </row>
    <row r="49" spans="1:13">
      <c r="A49" s="14"/>
      <c r="C49" s="37" t="s">
        <v>44</v>
      </c>
      <c r="D49" s="37"/>
      <c r="E49" s="37"/>
      <c r="F49" s="24">
        <f>SUM(F47:F48)</f>
        <v>3443122.92</v>
      </c>
      <c r="G49" s="15"/>
    </row>
    <row r="50" spans="1:13">
      <c r="A50" s="14"/>
      <c r="B50" s="37" t="s">
        <v>45</v>
      </c>
      <c r="C50" s="37"/>
      <c r="D50" s="37"/>
      <c r="E50" s="37"/>
      <c r="F50" s="26">
        <f>+F45-F49</f>
        <v>-3443122.92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38" t="s">
        <v>46</v>
      </c>
      <c r="B52" s="37"/>
      <c r="C52" s="37"/>
      <c r="D52" s="37"/>
      <c r="G52" s="27">
        <f>+F50+F39+F26</f>
        <v>-7190372.33</v>
      </c>
    </row>
    <row r="53" spans="1:13">
      <c r="A53" s="38" t="s">
        <v>47</v>
      </c>
      <c r="B53" s="37"/>
      <c r="C53" s="37"/>
      <c r="D53" s="37"/>
      <c r="G53" s="29">
        <v>44216694.12</v>
      </c>
      <c r="M53" s="33"/>
    </row>
    <row r="54" spans="1:13">
      <c r="A54" s="38" t="s">
        <v>48</v>
      </c>
      <c r="B54" s="37"/>
      <c r="C54" s="37"/>
      <c r="D54" s="37"/>
      <c r="G54" s="28">
        <f>+G52+G53</f>
        <v>37026321.79</v>
      </c>
      <c r="H54" s="36">
        <v>34591431.83</v>
      </c>
      <c r="I54" s="36">
        <v>1494104.06</v>
      </c>
      <c r="J54" s="36">
        <v>8131158.23</v>
      </c>
      <c r="K54" s="34">
        <f>SUM(H54:J54)</f>
        <v>44216694.12</v>
      </c>
      <c r="L54" s="36">
        <f>+G54-K54</f>
        <v>-7190372.33</v>
      </c>
      <c r="M54" s="33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</row>
    <row r="57" spans="1:13">
      <c r="A57" s="18" t="s">
        <v>49</v>
      </c>
    </row>
    <row r="58" spans="1:13">
      <c r="A58" s="18"/>
      <c r="G58" s="42"/>
    </row>
    <row r="59" spans="1:13">
      <c r="G59" s="43"/>
    </row>
    <row r="60" spans="1:13">
      <c r="B60" s="16" t="s">
        <v>50</v>
      </c>
      <c r="E60" s="16" t="s">
        <v>51</v>
      </c>
    </row>
    <row r="61" spans="1:13">
      <c r="B61" s="16" t="s">
        <v>52</v>
      </c>
      <c r="E61" s="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6:E16"/>
    <mergeCell ref="A4:G4"/>
    <mergeCell ref="C12:E12"/>
    <mergeCell ref="C13:E13"/>
    <mergeCell ref="C14:E14"/>
    <mergeCell ref="C15:E15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54</v>
      </c>
    </row>
    <row r="3" spans="1:1">
      <c r="A3" t="s">
        <v>55</v>
      </c>
    </row>
    <row r="5" spans="1:1">
      <c r="A5" t="s">
        <v>56</v>
      </c>
    </row>
    <row r="6" spans="1:1">
      <c r="A6" s="1" t="s">
        <v>57</v>
      </c>
    </row>
    <row r="9" spans="1:1">
      <c r="A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2025-02-27T11:28:48+08:00</dcterms:modified>
  <dc:title/>
  <dc:description/>
  <dc:subject/>
  <cp:keywords/>
  <cp:category/>
</cp:coreProperties>
</file>